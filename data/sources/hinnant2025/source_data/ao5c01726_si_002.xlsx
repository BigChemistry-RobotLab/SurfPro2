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katherine_campbell\Work Folders\Desktop\6.2 FOAM\Papers in Progress\Database paper\"/>
    </mc:Choice>
  </mc:AlternateContent>
  <xr:revisionPtr revIDLastSave="0" documentId="13_ncr:1_{2FB63E26-6C5A-4B9A-8188-A10EDC44E9D4}" xr6:coauthVersionLast="47" xr6:coauthVersionMax="47" xr10:uidLastSave="{00000000-0000-0000-0000-000000000000}"/>
  <bookViews>
    <workbookView xWindow="-108" yWindow="60" windowWidth="23256" windowHeight="12408" firstSheet="1" activeTab="1" xr2:uid="{00000000-000D-0000-FFFF-FFFF00000000}"/>
  </bookViews>
  <sheets>
    <sheet name="Individual Surfactant Key" sheetId="1" state="hidden" r:id="rId1"/>
    <sheet name="Indiv. Surfactant Key" sheetId="42" r:id="rId2"/>
    <sheet name="SMILES Individual" sheetId="36" r:id="rId3"/>
    <sheet name="Formulation Names Mix CMC Data" sheetId="6" r:id="rId4"/>
    <sheet name="Formulation Name Data" sheetId="5" r:id="rId5"/>
    <sheet name="Measurement Information" sheetId="2" r:id="rId6"/>
    <sheet name="CMC Concentrations" sheetId="3" r:id="rId7"/>
    <sheet name="CMC Surface Tension " sheetId="4" r:id="rId8"/>
    <sheet name="Calculated CMC" sheetId="7" r:id="rId9"/>
    <sheet name="Formulation Surface Tension" sheetId="10" r:id="rId10"/>
    <sheet name="Formulation Interfacial Tension" sheetId="8" r:id="rId11"/>
    <sheet name="Formulation Transport Time" sheetId="12" r:id="rId12"/>
    <sheet name="Formulation Flux " sheetId="13" r:id="rId13"/>
    <sheet name="Formulation Transport Deg Time" sheetId="25" r:id="rId14"/>
    <sheet name="Formulatio Transport Deg Height" sheetId="26" r:id="rId15"/>
    <sheet name="Flux Time EDC" sheetId="33" r:id="rId16"/>
    <sheet name="Flux Value EDC" sheetId="35" r:id="rId17"/>
    <sheet name="EDC Values " sheetId="27" r:id="rId18"/>
    <sheet name="Foam Deg Time Hept 60C" sheetId="29" r:id="rId19"/>
    <sheet name="Foam Deg Height Hept 60C" sheetId="30" r:id="rId20"/>
    <sheet name="Foam Deg Time Gas 35C" sheetId="31" r:id="rId21"/>
    <sheet name="Foam Deg Height Gas 35C" sheetId="32" r:id="rId22"/>
    <sheet name="Hept Fire Ext 19cm Flow" sheetId="16" r:id="rId23"/>
    <sheet name="Hept Fire Ext 19cm ER" sheetId="18" r:id="rId24"/>
    <sheet name="Hept Fire Ext 19cm Spread" sheetId="19" r:id="rId25"/>
    <sheet name="Hept Fire Ext 19cm ExtTime" sheetId="20" r:id="rId26"/>
    <sheet name="Gas Fire Ext 19cm Flow" sheetId="17" r:id="rId27"/>
    <sheet name="Gas Fire Extinction 19cm ER" sheetId="21" r:id="rId28"/>
    <sheet name="Gas Fire Extinction 19cm Spread" sheetId="22" r:id="rId29"/>
    <sheet name="Gas Fire Extinction 19cm Ext" sheetId="23" r:id="rId3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Z3" i="7" l="1"/>
  <c r="DY3" i="7"/>
  <c r="DX3" i="7"/>
  <c r="DW3" i="7"/>
  <c r="DV3" i="7"/>
  <c r="DU3" i="7"/>
  <c r="DT3" i="7"/>
  <c r="DS3" i="7"/>
  <c r="DR3" i="7"/>
  <c r="DQ3" i="7"/>
  <c r="DP3" i="7"/>
  <c r="DO3" i="7"/>
  <c r="DN3" i="7"/>
  <c r="DM3" i="7"/>
  <c r="DL3" i="7"/>
  <c r="DK3" i="7"/>
  <c r="DJ3" i="7"/>
  <c r="DI3" i="7"/>
  <c r="DH3" i="7"/>
  <c r="DG3" i="7"/>
  <c r="DF3" i="7"/>
  <c r="DE3" i="7"/>
  <c r="DD3" i="7"/>
  <c r="DC3" i="7"/>
  <c r="DB3" i="7"/>
  <c r="DA3" i="7"/>
  <c r="CZ3" i="7"/>
  <c r="CY3" i="7"/>
  <c r="CX3" i="7"/>
  <c r="CW3" i="7"/>
  <c r="CV3" i="7"/>
  <c r="CU3" i="7"/>
  <c r="CT3" i="7"/>
  <c r="CS3" i="7"/>
  <c r="CR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D3" i="7"/>
  <c r="C3" i="7"/>
  <c r="B3" i="7"/>
  <c r="A3" i="7"/>
  <c r="DV3" i="4"/>
  <c r="DU3" i="4"/>
  <c r="DT3" i="4"/>
  <c r="DS3" i="4"/>
  <c r="DR3" i="4"/>
  <c r="DQ3" i="4"/>
  <c r="DP3" i="4"/>
  <c r="DO3" i="4"/>
  <c r="DN3" i="4"/>
  <c r="DM3" i="4"/>
  <c r="DL3" i="4"/>
  <c r="DK3" i="4"/>
  <c r="DJ3" i="4"/>
  <c r="DI3" i="4"/>
  <c r="DH3" i="4"/>
  <c r="DG3" i="4"/>
  <c r="DF3" i="4"/>
  <c r="DE3" i="4"/>
  <c r="DD3" i="4"/>
  <c r="DC3" i="4"/>
  <c r="DB3" i="4"/>
  <c r="DA3" i="4"/>
  <c r="CZ3" i="4"/>
  <c r="CY3" i="4"/>
  <c r="CX3" i="4"/>
  <c r="CW3" i="4"/>
  <c r="CV3" i="4"/>
  <c r="CU3" i="4"/>
  <c r="CT3" i="4"/>
  <c r="CS3" i="4"/>
  <c r="CR3" i="4"/>
  <c r="CQ3" i="4"/>
  <c r="CP3" i="4"/>
  <c r="CO3" i="4"/>
  <c r="CN3" i="4"/>
  <c r="CM3" i="4"/>
  <c r="CL3" i="4"/>
  <c r="CK3" i="4"/>
  <c r="CJ3" i="4"/>
  <c r="CI3" i="4"/>
  <c r="CH3" i="4"/>
  <c r="CG3" i="4"/>
  <c r="CF3" i="4"/>
  <c r="CE3" i="4"/>
  <c r="CD3" i="4"/>
  <c r="CC3" i="4"/>
  <c r="CB3" i="4"/>
  <c r="CA3" i="4"/>
  <c r="BZ3" i="4"/>
  <c r="BY3" i="4"/>
  <c r="BX3" i="4"/>
  <c r="BW3" i="4"/>
  <c r="BV3" i="4"/>
  <c r="BU3" i="4"/>
  <c r="BT3" i="4"/>
  <c r="BS3" i="4"/>
  <c r="BR3" i="4"/>
  <c r="BQ3" i="4"/>
  <c r="BP3" i="4"/>
  <c r="BO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B3" i="4"/>
  <c r="A3" i="4"/>
  <c r="DV3" i="3"/>
  <c r="DU3" i="3"/>
  <c r="DQ3" i="3"/>
  <c r="DF3" i="3"/>
  <c r="DD3" i="3"/>
  <c r="CL3" i="3"/>
  <c r="CJ3" i="3"/>
  <c r="CF3" i="3"/>
  <c r="CE3" i="3"/>
  <c r="CD3" i="3"/>
  <c r="AU3" i="3"/>
  <c r="AT3" i="3"/>
  <c r="AS3" i="3"/>
  <c r="AR3" i="3"/>
  <c r="AQ3" i="3"/>
  <c r="AP3" i="3"/>
  <c r="AO3" i="3"/>
  <c r="AN3" i="3"/>
  <c r="AM3" i="3"/>
  <c r="AL3" i="3"/>
  <c r="AK3" i="3"/>
  <c r="AJ3" i="3"/>
  <c r="AI3" i="3"/>
  <c r="AH3" i="3"/>
  <c r="AG3" i="3"/>
  <c r="AF3" i="3"/>
  <c r="Z3" i="3"/>
  <c r="AA3" i="3"/>
  <c r="Y3" i="3"/>
  <c r="X3" i="3"/>
  <c r="V3" i="3"/>
  <c r="U3" i="3"/>
  <c r="T3" i="3"/>
  <c r="S3" i="3"/>
  <c r="R3" i="3"/>
  <c r="Q3" i="3"/>
  <c r="P3" i="3"/>
  <c r="O3" i="3"/>
  <c r="N3" i="3"/>
  <c r="M3" i="3"/>
  <c r="L3" i="3"/>
  <c r="K3" i="3"/>
  <c r="J3" i="3"/>
  <c r="I3" i="3"/>
  <c r="H3" i="3"/>
  <c r="G3" i="3"/>
  <c r="F3" i="3"/>
  <c r="E3" i="3"/>
  <c r="D3" i="3"/>
  <c r="C3" i="3"/>
  <c r="B3" i="3"/>
  <c r="A3" i="3"/>
  <c r="A186" i="5"/>
  <c r="A181" i="5"/>
  <c r="A178" i="5" l="1"/>
  <c r="A195" i="5"/>
  <c r="A194" i="5"/>
  <c r="A196" i="5"/>
  <c r="A197" i="5"/>
  <c r="A198" i="5"/>
  <c r="A193" i="5"/>
  <c r="A192" i="5"/>
  <c r="A191" i="5"/>
  <c r="A190" i="5"/>
  <c r="A189" i="5"/>
  <c r="A188" i="5"/>
  <c r="A187" i="5"/>
  <c r="A185" i="5"/>
  <c r="A184" i="5"/>
  <c r="A183" i="5"/>
  <c r="A182" i="5"/>
  <c r="A175" i="5"/>
  <c r="A176"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8" i="5"/>
  <c r="A149" i="5"/>
  <c r="A141" i="5"/>
  <c r="A142" i="5"/>
  <c r="A143" i="5"/>
  <c r="A144" i="5"/>
  <c r="A145" i="5"/>
  <c r="A146" i="5"/>
  <c r="A147" i="5"/>
  <c r="A140" i="5"/>
  <c r="A139" i="5"/>
  <c r="A138" i="5"/>
  <c r="A137" i="5"/>
  <c r="A136" i="5"/>
  <c r="A135" i="5"/>
  <c r="A134" i="5"/>
  <c r="A133" i="5"/>
  <c r="A132" i="5"/>
  <c r="A131" i="5"/>
  <c r="A130" i="5"/>
  <c r="A129" i="5"/>
  <c r="A128" i="5"/>
  <c r="A127" i="5"/>
  <c r="A126" i="5"/>
  <c r="A124" i="5"/>
  <c r="A123" i="5"/>
  <c r="A122" i="5"/>
  <c r="A121" i="5"/>
  <c r="A120" i="5"/>
  <c r="A119" i="5"/>
  <c r="A118" i="5"/>
  <c r="A117" i="5"/>
  <c r="A116" i="5"/>
  <c r="A115" i="5"/>
  <c r="A114" i="5"/>
  <c r="A113" i="5"/>
  <c r="A110" i="5"/>
  <c r="A108" i="5"/>
  <c r="A107" i="5"/>
  <c r="A106" i="5"/>
  <c r="A105" i="5"/>
  <c r="A104" i="5"/>
  <c r="A103" i="5"/>
  <c r="A102" i="5"/>
  <c r="A99" i="5"/>
  <c r="A100" i="5"/>
  <c r="A101" i="5"/>
  <c r="A98" i="5"/>
  <c r="A97" i="5"/>
  <c r="A96" i="5"/>
  <c r="A95" i="5"/>
  <c r="A94" i="5"/>
  <c r="A93" i="5"/>
  <c r="A92" i="5"/>
  <c r="A91" i="5"/>
  <c r="A90" i="5"/>
  <c r="A89" i="5"/>
  <c r="A88" i="5"/>
  <c r="A87" i="5"/>
  <c r="A86" i="5"/>
  <c r="A85" i="5"/>
  <c r="A84" i="5"/>
  <c r="A83" i="5"/>
  <c r="A82" i="5"/>
  <c r="A81" i="5"/>
  <c r="A80" i="5"/>
  <c r="A79" i="5"/>
  <c r="A78" i="5"/>
  <c r="A77" i="5"/>
  <c r="A76" i="5"/>
  <c r="A75" i="5"/>
  <c r="A74" i="5"/>
  <c r="A73" i="5"/>
  <c r="A72" i="5"/>
  <c r="A69" i="5"/>
  <c r="A70" i="5"/>
  <c r="A71" i="5"/>
  <c r="A68" i="5"/>
  <c r="A62" i="5"/>
  <c r="A67" i="5"/>
  <c r="A65" i="5"/>
  <c r="A66" i="5"/>
  <c r="A64" i="5"/>
  <c r="A63" i="5"/>
  <c r="A58" i="5"/>
  <c r="A59" i="5"/>
  <c r="A60" i="5"/>
  <c r="A61" i="5"/>
  <c r="A57" i="5"/>
  <c r="A55" i="5"/>
  <c r="A54" i="5"/>
  <c r="A53" i="5"/>
  <c r="A52" i="5"/>
  <c r="A51" i="5"/>
  <c r="A50" i="5"/>
  <c r="A49" i="5"/>
  <c r="A48" i="5"/>
  <c r="A47" i="5"/>
  <c r="A46" i="5"/>
  <c r="A45" i="5"/>
  <c r="A44" i="5"/>
  <c r="A43" i="5"/>
  <c r="A42"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6" i="5"/>
  <c r="A5" i="5"/>
  <c r="A4" i="5"/>
  <c r="A80" i="6"/>
  <c r="A79" i="6"/>
  <c r="A78" i="6"/>
  <c r="A77"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BS2" i="36"/>
  <c r="BR2" i="36"/>
  <c r="BQ2" i="36"/>
  <c r="BP2" i="36"/>
  <c r="BO2" i="36"/>
  <c r="BN2" i="36"/>
  <c r="BM2" i="36"/>
  <c r="BL2" i="36"/>
  <c r="BK2" i="36"/>
  <c r="BJ2" i="36"/>
  <c r="BI2" i="36"/>
  <c r="BH2" i="36"/>
  <c r="BG2" i="36"/>
  <c r="BF2" i="36"/>
  <c r="BE2" i="36"/>
  <c r="BD2" i="36"/>
  <c r="BC2" i="36"/>
  <c r="BB2" i="36"/>
  <c r="BA2" i="36"/>
  <c r="AZ2" i="36"/>
  <c r="AY2" i="36"/>
  <c r="AX2" i="36"/>
  <c r="AW2" i="36"/>
  <c r="AV2" i="36"/>
  <c r="AU2" i="36"/>
  <c r="AT2" i="36"/>
  <c r="AL2" i="36"/>
  <c r="AS2" i="36"/>
  <c r="AR2" i="36"/>
  <c r="AQ2" i="36"/>
  <c r="AP2" i="36"/>
  <c r="AO2" i="36"/>
  <c r="AN2" i="36"/>
  <c r="AM2" i="36"/>
  <c r="AI2" i="36"/>
  <c r="AK2" i="36"/>
  <c r="AJ2" i="36"/>
  <c r="AH2" i="36"/>
  <c r="AG2" i="36"/>
  <c r="AF2" i="36"/>
  <c r="AE2" i="36"/>
  <c r="AD2" i="36"/>
  <c r="AC2" i="36"/>
  <c r="AB2" i="36"/>
  <c r="AA2" i="36"/>
  <c r="Z2" i="36"/>
  <c r="Y2" i="36"/>
  <c r="X2" i="36"/>
  <c r="W2" i="36"/>
  <c r="V2" i="36"/>
  <c r="U2" i="36"/>
  <c r="T2" i="36"/>
  <c r="S2" i="36"/>
  <c r="R2" i="36"/>
  <c r="Q2" i="36"/>
  <c r="P2" i="36"/>
  <c r="O2" i="36"/>
  <c r="N2" i="36"/>
  <c r="M2" i="36"/>
  <c r="L2" i="36"/>
  <c r="F2" i="36"/>
  <c r="K2" i="36" l="1"/>
  <c r="J2" i="36"/>
  <c r="I2" i="36"/>
  <c r="H2" i="36"/>
  <c r="G2" i="36"/>
  <c r="E2" i="36"/>
  <c r="D2" i="36"/>
  <c r="C2" i="36"/>
  <c r="B2" i="36"/>
  <c r="A2" i="36"/>
  <c r="CJ3" i="18" l="1"/>
  <c r="A3" i="26" l="1"/>
  <c r="B3" i="26"/>
  <c r="C3" i="26"/>
  <c r="D3" i="26"/>
  <c r="E3" i="26"/>
  <c r="F3" i="26"/>
  <c r="G3" i="26"/>
  <c r="H3" i="26"/>
  <c r="I3" i="26"/>
  <c r="J3" i="26"/>
  <c r="K3" i="26"/>
  <c r="L3" i="26"/>
  <c r="M3" i="26"/>
  <c r="N3" i="26"/>
  <c r="O3" i="26"/>
  <c r="P3" i="26"/>
  <c r="Q3" i="26"/>
  <c r="R3" i="26"/>
  <c r="S3" i="26"/>
  <c r="T3" i="26"/>
  <c r="U3" i="26"/>
  <c r="V3" i="26"/>
  <c r="W3" i="26"/>
  <c r="X3" i="26"/>
  <c r="Y3" i="26"/>
  <c r="Z3" i="26"/>
  <c r="AA3" i="26"/>
  <c r="AB3" i="26"/>
  <c r="AC3" i="26"/>
  <c r="AD3" i="26"/>
  <c r="AE3" i="26"/>
  <c r="AF3" i="26"/>
  <c r="AG3" i="26"/>
  <c r="AH3" i="26"/>
  <c r="AI3" i="26"/>
  <c r="AJ3" i="26"/>
  <c r="AK3" i="26"/>
  <c r="AL3" i="26"/>
  <c r="AM3" i="26"/>
  <c r="AN3" i="26"/>
  <c r="AO3" i="26"/>
  <c r="AP3" i="26"/>
  <c r="AQ3" i="26"/>
  <c r="AR3" i="26"/>
  <c r="AS3" i="26"/>
  <c r="AT3" i="26"/>
  <c r="AU3" i="26"/>
  <c r="AV3" i="26"/>
  <c r="AW3" i="26"/>
  <c r="AX3" i="26"/>
  <c r="AY3" i="26"/>
  <c r="AZ3" i="26"/>
  <c r="BA3" i="26"/>
  <c r="BB3" i="26"/>
  <c r="BC3" i="26"/>
  <c r="BD3" i="26"/>
  <c r="BE3" i="26"/>
  <c r="BF3" i="26"/>
  <c r="BG3" i="26"/>
  <c r="BH3" i="26"/>
  <c r="BI3" i="26"/>
  <c r="BJ3" i="26"/>
  <c r="BK3" i="26"/>
  <c r="BL3" i="26"/>
  <c r="BM3" i="26"/>
  <c r="BN3" i="26"/>
  <c r="BO3" i="26"/>
  <c r="BP3" i="26"/>
  <c r="BQ3" i="26"/>
  <c r="BR3" i="26"/>
  <c r="BS3" i="26"/>
  <c r="BT3" i="26"/>
  <c r="BU3" i="26"/>
  <c r="BV3" i="26"/>
  <c r="BW3" i="26"/>
  <c r="BX3" i="26"/>
  <c r="BY3" i="26"/>
  <c r="BZ3" i="26"/>
  <c r="CA3" i="26"/>
  <c r="CB3" i="26"/>
  <c r="CC3" i="26"/>
  <c r="CD3" i="26"/>
  <c r="CE3" i="26"/>
  <c r="CF3" i="26"/>
  <c r="CG3" i="26"/>
  <c r="CH3" i="26"/>
  <c r="CI3" i="26"/>
  <c r="CJ3" i="26"/>
  <c r="CK3" i="26"/>
  <c r="CL3" i="26"/>
  <c r="CM3" i="26"/>
  <c r="CN3" i="26"/>
  <c r="CO3" i="26"/>
  <c r="CP3" i="26"/>
  <c r="CQ3" i="26"/>
  <c r="CR3" i="26"/>
  <c r="CS3" i="26"/>
  <c r="CT3" i="26"/>
  <c r="CU3" i="26"/>
  <c r="CV3" i="26"/>
  <c r="CW3" i="26"/>
  <c r="CX3" i="26"/>
  <c r="CY3" i="26"/>
  <c r="CZ3" i="26"/>
  <c r="DA3" i="26"/>
  <c r="DB3" i="26"/>
  <c r="DC3" i="26"/>
  <c r="DD3" i="26"/>
  <c r="DE3" i="26"/>
  <c r="DF3" i="26"/>
  <c r="DG3" i="26"/>
  <c r="DH3" i="26"/>
  <c r="DI3" i="26"/>
  <c r="DJ3" i="26"/>
  <c r="DK3" i="26"/>
  <c r="DL3" i="26"/>
  <c r="DM3" i="26"/>
  <c r="DN3" i="26"/>
  <c r="DO3" i="26"/>
  <c r="DP3" i="26"/>
  <c r="DQ3" i="26"/>
  <c r="DR3" i="26"/>
  <c r="DS3" i="26"/>
  <c r="DT3" i="26"/>
  <c r="DU3" i="26"/>
  <c r="DV3" i="26"/>
  <c r="DW3" i="26"/>
  <c r="DX3" i="26"/>
  <c r="DY3" i="26"/>
  <c r="DZ3" i="26"/>
  <c r="EA3" i="26"/>
  <c r="EB3" i="26"/>
  <c r="EC3" i="26"/>
  <c r="ED3" i="26"/>
  <c r="EE3" i="26"/>
  <c r="EF3" i="26"/>
  <c r="EG3" i="26"/>
  <c r="EH3" i="26"/>
  <c r="EI3" i="26"/>
  <c r="EJ3" i="26"/>
  <c r="EK3" i="26"/>
  <c r="EL3" i="26"/>
  <c r="EM3" i="26"/>
  <c r="EN3" i="26"/>
  <c r="EO3" i="26"/>
  <c r="EP3" i="26"/>
  <c r="EQ3" i="26"/>
  <c r="ER3" i="26"/>
  <c r="ES3" i="26"/>
  <c r="ET3" i="26"/>
  <c r="EU3" i="26"/>
  <c r="EV3" i="26"/>
  <c r="EW3" i="26"/>
  <c r="EX3" i="26"/>
  <c r="EY3" i="26"/>
  <c r="EZ3" i="26"/>
  <c r="FA3" i="26"/>
  <c r="FB3" i="26"/>
  <c r="FC3" i="26"/>
  <c r="FD3" i="26"/>
  <c r="FE3" i="26"/>
  <c r="FF3" i="26"/>
  <c r="FG3" i="26"/>
  <c r="FH3" i="26"/>
  <c r="FI3" i="26"/>
  <c r="FJ3" i="26"/>
  <c r="FK3" i="26"/>
  <c r="FL3" i="26"/>
  <c r="FM3" i="26"/>
  <c r="FN3" i="26"/>
  <c r="FO3" i="26"/>
  <c r="FP3" i="26"/>
  <c r="FQ3" i="26"/>
  <c r="FR3" i="26"/>
  <c r="FS3" i="26"/>
  <c r="FT3" i="26"/>
  <c r="FU3" i="26"/>
  <c r="FV3" i="26"/>
  <c r="FW3" i="26"/>
  <c r="FX3" i="26"/>
  <c r="FY3" i="26"/>
  <c r="FZ3" i="26"/>
  <c r="GA3" i="26"/>
  <c r="GB3" i="26"/>
  <c r="GC3" i="26"/>
  <c r="GD3" i="26"/>
  <c r="GE3" i="26"/>
  <c r="GF3" i="26"/>
  <c r="GG3" i="26"/>
  <c r="GH3" i="26"/>
  <c r="GI3" i="26"/>
  <c r="GJ3" i="26"/>
  <c r="GK3" i="26"/>
  <c r="GL3" i="26"/>
  <c r="GM3" i="26"/>
  <c r="GN3" i="26"/>
  <c r="GO3" i="26"/>
  <c r="GP3" i="26"/>
  <c r="GQ3" i="26"/>
  <c r="GR3" i="26"/>
  <c r="GS3" i="26"/>
  <c r="DG3" i="20" l="1"/>
  <c r="A177" i="5" l="1"/>
  <c r="BC3" i="23" l="1"/>
  <c r="BC3" i="22"/>
  <c r="BC3" i="21"/>
  <c r="BC3" i="17"/>
  <c r="E3" i="23"/>
  <c r="E3" i="22"/>
  <c r="E3" i="21"/>
  <c r="E3" i="17"/>
  <c r="GS3" i="27" l="1"/>
  <c r="GR3" i="27"/>
  <c r="GQ3" i="27"/>
  <c r="GP3" i="27"/>
  <c r="GO3" i="27"/>
  <c r="GN3" i="27"/>
  <c r="GM5" i="33"/>
  <c r="KX4" i="12"/>
  <c r="GS3" i="35" l="1"/>
  <c r="GR3" i="35"/>
  <c r="GQ3" i="35"/>
  <c r="GP3" i="35"/>
  <c r="GO3" i="35"/>
  <c r="GN3" i="35"/>
  <c r="GS3" i="33"/>
  <c r="GR3" i="33"/>
  <c r="GQ3" i="33"/>
  <c r="GP3" i="33"/>
  <c r="GO3" i="33"/>
  <c r="GN3" i="33"/>
  <c r="GS3" i="25" l="1"/>
  <c r="GR3" i="25"/>
  <c r="GQ3" i="25"/>
  <c r="GP3" i="25"/>
  <c r="GO3" i="25"/>
  <c r="GN3" i="25"/>
  <c r="KW5" i="12" l="1"/>
  <c r="KW6" i="12" s="1"/>
  <c r="KW7" i="12" s="1"/>
  <c r="KW8" i="12" s="1"/>
  <c r="KW9" i="12" s="1"/>
  <c r="KW10" i="12" s="1"/>
  <c r="KW11" i="12" s="1"/>
  <c r="KW12" i="12" s="1"/>
  <c r="KW13" i="12" s="1"/>
  <c r="KW14" i="12" s="1"/>
  <c r="KW15" i="12" s="1"/>
  <c r="KW16" i="12" s="1"/>
  <c r="KW17" i="12" s="1"/>
  <c r="KW18" i="12" s="1"/>
  <c r="KW19" i="12" s="1"/>
  <c r="KW20" i="12" s="1"/>
  <c r="KW21" i="12" s="1"/>
  <c r="KW22" i="12" s="1"/>
  <c r="KW23" i="12" s="1"/>
  <c r="KW24" i="12" s="1"/>
  <c r="KW25" i="12" s="1"/>
  <c r="KW26" i="12" s="1"/>
  <c r="KW27" i="12" s="1"/>
  <c r="KV5" i="12"/>
  <c r="KV6" i="12" s="1"/>
  <c r="KV7" i="12" s="1"/>
  <c r="KV8" i="12" s="1"/>
  <c r="KV9" i="12" s="1"/>
  <c r="KV10" i="12" s="1"/>
  <c r="KV11" i="12" s="1"/>
  <c r="KV12" i="12" s="1"/>
  <c r="KV13" i="12" s="1"/>
  <c r="KV14" i="12" s="1"/>
  <c r="KV15" i="12" s="1"/>
  <c r="KV16" i="12" s="1"/>
  <c r="KV17" i="12" s="1"/>
  <c r="KV18" i="12" s="1"/>
  <c r="KV19" i="12" s="1"/>
  <c r="KV20" i="12" s="1"/>
  <c r="KV21" i="12" s="1"/>
  <c r="KV22" i="12" s="1"/>
  <c r="KV23" i="12" s="1"/>
  <c r="KV24" i="12" s="1"/>
  <c r="KV25" i="12" s="1"/>
  <c r="KV26" i="12" s="1"/>
  <c r="KV27" i="12" s="1"/>
  <c r="GL3" i="33"/>
  <c r="KW3" i="13" l="1"/>
  <c r="KV3" i="13"/>
  <c r="GL3" i="27"/>
  <c r="GK3" i="27"/>
  <c r="GK3" i="33"/>
  <c r="GK3" i="35"/>
  <c r="GL3" i="35"/>
  <c r="KV2" i="12"/>
  <c r="KW2" i="12"/>
  <c r="DD3" i="32"/>
  <c r="DC3" i="32"/>
  <c r="DD3" i="31"/>
  <c r="DC3" i="31"/>
  <c r="LT3" i="30"/>
  <c r="LS3" i="30"/>
  <c r="LT3" i="29"/>
  <c r="LS3" i="29"/>
  <c r="BW3" i="23"/>
  <c r="BW3" i="22"/>
  <c r="BW6" i="21"/>
  <c r="BW5" i="21"/>
  <c r="BW4" i="21"/>
  <c r="BW3" i="21"/>
  <c r="BW3" i="17"/>
  <c r="EF7" i="20"/>
  <c r="EF5" i="20"/>
  <c r="EF4" i="20"/>
  <c r="EF3" i="20"/>
  <c r="EF3" i="19"/>
  <c r="EF8" i="18"/>
  <c r="EF7" i="18"/>
  <c r="EF6" i="18"/>
  <c r="EF5" i="18"/>
  <c r="EF4" i="18"/>
  <c r="EF3" i="18"/>
  <c r="EF3" i="16"/>
  <c r="GL3" i="25" l="1"/>
  <c r="GK3" i="25"/>
  <c r="CK3" i="8"/>
  <c r="FE2" i="10"/>
  <c r="FD2" i="10"/>
  <c r="CJ3" i="8" l="1"/>
  <c r="BK3" i="32"/>
  <c r="BJ3" i="32"/>
  <c r="BI3" i="32"/>
  <c r="AC3" i="32"/>
  <c r="AB3" i="32"/>
  <c r="BK3" i="31"/>
  <c r="BJ3" i="31"/>
  <c r="BI3" i="31"/>
  <c r="AC3" i="31"/>
  <c r="AB3" i="31"/>
  <c r="JB3" i="30"/>
  <c r="JA3" i="30"/>
  <c r="IZ3" i="30"/>
  <c r="IY3" i="30"/>
  <c r="IX3" i="30"/>
  <c r="IW3" i="30"/>
  <c r="GX3" i="30"/>
  <c r="GW3" i="30"/>
  <c r="AW3" i="30"/>
  <c r="AV3" i="30"/>
  <c r="AU3" i="30"/>
  <c r="AT3" i="30"/>
  <c r="AS3" i="30"/>
  <c r="AR3" i="30"/>
  <c r="AQ3" i="30"/>
  <c r="AA3" i="30"/>
  <c r="Z3" i="30"/>
  <c r="Y3" i="30"/>
  <c r="JB3" i="29"/>
  <c r="JA3" i="29"/>
  <c r="IZ3" i="29"/>
  <c r="IY3" i="29"/>
  <c r="IX3" i="29"/>
  <c r="IW3" i="29"/>
  <c r="GX3" i="29"/>
  <c r="GW3" i="29"/>
  <c r="AW3" i="29" l="1"/>
  <c r="AV3" i="29"/>
  <c r="AU3" i="29"/>
  <c r="AT3" i="29"/>
  <c r="AS3" i="29"/>
  <c r="AR3" i="29"/>
  <c r="AQ3" i="29"/>
  <c r="EY3" i="29" l="1"/>
  <c r="EZ3" i="30"/>
  <c r="EY3" i="30"/>
  <c r="EX3" i="30"/>
  <c r="ES3" i="29"/>
  <c r="ET3" i="30"/>
  <c r="ES3" i="30"/>
  <c r="ER3" i="30"/>
  <c r="ET3" i="29"/>
  <c r="EZ3" i="29"/>
  <c r="EV3" i="29"/>
  <c r="EV3" i="30"/>
  <c r="EU3" i="30"/>
  <c r="EW3" i="30"/>
  <c r="EW3" i="29"/>
  <c r="ER3" i="29"/>
  <c r="EU3" i="29"/>
  <c r="EX3" i="29"/>
  <c r="AA3" i="29"/>
  <c r="Z3" i="29"/>
  <c r="Y3" i="29"/>
  <c r="J11" i="32" l="1"/>
  <c r="J10" i="32"/>
  <c r="J9" i="32"/>
  <c r="J8" i="32"/>
  <c r="J6" i="32"/>
  <c r="J4" i="32"/>
  <c r="AX8" i="30"/>
  <c r="AX7" i="30"/>
  <c r="AX6" i="30"/>
  <c r="KM8" i="29"/>
  <c r="KL8" i="29"/>
  <c r="AG8" i="29"/>
  <c r="AF8" i="29"/>
  <c r="AG6" i="29"/>
  <c r="AF6" i="29"/>
  <c r="AE6" i="29"/>
  <c r="GK5" i="29"/>
  <c r="AG5" i="29"/>
  <c r="AF5" i="29"/>
  <c r="AE5" i="29"/>
  <c r="BJ11" i="23"/>
  <c r="BJ10" i="23"/>
  <c r="BK9" i="23"/>
  <c r="BJ9" i="23"/>
  <c r="BU8" i="23"/>
  <c r="BK8" i="23"/>
  <c r="BU7" i="23"/>
  <c r="BP6" i="23"/>
  <c r="BP5" i="23"/>
  <c r="BP4" i="23"/>
  <c r="J16" i="20"/>
  <c r="DX10" i="20"/>
  <c r="DS9" i="20"/>
  <c r="DZ8" i="20"/>
  <c r="DZ7" i="20"/>
  <c r="DS7" i="20"/>
  <c r="DR7" i="20"/>
  <c r="DZ6" i="20"/>
  <c r="DS6" i="20"/>
  <c r="E6" i="20"/>
  <c r="D6" i="20"/>
  <c r="DX5" i="20"/>
  <c r="D5" i="20"/>
  <c r="DY4" i="20"/>
  <c r="DX4" i="20"/>
  <c r="E4" i="20"/>
  <c r="D4" i="20"/>
  <c r="AB3" i="20"/>
  <c r="AA3" i="20"/>
  <c r="O3" i="20"/>
  <c r="I3" i="20"/>
  <c r="J17" i="19"/>
  <c r="G15" i="19"/>
  <c r="E15" i="19"/>
  <c r="D15" i="19"/>
  <c r="A15" i="19"/>
  <c r="G14" i="19"/>
  <c r="D14" i="19"/>
  <c r="C14" i="19"/>
  <c r="B14" i="19"/>
  <c r="E13" i="19"/>
  <c r="C13" i="19"/>
  <c r="A13" i="19"/>
  <c r="J12" i="19"/>
  <c r="G12" i="19"/>
  <c r="E12" i="19"/>
  <c r="C12" i="19"/>
  <c r="B12" i="19"/>
  <c r="A12" i="19"/>
  <c r="J11" i="19"/>
  <c r="G11" i="19"/>
  <c r="A11" i="19"/>
  <c r="G10" i="19"/>
  <c r="C10" i="19"/>
  <c r="B10" i="19"/>
  <c r="DS9" i="19"/>
  <c r="J9" i="19"/>
  <c r="G9" i="19"/>
  <c r="E9" i="19"/>
  <c r="D9" i="19"/>
  <c r="B9" i="19"/>
  <c r="G8" i="19"/>
  <c r="E8" i="19"/>
  <c r="D8" i="19"/>
  <c r="B8" i="19"/>
  <c r="J7" i="19"/>
  <c r="E7" i="19"/>
  <c r="D7" i="19"/>
  <c r="C7" i="19"/>
  <c r="B7" i="19"/>
  <c r="J6" i="19"/>
  <c r="H6" i="19"/>
  <c r="G6" i="19"/>
  <c r="C6" i="19"/>
  <c r="B6" i="19"/>
  <c r="I5" i="19"/>
  <c r="H5" i="19"/>
  <c r="A5" i="19"/>
  <c r="I4" i="19"/>
  <c r="A4" i="19"/>
  <c r="DG3" i="19"/>
  <c r="AB3" i="19"/>
  <c r="AA3" i="19"/>
  <c r="O3" i="19"/>
  <c r="I3" i="19"/>
  <c r="J18" i="18"/>
  <c r="L17" i="18"/>
  <c r="J17" i="18"/>
  <c r="L16" i="18"/>
  <c r="J16" i="18"/>
  <c r="L15" i="18"/>
  <c r="J15" i="18"/>
  <c r="F15" i="18"/>
  <c r="E15" i="18"/>
  <c r="D15" i="18"/>
  <c r="A15" i="18"/>
  <c r="L14" i="18"/>
  <c r="J14" i="18"/>
  <c r="F14" i="18"/>
  <c r="E14" i="18"/>
  <c r="D14" i="18"/>
  <c r="C14" i="18"/>
  <c r="B14" i="18"/>
  <c r="A14" i="18"/>
  <c r="L13" i="18"/>
  <c r="J13" i="18"/>
  <c r="F13" i="18"/>
  <c r="E13" i="18"/>
  <c r="D13" i="18"/>
  <c r="C13" i="18"/>
  <c r="B13" i="18"/>
  <c r="A13" i="18"/>
  <c r="L12" i="18"/>
  <c r="J12" i="18"/>
  <c r="F12" i="18"/>
  <c r="E12" i="18"/>
  <c r="D12" i="18"/>
  <c r="C12" i="18"/>
  <c r="B12" i="18"/>
  <c r="A12" i="18"/>
  <c r="L11" i="18"/>
  <c r="J11" i="18"/>
  <c r="F11" i="18"/>
  <c r="E11" i="18"/>
  <c r="D11" i="18"/>
  <c r="C11" i="18"/>
  <c r="B11" i="18"/>
  <c r="A11" i="18"/>
  <c r="L10" i="18"/>
  <c r="J10" i="18"/>
  <c r="F10" i="18"/>
  <c r="E10" i="18"/>
  <c r="D10" i="18"/>
  <c r="C10" i="18"/>
  <c r="B10" i="18"/>
  <c r="A10" i="18"/>
  <c r="L9" i="18"/>
  <c r="J9" i="18"/>
  <c r="F9" i="18"/>
  <c r="E9" i="18"/>
  <c r="D9" i="18"/>
  <c r="C9" i="18"/>
  <c r="B9" i="18"/>
  <c r="A9" i="18"/>
  <c r="L8" i="18"/>
  <c r="J8" i="18"/>
  <c r="F8" i="18"/>
  <c r="E8" i="18"/>
  <c r="D8" i="18"/>
  <c r="C8" i="18"/>
  <c r="B8" i="18"/>
  <c r="A8" i="18"/>
  <c r="L7" i="18"/>
  <c r="J7" i="18"/>
  <c r="F7" i="18"/>
  <c r="E7" i="18"/>
  <c r="D7" i="18"/>
  <c r="C7" i="18"/>
  <c r="B7" i="18"/>
  <c r="A7" i="18"/>
  <c r="L6" i="18"/>
  <c r="J6" i="18"/>
  <c r="I6" i="18"/>
  <c r="H6" i="18"/>
  <c r="F6" i="18"/>
  <c r="E6" i="18"/>
  <c r="D6" i="18"/>
  <c r="C6" i="18"/>
  <c r="B6" i="18"/>
  <c r="A6" i="18"/>
  <c r="L5" i="18"/>
  <c r="J5" i="18"/>
  <c r="I5" i="18"/>
  <c r="H5" i="18"/>
  <c r="F5" i="18"/>
  <c r="E5" i="18"/>
  <c r="D5" i="18"/>
  <c r="C5" i="18"/>
  <c r="B5" i="18"/>
  <c r="A5" i="18"/>
  <c r="L4" i="18"/>
  <c r="J4" i="18"/>
  <c r="I4" i="18"/>
  <c r="H4" i="18"/>
  <c r="F4" i="18"/>
  <c r="E4" i="18"/>
  <c r="D4" i="18"/>
  <c r="C4" i="18"/>
  <c r="B4" i="18"/>
  <c r="A4" i="18"/>
  <c r="DG3" i="18"/>
  <c r="AB3" i="18"/>
  <c r="AA3" i="18"/>
  <c r="O3" i="18"/>
  <c r="I3" i="18"/>
  <c r="J18" i="16"/>
  <c r="L17" i="16"/>
  <c r="J17" i="16"/>
  <c r="L16" i="16"/>
  <c r="J16" i="16"/>
  <c r="L15" i="16"/>
  <c r="J15" i="16"/>
  <c r="F15" i="16"/>
  <c r="E15" i="16"/>
  <c r="D15" i="16"/>
  <c r="A15" i="16"/>
  <c r="L14" i="16"/>
  <c r="J14" i="16"/>
  <c r="F14" i="16"/>
  <c r="E14" i="16"/>
  <c r="D14" i="16"/>
  <c r="C14" i="16"/>
  <c r="B14" i="16"/>
  <c r="A14" i="16"/>
  <c r="L13" i="16"/>
  <c r="J13" i="16"/>
  <c r="F13" i="16"/>
  <c r="E13" i="16"/>
  <c r="D13" i="16"/>
  <c r="C13" i="16"/>
  <c r="B13" i="16"/>
  <c r="A13" i="16"/>
  <c r="L12" i="16"/>
  <c r="J12" i="16"/>
  <c r="F12" i="16"/>
  <c r="E12" i="16"/>
  <c r="D12" i="16"/>
  <c r="C12" i="16"/>
  <c r="B12" i="16"/>
  <c r="A12" i="16"/>
  <c r="L11" i="16"/>
  <c r="J11" i="16"/>
  <c r="F11" i="16"/>
  <c r="E11" i="16"/>
  <c r="D11" i="16"/>
  <c r="C11" i="16"/>
  <c r="B11" i="16"/>
  <c r="A11" i="16"/>
  <c r="L10" i="16"/>
  <c r="J10" i="16"/>
  <c r="F10" i="16"/>
  <c r="E10" i="16"/>
  <c r="D10" i="16"/>
  <c r="C10" i="16"/>
  <c r="B10" i="16"/>
  <c r="A10" i="16"/>
  <c r="L9" i="16"/>
  <c r="J9" i="16"/>
  <c r="F9" i="16"/>
  <c r="E9" i="16"/>
  <c r="D9" i="16"/>
  <c r="C9" i="16"/>
  <c r="B9" i="16"/>
  <c r="A9" i="16"/>
  <c r="L8" i="16"/>
  <c r="J8" i="16"/>
  <c r="F8" i="16"/>
  <c r="E8" i="16"/>
  <c r="D8" i="16"/>
  <c r="C8" i="16"/>
  <c r="B8" i="16"/>
  <c r="A8" i="16"/>
  <c r="L7" i="16"/>
  <c r="J7" i="16"/>
  <c r="F7" i="16"/>
  <c r="E7" i="16"/>
  <c r="D7" i="16"/>
  <c r="C7" i="16"/>
  <c r="B7" i="16"/>
  <c r="A7" i="16"/>
  <c r="L6" i="16"/>
  <c r="J6" i="16"/>
  <c r="I6" i="16"/>
  <c r="H6" i="16"/>
  <c r="F6" i="16"/>
  <c r="E6" i="16"/>
  <c r="D6" i="16"/>
  <c r="C6" i="16"/>
  <c r="B6" i="16"/>
  <c r="A6" i="16"/>
  <c r="L5" i="16"/>
  <c r="J5" i="16"/>
  <c r="I5" i="16"/>
  <c r="H5" i="16"/>
  <c r="F5" i="16"/>
  <c r="E5" i="16"/>
  <c r="D5" i="16"/>
  <c r="C5" i="16"/>
  <c r="B5" i="16"/>
  <c r="A5" i="16"/>
  <c r="L4" i="16"/>
  <c r="J4" i="16"/>
  <c r="I4" i="16"/>
  <c r="H4" i="16"/>
  <c r="F4" i="16"/>
  <c r="E4" i="16"/>
  <c r="D4" i="16"/>
  <c r="C4" i="16"/>
  <c r="B4" i="16"/>
  <c r="A4" i="16"/>
  <c r="DG3" i="16"/>
  <c r="AB3" i="16"/>
  <c r="AA3" i="16"/>
  <c r="O3" i="16"/>
  <c r="I3" i="16"/>
  <c r="AY3" i="27"/>
  <c r="AX3" i="27"/>
  <c r="AQ3" i="27"/>
  <c r="AP3" i="27"/>
  <c r="AO3" i="27"/>
  <c r="F3" i="27"/>
  <c r="E3" i="27"/>
  <c r="D3" i="27"/>
  <c r="AY3" i="35"/>
  <c r="AX3" i="35"/>
  <c r="AQ3" i="35"/>
  <c r="AP3" i="35"/>
  <c r="AO3" i="35"/>
  <c r="F3" i="35"/>
  <c r="E3" i="35"/>
  <c r="D3" i="35"/>
  <c r="FL6" i="33"/>
  <c r="FL7" i="33" s="1"/>
  <c r="FL8" i="33" s="1"/>
  <c r="FL9" i="33" s="1"/>
  <c r="FL10" i="33" s="1"/>
  <c r="FL11" i="33" s="1"/>
  <c r="FL12" i="33" s="1"/>
  <c r="FL13" i="33" s="1"/>
  <c r="FF5" i="33"/>
  <c r="FE5" i="33"/>
  <c r="FD5" i="33"/>
  <c r="EY5" i="33"/>
  <c r="EX5" i="33"/>
  <c r="EW5" i="33"/>
  <c r="ET5" i="33"/>
  <c r="ET6" i="33" s="1"/>
  <c r="ES5" i="33"/>
  <c r="ER5" i="33"/>
  <c r="EQ5" i="33"/>
  <c r="EP5" i="33"/>
  <c r="EO5" i="33"/>
  <c r="EN5" i="33"/>
  <c r="EJ5" i="33"/>
  <c r="EI5" i="33"/>
  <c r="EH5" i="33"/>
  <c r="EG5" i="33"/>
  <c r="EF5" i="33"/>
  <c r="EE5" i="33"/>
  <c r="EB5" i="33"/>
  <c r="EA5" i="33"/>
  <c r="DZ5" i="33"/>
  <c r="DY5" i="33"/>
  <c r="DX5" i="33"/>
  <c r="DW5" i="33"/>
  <c r="DP5" i="33"/>
  <c r="DP6" i="33" s="1"/>
  <c r="DP7" i="33" s="1"/>
  <c r="DP8" i="33" s="1"/>
  <c r="DP9" i="33" s="1"/>
  <c r="DP10" i="33" s="1"/>
  <c r="DP11" i="33" s="1"/>
  <c r="DP12" i="33" s="1"/>
  <c r="DP13" i="33" s="1"/>
  <c r="DO5" i="33"/>
  <c r="DO6" i="33" s="1"/>
  <c r="DO7" i="33" s="1"/>
  <c r="DO8" i="33" s="1"/>
  <c r="DO9" i="33" s="1"/>
  <c r="DO10" i="33" s="1"/>
  <c r="DO11" i="33" s="1"/>
  <c r="DO12" i="33" s="1"/>
  <c r="DO13" i="33" s="1"/>
  <c r="DO14" i="33" s="1"/>
  <c r="DN5" i="33"/>
  <c r="DN6" i="33" s="1"/>
  <c r="DN7" i="33" s="1"/>
  <c r="DN8" i="33" s="1"/>
  <c r="DN9" i="33" s="1"/>
  <c r="DN10" i="33" s="1"/>
  <c r="DN11" i="33" s="1"/>
  <c r="DN12" i="33" s="1"/>
  <c r="DN13" i="33" s="1"/>
  <c r="DN14" i="33" s="1"/>
  <c r="BY5" i="33"/>
  <c r="BX5" i="33"/>
  <c r="BW5" i="33"/>
  <c r="AY3" i="33"/>
  <c r="AX3" i="33"/>
  <c r="AQ3" i="33"/>
  <c r="AP3" i="33"/>
  <c r="AO3" i="33"/>
  <c r="F3" i="33"/>
  <c r="E3" i="33"/>
  <c r="D3" i="33"/>
  <c r="BB8" i="25"/>
  <c r="BA8" i="25"/>
  <c r="AZ8" i="25"/>
  <c r="FY5" i="25"/>
  <c r="AY3" i="25"/>
  <c r="AX3" i="25"/>
  <c r="AQ3" i="25"/>
  <c r="AP3" i="25"/>
  <c r="AO3" i="25"/>
  <c r="F3" i="25"/>
  <c r="E3" i="25"/>
  <c r="D3" i="25"/>
  <c r="IT3" i="13"/>
  <c r="IS3" i="13"/>
  <c r="IL3" i="13"/>
  <c r="IK3" i="13"/>
  <c r="IJ3" i="13"/>
  <c r="GZ3" i="13"/>
  <c r="GY3" i="13"/>
  <c r="GX3" i="13"/>
  <c r="CK3" i="13"/>
  <c r="CJ3" i="13"/>
  <c r="CI3" i="13"/>
  <c r="CE3" i="13"/>
  <c r="CD3" i="13"/>
  <c r="CC3" i="13"/>
  <c r="AG3" i="13"/>
  <c r="AF3" i="13"/>
  <c r="AE3" i="13"/>
  <c r="AD3" i="13"/>
  <c r="AC3" i="13"/>
  <c r="AB3" i="13"/>
  <c r="AA3" i="13"/>
  <c r="Z3" i="13"/>
  <c r="Y3" i="13"/>
  <c r="KL7" i="12"/>
  <c r="KL8" i="12" s="1"/>
  <c r="KL9" i="12" s="1"/>
  <c r="KL10" i="12" s="1"/>
  <c r="KL11" i="12" s="1"/>
  <c r="KL12" i="12" s="1"/>
  <c r="KL13" i="12" s="1"/>
  <c r="KL14" i="12" s="1"/>
  <c r="KL15" i="12" s="1"/>
  <c r="KL16" i="12" s="1"/>
  <c r="KL17" i="12" s="1"/>
  <c r="KL18" i="12" s="1"/>
  <c r="KL19" i="12" s="1"/>
  <c r="KL20" i="12" s="1"/>
  <c r="KL21" i="12" s="1"/>
  <c r="KL22" i="12" s="1"/>
  <c r="KL23" i="12" s="1"/>
  <c r="KL24" i="12" s="1"/>
  <c r="KQ5" i="12"/>
  <c r="KQ6" i="12" s="1"/>
  <c r="KQ7" i="12" s="1"/>
  <c r="KQ8" i="12" s="1"/>
  <c r="KQ9" i="12" s="1"/>
  <c r="KQ10" i="12" s="1"/>
  <c r="KQ11" i="12" s="1"/>
  <c r="KQ12" i="12" s="1"/>
  <c r="KQ13" i="12" s="1"/>
  <c r="KQ14" i="12" s="1"/>
  <c r="KQ15" i="12" s="1"/>
  <c r="KQ16" i="12" s="1"/>
  <c r="KQ17" i="12" s="1"/>
  <c r="KQ18" i="12" s="1"/>
  <c r="KP5" i="12"/>
  <c r="KP6" i="12" s="1"/>
  <c r="KP7" i="12" s="1"/>
  <c r="KP8" i="12" s="1"/>
  <c r="KP9" i="12" s="1"/>
  <c r="KP10" i="12" s="1"/>
  <c r="KP11" i="12" s="1"/>
  <c r="KP12" i="12" s="1"/>
  <c r="KP13" i="12" s="1"/>
  <c r="KP14" i="12" s="1"/>
  <c r="KP15" i="12" s="1"/>
  <c r="KP16" i="12" s="1"/>
  <c r="KP17" i="12" s="1"/>
  <c r="KP18" i="12" s="1"/>
  <c r="KP19" i="12" s="1"/>
  <c r="KP20" i="12" s="1"/>
  <c r="KP21" i="12" s="1"/>
  <c r="KP22" i="12" s="1"/>
  <c r="KP23" i="12" s="1"/>
  <c r="KO5" i="12"/>
  <c r="KO6" i="12" s="1"/>
  <c r="KN5" i="12"/>
  <c r="KN6" i="12" s="1"/>
  <c r="KM5" i="12"/>
  <c r="KM6" i="12" s="1"/>
  <c r="KM7" i="12" s="1"/>
  <c r="KM8" i="12" s="1"/>
  <c r="KM9" i="12" s="1"/>
  <c r="KM10" i="12" s="1"/>
  <c r="KM11" i="12" s="1"/>
  <c r="KM12" i="12" s="1"/>
  <c r="KM13" i="12" s="1"/>
  <c r="KM14" i="12" s="1"/>
  <c r="KM15" i="12" s="1"/>
  <c r="KM16" i="12" s="1"/>
  <c r="KM17" i="12" s="1"/>
  <c r="KM18" i="12" s="1"/>
  <c r="KM19" i="12" s="1"/>
  <c r="KM20" i="12" s="1"/>
  <c r="KM21" i="12" s="1"/>
  <c r="KM22" i="12" s="1"/>
  <c r="KM23" i="12" s="1"/>
  <c r="KM24" i="12" s="1"/>
  <c r="KM25" i="12" s="1"/>
  <c r="KM26" i="12" s="1"/>
  <c r="KM27" i="12" s="1"/>
  <c r="KM28" i="12" s="1"/>
  <c r="KM29" i="12" s="1"/>
  <c r="KM30" i="12" s="1"/>
  <c r="KM31" i="12" s="1"/>
  <c r="KM32" i="12" s="1"/>
  <c r="KM33" i="12" s="1"/>
  <c r="KM34" i="12" s="1"/>
  <c r="KM35" i="12" s="1"/>
  <c r="KM36" i="12" s="1"/>
  <c r="KM37" i="12" s="1"/>
  <c r="KL5" i="12"/>
  <c r="KL6" i="12" s="1"/>
  <c r="KK5" i="12"/>
  <c r="KK6" i="12" s="1"/>
  <c r="KK7" i="12" s="1"/>
  <c r="KK8" i="12" s="1"/>
  <c r="KK9" i="12" s="1"/>
  <c r="KK10" i="12" s="1"/>
  <c r="KK11" i="12" s="1"/>
  <c r="KK12" i="12" s="1"/>
  <c r="KJ5" i="12"/>
  <c r="KJ6" i="12" s="1"/>
  <c r="KJ7" i="12" s="1"/>
  <c r="KJ8" i="12" s="1"/>
  <c r="KJ9" i="12" s="1"/>
  <c r="KJ10" i="12" s="1"/>
  <c r="KJ11" i="12" s="1"/>
  <c r="KJ12" i="12" s="1"/>
  <c r="KJ13" i="12" s="1"/>
  <c r="KJ14" i="12" s="1"/>
  <c r="KJ15" i="12" s="1"/>
  <c r="KI5" i="12"/>
  <c r="KI6" i="12" s="1"/>
  <c r="KI7" i="12" s="1"/>
  <c r="KI8" i="12" s="1"/>
  <c r="KI9" i="12" s="1"/>
  <c r="KI10" i="12" s="1"/>
  <c r="KI11" i="12" s="1"/>
  <c r="JW4" i="12"/>
  <c r="JW5" i="12" s="1"/>
  <c r="JW6" i="12" s="1"/>
  <c r="JW7" i="12" s="1"/>
  <c r="JW8" i="12" s="1"/>
  <c r="JW9" i="12" s="1"/>
  <c r="JW10" i="12" s="1"/>
  <c r="JW11" i="12" s="1"/>
  <c r="JW12" i="12" s="1"/>
  <c r="JW13" i="12" s="1"/>
  <c r="JW14" i="12" s="1"/>
  <c r="JW15" i="12" s="1"/>
  <c r="JW16" i="12" s="1"/>
  <c r="JW17" i="12" s="1"/>
  <c r="JW18" i="12" s="1"/>
  <c r="JW19" i="12" s="1"/>
  <c r="JW20" i="12" s="1"/>
  <c r="JW21" i="12" s="1"/>
  <c r="FQ4" i="12"/>
  <c r="FQ5" i="12" s="1"/>
  <c r="FQ6" i="12" s="1"/>
  <c r="FQ7" i="12" s="1"/>
  <c r="FQ8" i="12" s="1"/>
  <c r="FQ9" i="12" s="1"/>
  <c r="IT2" i="12"/>
  <c r="IS2" i="12"/>
  <c r="IL2" i="12"/>
  <c r="IK2" i="12"/>
  <c r="IJ2" i="12"/>
  <c r="GZ2" i="12"/>
  <c r="GY2" i="12"/>
  <c r="GX2" i="12"/>
  <c r="CK2" i="12"/>
  <c r="CJ2" i="12"/>
  <c r="CI2" i="12"/>
  <c r="CE2" i="12"/>
  <c r="CD2" i="12"/>
  <c r="CC2" i="12"/>
  <c r="AG2" i="12"/>
  <c r="AF2" i="12"/>
  <c r="AE2" i="12"/>
  <c r="AD2" i="12"/>
  <c r="AC2" i="12"/>
  <c r="AB2" i="12"/>
  <c r="AA2" i="12"/>
  <c r="Z2" i="12"/>
  <c r="Y2" i="12"/>
  <c r="AW3" i="8"/>
  <c r="AH3" i="8"/>
  <c r="D3" i="8"/>
  <c r="BU3" i="10"/>
  <c r="CY2" i="10"/>
  <c r="CX2" i="10"/>
  <c r="BT2" i="10"/>
  <c r="BS2" i="10"/>
  <c r="J2" i="10"/>
  <c r="I2" i="10"/>
  <c r="AH16" i="4"/>
  <c r="AH15" i="4"/>
  <c r="AG15" i="4"/>
  <c r="AG14" i="4"/>
  <c r="AF12" i="4"/>
  <c r="AF11" i="4"/>
  <c r="DN4" i="4"/>
  <c r="DK4" i="4"/>
  <c r="CY4" i="4"/>
  <c r="CS4" i="4"/>
  <c r="AN12" i="3"/>
  <c r="CR10" i="3"/>
  <c r="CR11" i="3" s="1"/>
  <c r="CR12" i="3" s="1"/>
  <c r="CR13" i="3" s="1"/>
  <c r="CR14" i="3" s="1"/>
  <c r="CR15" i="3" s="1"/>
  <c r="CS8" i="3"/>
  <c r="CS9" i="3" s="1"/>
  <c r="CS10" i="3" s="1"/>
  <c r="CS11" i="3" s="1"/>
  <c r="CS12" i="3" s="1"/>
  <c r="CS13" i="3" s="1"/>
  <c r="CS14" i="3" s="1"/>
  <c r="CS15" i="3" s="1"/>
  <c r="DI7" i="3"/>
  <c r="DI8" i="3" s="1"/>
  <c r="DI9" i="3" s="1"/>
  <c r="DI10" i="3" s="1"/>
  <c r="DI11" i="3" s="1"/>
  <c r="DC7" i="3"/>
  <c r="DC8" i="3" s="1"/>
  <c r="DC9" i="3" s="1"/>
  <c r="DC10" i="3" s="1"/>
  <c r="DC11" i="3" s="1"/>
  <c r="DC12" i="3" s="1"/>
  <c r="DB7" i="3"/>
  <c r="DB8" i="3" s="1"/>
  <c r="DB9" i="3" s="1"/>
  <c r="DB10" i="3" s="1"/>
  <c r="DB11" i="3" s="1"/>
  <c r="DB12" i="3" s="1"/>
  <c r="DA7" i="3"/>
  <c r="DA8" i="3" s="1"/>
  <c r="DA9" i="3" s="1"/>
  <c r="DA10" i="3" s="1"/>
  <c r="DA11" i="3" s="1"/>
  <c r="DA12" i="3" s="1"/>
  <c r="CZ7" i="3"/>
  <c r="CZ8" i="3" s="1"/>
  <c r="CZ9" i="3" s="1"/>
  <c r="CZ10" i="3" s="1"/>
  <c r="CZ11" i="3" s="1"/>
  <c r="CZ12" i="3" s="1"/>
  <c r="CY7" i="3"/>
  <c r="CY8" i="3" s="1"/>
  <c r="CY9" i="3" s="1"/>
  <c r="CY10" i="3" s="1"/>
  <c r="CY11" i="3" s="1"/>
  <c r="CY12" i="3" s="1"/>
  <c r="CX7" i="3"/>
  <c r="CX8" i="3" s="1"/>
  <c r="CX9" i="3" s="1"/>
  <c r="CX10" i="3" s="1"/>
  <c r="CX11" i="3" s="1"/>
  <c r="CX12" i="3" s="1"/>
  <c r="CW7" i="3"/>
  <c r="CW8" i="3" s="1"/>
  <c r="CW9" i="3" s="1"/>
  <c r="CW10" i="3" s="1"/>
  <c r="CW11" i="3" s="1"/>
  <c r="CW12" i="3" s="1"/>
  <c r="CV7" i="3"/>
  <c r="CV8" i="3" s="1"/>
  <c r="CV9" i="3" s="1"/>
  <c r="CV10" i="3" s="1"/>
  <c r="CV11" i="3" s="1"/>
  <c r="CV12" i="3" s="1"/>
  <c r="CU7" i="3"/>
  <c r="CU8" i="3" s="1"/>
  <c r="CU9" i="3" s="1"/>
  <c r="CU10" i="3" s="1"/>
  <c r="CU11" i="3" s="1"/>
  <c r="CU12" i="3" s="1"/>
  <c r="CT7" i="3"/>
  <c r="CT8" i="3" s="1"/>
  <c r="CT9" i="3" s="1"/>
  <c r="CT10" i="3" s="1"/>
  <c r="CT11" i="3" s="1"/>
  <c r="CT12" i="3" s="1"/>
  <c r="CR7" i="3"/>
  <c r="CR8" i="3" s="1"/>
  <c r="DP6" i="3"/>
  <c r="DP7" i="3" s="1"/>
  <c r="DP8" i="3" s="1"/>
  <c r="DP9" i="3" s="1"/>
  <c r="DP10" i="3" s="1"/>
  <c r="DP11" i="3" s="1"/>
  <c r="DO6" i="3"/>
  <c r="DO7" i="3" s="1"/>
  <c r="DO8" i="3" s="1"/>
  <c r="DO9" i="3" s="1"/>
  <c r="DO10" i="3" s="1"/>
  <c r="DO11" i="3" s="1"/>
  <c r="DN6" i="3"/>
  <c r="DN7" i="3" s="1"/>
  <c r="DN8" i="3" s="1"/>
  <c r="DN9" i="3" s="1"/>
  <c r="DN10" i="3" s="1"/>
  <c r="DN11" i="3" s="1"/>
  <c r="DM6" i="3"/>
  <c r="DM7" i="3" s="1"/>
  <c r="DM8" i="3" s="1"/>
  <c r="DM9" i="3" s="1"/>
  <c r="DM10" i="3" s="1"/>
  <c r="DM11" i="3" s="1"/>
  <c r="DL6" i="3"/>
  <c r="DL7" i="3" s="1"/>
  <c r="DL8" i="3" s="1"/>
  <c r="DL9" i="3" s="1"/>
  <c r="DL10" i="3" s="1"/>
  <c r="DL11" i="3" s="1"/>
  <c r="DL12" i="3" s="1"/>
  <c r="DJ6" i="3"/>
  <c r="DJ7" i="3" s="1"/>
  <c r="DJ8" i="3" s="1"/>
  <c r="DJ9" i="3" s="1"/>
  <c r="DJ10" i="3" s="1"/>
  <c r="DJ11" i="3" s="1"/>
  <c r="CQ6" i="3"/>
  <c r="CQ7" i="3" s="1"/>
  <c r="CQ8" i="3" s="1"/>
  <c r="CQ9" i="3" s="1"/>
  <c r="CQ10" i="3" s="1"/>
  <c r="CQ11" i="3" s="1"/>
  <c r="CP6" i="3"/>
  <c r="CP7" i="3" s="1"/>
  <c r="CP8" i="3" s="1"/>
  <c r="CP9" i="3" s="1"/>
  <c r="CP10" i="3" s="1"/>
  <c r="CP11" i="3" s="1"/>
  <c r="DT5" i="3"/>
  <c r="DT6" i="3" s="1"/>
  <c r="DT7" i="3" s="1"/>
  <c r="DT8" i="3" s="1"/>
  <c r="DT9" i="3" s="1"/>
  <c r="DT10" i="3" s="1"/>
  <c r="DT11" i="3" s="1"/>
  <c r="DS5" i="3"/>
  <c r="DS6" i="3" s="1"/>
  <c r="DS7" i="3" s="1"/>
  <c r="DS8" i="3" s="1"/>
  <c r="DS9" i="3" s="1"/>
  <c r="DS10" i="3" s="1"/>
  <c r="DS11" i="3" s="1"/>
  <c r="DL5" i="3"/>
  <c r="DK5" i="3"/>
  <c r="DK6" i="3" s="1"/>
  <c r="DK7" i="3" s="1"/>
  <c r="DK8" i="3" s="1"/>
  <c r="DK9" i="3" s="1"/>
  <c r="DK10" i="3" s="1"/>
  <c r="DK11" i="3" s="1"/>
  <c r="DJ5" i="3"/>
  <c r="DI5" i="3"/>
  <c r="DH5" i="3"/>
  <c r="DH6" i="3" s="1"/>
  <c r="DH7" i="3" s="1"/>
  <c r="DH8" i="3" s="1"/>
  <c r="DH9" i="3" s="1"/>
  <c r="DH10" i="3" s="1"/>
  <c r="DH11" i="3" s="1"/>
  <c r="CN5" i="3"/>
  <c r="CN6" i="3" s="1"/>
  <c r="CN7" i="3" s="1"/>
  <c r="CN8" i="3" s="1"/>
  <c r="CN9" i="3" s="1"/>
  <c r="DL4" i="3"/>
  <c r="DK4" i="3"/>
  <c r="DJ4" i="3"/>
  <c r="DH4" i="3"/>
  <c r="AD3" i="3"/>
  <c r="AC3" i="3"/>
  <c r="AB3" i="3"/>
  <c r="A180" i="5"/>
  <c r="A179" i="5"/>
  <c r="EZ2" i="10" s="1"/>
  <c r="ED3" i="35"/>
  <c r="AN3" i="8"/>
  <c r="EZ3" i="25"/>
  <c r="BA2" i="10"/>
  <c r="AY2" i="10"/>
  <c r="FP3" i="13"/>
  <c r="AQ2" i="10"/>
  <c r="AN2" i="10"/>
  <c r="AK2" i="10"/>
  <c r="A76" i="6"/>
  <c r="DL3" i="3"/>
  <c r="DH3" i="3"/>
  <c r="CZ3" i="3"/>
  <c r="CX3" i="3"/>
  <c r="CS3" i="3"/>
  <c r="CQ3" i="3"/>
  <c r="CM3" i="3"/>
  <c r="AE3" i="3"/>
  <c r="W3" i="3"/>
  <c r="CA3" i="3"/>
  <c r="BW3" i="3"/>
  <c r="BO3" i="3"/>
  <c r="BK3" i="3"/>
  <c r="BG3" i="3"/>
  <c r="AY3" i="3"/>
  <c r="JV3" i="13" l="1"/>
  <c r="JU2" i="12"/>
  <c r="JT2" i="12"/>
  <c r="JU3" i="13"/>
  <c r="JT3" i="13"/>
  <c r="JV2" i="12"/>
  <c r="B3" i="20"/>
  <c r="N3" i="20"/>
  <c r="CM3" i="20"/>
  <c r="CY3" i="20"/>
  <c r="DC3" i="20"/>
  <c r="BY3" i="20"/>
  <c r="CH3" i="20"/>
  <c r="P3" i="20"/>
  <c r="CJ3" i="20"/>
  <c r="CB3" i="20"/>
  <c r="DO3" i="20"/>
  <c r="DD3" i="20"/>
  <c r="DX3" i="20"/>
  <c r="CK3" i="20"/>
  <c r="CX3" i="20"/>
  <c r="CR3" i="20"/>
  <c r="BK3" i="20"/>
  <c r="CU3" i="20"/>
  <c r="BU3" i="20"/>
  <c r="ED3" i="20"/>
  <c r="BS3" i="20"/>
  <c r="DR3" i="20"/>
  <c r="CZ3" i="20"/>
  <c r="BP3" i="20"/>
  <c r="DA3" i="20"/>
  <c r="CQ3" i="20"/>
  <c r="BX3" i="20"/>
  <c r="EE3" i="20"/>
  <c r="CI3" i="20"/>
  <c r="AD3" i="20"/>
  <c r="BR3" i="20"/>
  <c r="CG3" i="20"/>
  <c r="BQ3" i="20"/>
  <c r="CE3" i="20"/>
  <c r="A3" i="20"/>
  <c r="AT3" i="27"/>
  <c r="BM3" i="20"/>
  <c r="CS3" i="20"/>
  <c r="DL3" i="20"/>
  <c r="BW3" i="20"/>
  <c r="BB3" i="22"/>
  <c r="DH3" i="20"/>
  <c r="DJ3" i="20"/>
  <c r="DM3" i="20"/>
  <c r="BJ3" i="20"/>
  <c r="M3" i="20"/>
  <c r="DK3" i="20"/>
  <c r="DN3" i="20"/>
  <c r="CN3" i="20"/>
  <c r="U3" i="20"/>
  <c r="CT3" i="20"/>
  <c r="C3" i="20"/>
  <c r="CP3" i="20"/>
  <c r="Y3" i="20"/>
  <c r="S2" i="10"/>
  <c r="D3" i="20"/>
  <c r="Z3" i="20"/>
  <c r="BO3" i="20"/>
  <c r="BT3" i="20"/>
  <c r="CO3" i="20"/>
  <c r="V2" i="10"/>
  <c r="E3" i="20"/>
  <c r="BV3" i="20"/>
  <c r="DS3" i="20"/>
  <c r="W2" i="10"/>
  <c r="BZ3" i="20"/>
  <c r="DQ3" i="20"/>
  <c r="BF3" i="20"/>
  <c r="CF3" i="20"/>
  <c r="DP3" i="20"/>
  <c r="AC3" i="20"/>
  <c r="W3" i="20"/>
  <c r="CD3" i="20"/>
  <c r="DB3" i="20"/>
  <c r="C3" i="23"/>
  <c r="C3" i="21"/>
  <c r="C3" i="22"/>
  <c r="B3" i="23"/>
  <c r="B3" i="22"/>
  <c r="B3" i="21"/>
  <c r="B3" i="17"/>
  <c r="F3" i="22"/>
  <c r="F3" i="17"/>
  <c r="F3" i="23"/>
  <c r="F3" i="21"/>
  <c r="AD3" i="23"/>
  <c r="AD3" i="22"/>
  <c r="AD3" i="21"/>
  <c r="AD3" i="17"/>
  <c r="Q3" i="23"/>
  <c r="Q3" i="22"/>
  <c r="Q3" i="21"/>
  <c r="Q3" i="17"/>
  <c r="AE3" i="23"/>
  <c r="AE3" i="21"/>
  <c r="AE3" i="17"/>
  <c r="AE3" i="22"/>
  <c r="W3" i="21"/>
  <c r="W3" i="17"/>
  <c r="W3" i="23"/>
  <c r="W3" i="22"/>
  <c r="R3" i="23"/>
  <c r="R3" i="22"/>
  <c r="R3" i="21"/>
  <c r="R3" i="17"/>
  <c r="I3" i="21"/>
  <c r="I3" i="23"/>
  <c r="I3" i="17"/>
  <c r="I3" i="22"/>
  <c r="P3" i="23"/>
  <c r="P3" i="21"/>
  <c r="P3" i="17"/>
  <c r="P3" i="22"/>
  <c r="J3" i="21"/>
  <c r="J3" i="17"/>
  <c r="J3" i="23"/>
  <c r="J3" i="22"/>
  <c r="Z3" i="17"/>
  <c r="Z3" i="23"/>
  <c r="Z3" i="22"/>
  <c r="Z3" i="21"/>
  <c r="S3" i="22"/>
  <c r="S3" i="17"/>
  <c r="S3" i="21"/>
  <c r="S3" i="23"/>
  <c r="D3" i="23"/>
  <c r="D3" i="22"/>
  <c r="D3" i="21"/>
  <c r="D3" i="17"/>
  <c r="O3" i="23"/>
  <c r="O3" i="22"/>
  <c r="O3" i="21"/>
  <c r="O3" i="17"/>
  <c r="K3" i="17"/>
  <c r="K3" i="23"/>
  <c r="K3" i="22"/>
  <c r="K3" i="21"/>
  <c r="T3" i="22"/>
  <c r="T3" i="21"/>
  <c r="T3" i="17"/>
  <c r="T3" i="23"/>
  <c r="L3" i="17"/>
  <c r="L3" i="23"/>
  <c r="L3" i="22"/>
  <c r="L3" i="21"/>
  <c r="U3" i="22"/>
  <c r="U3" i="21"/>
  <c r="U3" i="17"/>
  <c r="U3" i="23"/>
  <c r="G3" i="22"/>
  <c r="G3" i="21"/>
  <c r="G3" i="17"/>
  <c r="G3" i="23"/>
  <c r="M3" i="17"/>
  <c r="M3" i="23"/>
  <c r="M3" i="22"/>
  <c r="M3" i="21"/>
  <c r="V3" i="21"/>
  <c r="V3" i="17"/>
  <c r="V3" i="23"/>
  <c r="V3" i="22"/>
  <c r="N3" i="23"/>
  <c r="N3" i="22"/>
  <c r="N3" i="21"/>
  <c r="N3" i="17"/>
  <c r="AA3" i="17"/>
  <c r="AA3" i="23"/>
  <c r="AA3" i="22"/>
  <c r="AA3" i="21"/>
  <c r="AB3" i="23"/>
  <c r="AB3" i="22"/>
  <c r="AB3" i="21"/>
  <c r="AB3" i="17"/>
  <c r="H3" i="21"/>
  <c r="H3" i="23"/>
  <c r="H3" i="22"/>
  <c r="H3" i="17"/>
  <c r="X3" i="21"/>
  <c r="X3" i="17"/>
  <c r="X3" i="23"/>
  <c r="X3" i="22"/>
  <c r="A3" i="23"/>
  <c r="A3" i="22"/>
  <c r="A3" i="21"/>
  <c r="A3" i="17"/>
  <c r="Y3" i="17"/>
  <c r="Y3" i="23"/>
  <c r="Y3" i="22"/>
  <c r="Y3" i="21"/>
  <c r="AC3" i="23"/>
  <c r="AC3" i="22"/>
  <c r="AC3" i="21"/>
  <c r="AC3" i="17"/>
  <c r="F3" i="31"/>
  <c r="D3" i="32"/>
  <c r="DF3" i="30"/>
  <c r="DE3" i="30"/>
  <c r="E3" i="32"/>
  <c r="F3" i="32"/>
  <c r="E3" i="31"/>
  <c r="D3" i="31"/>
  <c r="DC3" i="30"/>
  <c r="DD3" i="30"/>
  <c r="DI3" i="30"/>
  <c r="DH3" i="30"/>
  <c r="DG3" i="30"/>
  <c r="DB3" i="30"/>
  <c r="DA3" i="30"/>
  <c r="CZ3" i="30"/>
  <c r="GP2" i="12"/>
  <c r="JY3" i="30"/>
  <c r="JX3" i="30"/>
  <c r="JX3" i="29"/>
  <c r="JY3" i="29"/>
  <c r="AR3" i="32"/>
  <c r="FX3" i="30"/>
  <c r="AQ3" i="32"/>
  <c r="AR3" i="31"/>
  <c r="AQ3" i="31"/>
  <c r="FX3" i="29"/>
  <c r="R3" i="30"/>
  <c r="Q3" i="30"/>
  <c r="P3" i="30"/>
  <c r="DD3" i="13"/>
  <c r="JK3" i="30"/>
  <c r="JI3" i="29"/>
  <c r="JJ3" i="30"/>
  <c r="JI3" i="30"/>
  <c r="JJ3" i="29"/>
  <c r="JK3" i="29"/>
  <c r="HD3" i="13"/>
  <c r="K3" i="32"/>
  <c r="K3" i="31"/>
  <c r="HQ3" i="29"/>
  <c r="HR3" i="29"/>
  <c r="HR3" i="30"/>
  <c r="HQ3" i="30"/>
  <c r="I3" i="30"/>
  <c r="H3" i="30"/>
  <c r="G3" i="30"/>
  <c r="JX3" i="13"/>
  <c r="AF3" i="32"/>
  <c r="AF3" i="31"/>
  <c r="GK3" i="29"/>
  <c r="GK3" i="30"/>
  <c r="BZ3" i="32"/>
  <c r="BZ3" i="31"/>
  <c r="KP3" i="29"/>
  <c r="KQ3" i="29"/>
  <c r="KQ3" i="30"/>
  <c r="KP3" i="30"/>
  <c r="CK3" i="32"/>
  <c r="LB3" i="30"/>
  <c r="LA3" i="30"/>
  <c r="CL3" i="32"/>
  <c r="KS2" i="12"/>
  <c r="LP3" i="30"/>
  <c r="LO3" i="30"/>
  <c r="CZ3" i="32"/>
  <c r="CY3" i="32"/>
  <c r="DE3" i="3"/>
  <c r="AI2" i="10"/>
  <c r="ID3" i="29"/>
  <c r="IC3" i="29"/>
  <c r="ID3" i="30"/>
  <c r="IB3" i="29"/>
  <c r="IC3" i="30"/>
  <c r="IB3" i="30"/>
  <c r="A3" i="32"/>
  <c r="B3" i="31"/>
  <c r="DP3" i="30"/>
  <c r="A3" i="31"/>
  <c r="J3" i="32"/>
  <c r="J3" i="31"/>
  <c r="DT3" i="30"/>
  <c r="C3" i="31"/>
  <c r="DV3" i="30"/>
  <c r="DU3" i="30"/>
  <c r="B3" i="32"/>
  <c r="DQ3" i="30"/>
  <c r="DS3" i="30"/>
  <c r="C3" i="32"/>
  <c r="DR3" i="30"/>
  <c r="AS3" i="8"/>
  <c r="BL3" i="30"/>
  <c r="BK3" i="30"/>
  <c r="BJ3" i="30"/>
  <c r="U3" i="30"/>
  <c r="T3" i="30"/>
  <c r="S3" i="30"/>
  <c r="FH2" i="12"/>
  <c r="EP3" i="30"/>
  <c r="EQ3" i="30"/>
  <c r="HJ2" i="12"/>
  <c r="P3" i="31"/>
  <c r="HW3" i="29"/>
  <c r="HX3" i="30"/>
  <c r="HW3" i="30"/>
  <c r="Q3" i="32"/>
  <c r="P3" i="32"/>
  <c r="Q3" i="31"/>
  <c r="HX3" i="29"/>
  <c r="BD3" i="32"/>
  <c r="BC3" i="32"/>
  <c r="BD3" i="31"/>
  <c r="BC3" i="31"/>
  <c r="KG3" i="29"/>
  <c r="KF3" i="29"/>
  <c r="KG3" i="30"/>
  <c r="KF3" i="30"/>
  <c r="BN3" i="31"/>
  <c r="BO3" i="32"/>
  <c r="BP3" i="32"/>
  <c r="BP3" i="31"/>
  <c r="BN3" i="32"/>
  <c r="BO3" i="31"/>
  <c r="CJ3" i="32"/>
  <c r="KZ3" i="30"/>
  <c r="A3" i="30"/>
  <c r="C3" i="30"/>
  <c r="B3" i="30"/>
  <c r="BI3" i="30"/>
  <c r="BH3" i="30"/>
  <c r="BG3" i="30"/>
  <c r="BA3" i="33"/>
  <c r="AS3" i="31"/>
  <c r="AU3" i="32"/>
  <c r="GV3" i="29"/>
  <c r="GU3" i="29"/>
  <c r="AT3" i="32"/>
  <c r="GV3" i="30"/>
  <c r="GT3" i="29"/>
  <c r="GU3" i="30"/>
  <c r="GT3" i="30"/>
  <c r="AU3" i="31"/>
  <c r="AS3" i="32"/>
  <c r="AT3" i="31"/>
  <c r="AY3" i="13"/>
  <c r="N3" i="30"/>
  <c r="O3" i="30"/>
  <c r="M3" i="30"/>
  <c r="CG3" i="3"/>
  <c r="GT2" i="12"/>
  <c r="KA3" i="29"/>
  <c r="KB3" i="30"/>
  <c r="JZ3" i="29"/>
  <c r="KB3" i="29"/>
  <c r="JZ3" i="30"/>
  <c r="KA3" i="30"/>
  <c r="H3" i="8"/>
  <c r="AB3" i="30"/>
  <c r="AC3" i="30"/>
  <c r="AD3" i="30"/>
  <c r="EQ3" i="33"/>
  <c r="FQ3" i="29"/>
  <c r="FP3" i="29"/>
  <c r="FQ3" i="30"/>
  <c r="FO3" i="29"/>
  <c r="FP3" i="30"/>
  <c r="FO3" i="30"/>
  <c r="CV3" i="30"/>
  <c r="CU3" i="30"/>
  <c r="CT3" i="30"/>
  <c r="IX2" i="12"/>
  <c r="GR3" i="30"/>
  <c r="AV3" i="32"/>
  <c r="GS3" i="30"/>
  <c r="GS3" i="29"/>
  <c r="AV3" i="31"/>
  <c r="GR3" i="29"/>
  <c r="BD3" i="13"/>
  <c r="F3" i="30"/>
  <c r="E3" i="30"/>
  <c r="D3" i="30"/>
  <c r="FE3" i="30"/>
  <c r="G3" i="31"/>
  <c r="I3" i="32"/>
  <c r="FD3" i="30"/>
  <c r="H3" i="32"/>
  <c r="G3" i="32"/>
  <c r="I3" i="31"/>
  <c r="H3" i="31"/>
  <c r="CF3" i="32"/>
  <c r="KV3" i="30"/>
  <c r="KW3" i="30"/>
  <c r="CG3" i="32"/>
  <c r="FY3" i="25"/>
  <c r="LC3" i="30"/>
  <c r="CM3" i="32"/>
  <c r="CH3" i="3"/>
  <c r="CN3" i="3"/>
  <c r="DI3" i="3"/>
  <c r="AG3" i="30"/>
  <c r="AF3" i="30"/>
  <c r="AE3" i="30"/>
  <c r="FH3" i="30"/>
  <c r="FG3" i="30"/>
  <c r="FF3" i="30"/>
  <c r="DJ3" i="13"/>
  <c r="BB3" i="30"/>
  <c r="BC3" i="30"/>
  <c r="BA3" i="30"/>
  <c r="JF2" i="12"/>
  <c r="GO3" i="30"/>
  <c r="GQ3" i="29"/>
  <c r="GP3" i="29"/>
  <c r="AY3" i="32"/>
  <c r="AX3" i="32"/>
  <c r="AY3" i="31"/>
  <c r="AW3" i="31"/>
  <c r="AW3" i="32"/>
  <c r="AX3" i="31"/>
  <c r="GP3" i="30"/>
  <c r="GQ3" i="30"/>
  <c r="GO3" i="29"/>
  <c r="CM3" i="30"/>
  <c r="CL3" i="30"/>
  <c r="CK3" i="30"/>
  <c r="FY2" i="12"/>
  <c r="FT3" i="29"/>
  <c r="FS3" i="29"/>
  <c r="FR3" i="29"/>
  <c r="FT3" i="30"/>
  <c r="FS3" i="30"/>
  <c r="FR3" i="30"/>
  <c r="HN3" i="30"/>
  <c r="HO3" i="29"/>
  <c r="HP3" i="29"/>
  <c r="HO3" i="30"/>
  <c r="HN3" i="29"/>
  <c r="HP3" i="30"/>
  <c r="FL3" i="13"/>
  <c r="IG3" i="29"/>
  <c r="IF3" i="29"/>
  <c r="IG3" i="30"/>
  <c r="IE3" i="29"/>
  <c r="IF3" i="30"/>
  <c r="IE3" i="30"/>
  <c r="CD3" i="30"/>
  <c r="CC3" i="30"/>
  <c r="CB3" i="30"/>
  <c r="CN3" i="31"/>
  <c r="LD3" i="30"/>
  <c r="CN3" i="32"/>
  <c r="CI3" i="3"/>
  <c r="DJ3" i="3"/>
  <c r="EO3" i="30"/>
  <c r="EM3" i="30"/>
  <c r="EN3" i="30"/>
  <c r="EC3" i="16"/>
  <c r="LQ3" i="30"/>
  <c r="DB3" i="32"/>
  <c r="DA3" i="32"/>
  <c r="LR3" i="30"/>
  <c r="O3" i="32"/>
  <c r="N3" i="32"/>
  <c r="O3" i="31"/>
  <c r="HV3" i="29"/>
  <c r="N3" i="31"/>
  <c r="HU3" i="29"/>
  <c r="HV3" i="30"/>
  <c r="HU3" i="30"/>
  <c r="D2" i="12"/>
  <c r="CY3" i="30"/>
  <c r="CX3" i="30"/>
  <c r="CW3" i="30"/>
  <c r="CG3" i="30"/>
  <c r="CF3" i="30"/>
  <c r="CE3" i="30"/>
  <c r="C3" i="17"/>
  <c r="GM3" i="29"/>
  <c r="GN3" i="30"/>
  <c r="GL3" i="29"/>
  <c r="GM3" i="30"/>
  <c r="GL3" i="30"/>
  <c r="BB3" i="32"/>
  <c r="BA3" i="32"/>
  <c r="BB3" i="31"/>
  <c r="AZ3" i="32"/>
  <c r="BA3" i="31"/>
  <c r="AZ3" i="31"/>
  <c r="GN3" i="29"/>
  <c r="CJ3" i="30"/>
  <c r="CI3" i="30"/>
  <c r="CH3" i="30"/>
  <c r="FZ2" i="12"/>
  <c r="FV3" i="29"/>
  <c r="FU3" i="29"/>
  <c r="FW3" i="30"/>
  <c r="FV3" i="30"/>
  <c r="FU3" i="30"/>
  <c r="FW3" i="29"/>
  <c r="HO2" i="12"/>
  <c r="HL3" i="29"/>
  <c r="HM3" i="30"/>
  <c r="HK3" i="29"/>
  <c r="HL3" i="30"/>
  <c r="HK3" i="30"/>
  <c r="HM3" i="29"/>
  <c r="FT2" i="12"/>
  <c r="JO3" i="30"/>
  <c r="JQ3" i="29"/>
  <c r="JP3" i="29"/>
  <c r="JQ3" i="30"/>
  <c r="JO3" i="29"/>
  <c r="JP3" i="30"/>
  <c r="BR3" i="31"/>
  <c r="BQ3" i="32"/>
  <c r="BS3" i="32"/>
  <c r="BR3" i="32"/>
  <c r="BS3" i="31"/>
  <c r="BQ3" i="31"/>
  <c r="FJ3" i="25"/>
  <c r="LF3" i="30"/>
  <c r="LE3" i="30"/>
  <c r="CP3" i="32"/>
  <c r="CO3" i="32"/>
  <c r="CB3" i="3"/>
  <c r="DM3" i="3"/>
  <c r="HF2" i="12"/>
  <c r="HT3" i="29"/>
  <c r="M3" i="32"/>
  <c r="HS3" i="29"/>
  <c r="L3" i="32"/>
  <c r="M3" i="31"/>
  <c r="L3" i="31"/>
  <c r="HT3" i="30"/>
  <c r="HS3" i="30"/>
  <c r="BD3" i="8"/>
  <c r="GH3" i="29"/>
  <c r="GG3" i="29"/>
  <c r="GH3" i="30"/>
  <c r="GG3" i="30"/>
  <c r="AH3" i="31"/>
  <c r="AG3" i="31"/>
  <c r="AH3" i="32"/>
  <c r="AG3" i="32"/>
  <c r="BW2" i="10"/>
  <c r="BF3" i="30"/>
  <c r="BE3" i="30"/>
  <c r="BD3" i="30"/>
  <c r="AY3" i="8"/>
  <c r="R3" i="32"/>
  <c r="T3" i="31"/>
  <c r="S3" i="31"/>
  <c r="T3" i="32"/>
  <c r="S3" i="32"/>
  <c r="R3" i="31"/>
  <c r="CF3" i="13"/>
  <c r="IP3" i="29"/>
  <c r="IO3" i="29"/>
  <c r="IP3" i="30"/>
  <c r="IN3" i="29"/>
  <c r="IO3" i="30"/>
  <c r="IN3" i="30"/>
  <c r="W3" i="27"/>
  <c r="HH3" i="29"/>
  <c r="HJ3" i="29"/>
  <c r="HI3" i="29"/>
  <c r="HJ3" i="30"/>
  <c r="HI3" i="30"/>
  <c r="HH3" i="30"/>
  <c r="FM3" i="30"/>
  <c r="FN3" i="30"/>
  <c r="FL3" i="29"/>
  <c r="FN3" i="29"/>
  <c r="FM3" i="29"/>
  <c r="FL3" i="30"/>
  <c r="BV3" i="32"/>
  <c r="BU3" i="32"/>
  <c r="BV3" i="31"/>
  <c r="BT3" i="32"/>
  <c r="BU3" i="31"/>
  <c r="BT3" i="31"/>
  <c r="CA3" i="32"/>
  <c r="CA3" i="31"/>
  <c r="BJ3" i="18"/>
  <c r="HY3" i="30"/>
  <c r="HZ3" i="29"/>
  <c r="HZ3" i="30"/>
  <c r="IA3" i="29"/>
  <c r="HY3" i="29"/>
  <c r="IA3" i="30"/>
  <c r="DN3" i="3"/>
  <c r="J3" i="19"/>
  <c r="DO3" i="30"/>
  <c r="DN3" i="30"/>
  <c r="DM3" i="30"/>
  <c r="K3" i="30"/>
  <c r="J3" i="30"/>
  <c r="L3" i="30"/>
  <c r="AM3" i="25"/>
  <c r="AP3" i="30"/>
  <c r="AN3" i="30"/>
  <c r="AO3" i="30"/>
  <c r="X3" i="32"/>
  <c r="X3" i="31"/>
  <c r="CN3" i="30"/>
  <c r="CR3" i="30"/>
  <c r="CS3" i="30"/>
  <c r="CO3" i="30"/>
  <c r="CQ3" i="30"/>
  <c r="CP3" i="30"/>
  <c r="CN3" i="13"/>
  <c r="JE3" i="29"/>
  <c r="JD3" i="29"/>
  <c r="JE3" i="30"/>
  <c r="JC3" i="29"/>
  <c r="JD3" i="30"/>
  <c r="JC3" i="30"/>
  <c r="AB3" i="25"/>
  <c r="HG3" i="29"/>
  <c r="HF3" i="29"/>
  <c r="HG3" i="30"/>
  <c r="HE3" i="29"/>
  <c r="HF3" i="30"/>
  <c r="HE3" i="30"/>
  <c r="JC3" i="13"/>
  <c r="BF3" i="32"/>
  <c r="BE3" i="32"/>
  <c r="BF3" i="31"/>
  <c r="BE3" i="31"/>
  <c r="KI3" i="29"/>
  <c r="KH3" i="29"/>
  <c r="KI3" i="30"/>
  <c r="KH3" i="30"/>
  <c r="KS3" i="29"/>
  <c r="CB3" i="31"/>
  <c r="KR3" i="29"/>
  <c r="KS3" i="30"/>
  <c r="CC3" i="32"/>
  <c r="KR3" i="30"/>
  <c r="CB3" i="32"/>
  <c r="CC3" i="31"/>
  <c r="LH3" i="30"/>
  <c r="LG3" i="30"/>
  <c r="CR3" i="32"/>
  <c r="CQ3" i="32"/>
  <c r="AX3" i="16"/>
  <c r="X3" i="30"/>
  <c r="W3" i="30"/>
  <c r="V3" i="30"/>
  <c r="GO2" i="12"/>
  <c r="JW3" i="29"/>
  <c r="JV3" i="29"/>
  <c r="JW3" i="30"/>
  <c r="JU3" i="29"/>
  <c r="JV3" i="30"/>
  <c r="JU3" i="30"/>
  <c r="EH3" i="30"/>
  <c r="EG3" i="30"/>
  <c r="EF3" i="30"/>
  <c r="BA3" i="8"/>
  <c r="W3" i="32"/>
  <c r="V3" i="32"/>
  <c r="W3" i="31"/>
  <c r="U3" i="32"/>
  <c r="V3" i="31"/>
  <c r="U3" i="31"/>
  <c r="AL3" i="32"/>
  <c r="GD3" i="29"/>
  <c r="AK3" i="32"/>
  <c r="AL3" i="31"/>
  <c r="GC3" i="29"/>
  <c r="AK3" i="31"/>
  <c r="GD3" i="30"/>
  <c r="GC3" i="30"/>
  <c r="AM3" i="30"/>
  <c r="AL3" i="30"/>
  <c r="AK3" i="30"/>
  <c r="JH3" i="29"/>
  <c r="JG3" i="29"/>
  <c r="JH3" i="30"/>
  <c r="JF3" i="29"/>
  <c r="JG3" i="30"/>
  <c r="JF3" i="30"/>
  <c r="HB3" i="29"/>
  <c r="HD3" i="30"/>
  <c r="HD3" i="29"/>
  <c r="HC3" i="30"/>
  <c r="HC3" i="29"/>
  <c r="HB3" i="30"/>
  <c r="BG3" i="31"/>
  <c r="KK3" i="29"/>
  <c r="KJ3" i="29"/>
  <c r="KK3" i="30"/>
  <c r="BH3" i="32"/>
  <c r="KJ3" i="30"/>
  <c r="BG3" i="32"/>
  <c r="BH3" i="31"/>
  <c r="KL3" i="29"/>
  <c r="KM3" i="30"/>
  <c r="KL3" i="30"/>
  <c r="BX3" i="32"/>
  <c r="BW3" i="32"/>
  <c r="BX3" i="31"/>
  <c r="BW3" i="31"/>
  <c r="KM3" i="29"/>
  <c r="BM3" i="32"/>
  <c r="BL3" i="32"/>
  <c r="BM3" i="31"/>
  <c r="BL3" i="31"/>
  <c r="BO3" i="30"/>
  <c r="BM3" i="30"/>
  <c r="BN3" i="30"/>
  <c r="DK2" i="10"/>
  <c r="AA3" i="32"/>
  <c r="Z3" i="32"/>
  <c r="AA3" i="31"/>
  <c r="Y3" i="32"/>
  <c r="Z3" i="31"/>
  <c r="Y3" i="31"/>
  <c r="DL3" i="30"/>
  <c r="DK3" i="30"/>
  <c r="DJ3" i="30"/>
  <c r="CT3" i="13"/>
  <c r="IM3" i="29"/>
  <c r="IL3" i="30"/>
  <c r="IK3" i="29"/>
  <c r="IM3" i="30"/>
  <c r="IL3" i="29"/>
  <c r="IK3" i="30"/>
  <c r="KC3" i="30"/>
  <c r="KE3" i="29"/>
  <c r="KD3" i="29"/>
  <c r="KC3" i="29"/>
  <c r="KE3" i="30"/>
  <c r="KD3" i="30"/>
  <c r="II3" i="30"/>
  <c r="IH3" i="30"/>
  <c r="IJ3" i="30"/>
  <c r="IH3" i="29"/>
  <c r="IJ3" i="29"/>
  <c r="II3" i="29"/>
  <c r="KN3" i="30"/>
  <c r="BY3" i="32"/>
  <c r="BY3" i="31"/>
  <c r="KO3" i="29"/>
  <c r="KO3" i="30"/>
  <c r="KN3" i="29"/>
  <c r="KM2" i="12"/>
  <c r="CS3" i="32"/>
  <c r="LI3" i="30"/>
  <c r="LJ3" i="30"/>
  <c r="CT3" i="32"/>
  <c r="FC3" i="30"/>
  <c r="FB3" i="30"/>
  <c r="FA3" i="30"/>
  <c r="EZ3" i="13"/>
  <c r="IU3" i="29"/>
  <c r="IV3" i="30"/>
  <c r="IT3" i="29"/>
  <c r="IU3" i="30"/>
  <c r="IT3" i="30"/>
  <c r="IV3" i="29"/>
  <c r="BX3" i="30"/>
  <c r="BW3" i="30"/>
  <c r="BV3" i="30"/>
  <c r="BP3" i="30"/>
  <c r="BR3" i="30"/>
  <c r="BQ3" i="30"/>
  <c r="BP3" i="25"/>
  <c r="GB3" i="30"/>
  <c r="AN3" i="32"/>
  <c r="AM3" i="32"/>
  <c r="AN3" i="31"/>
  <c r="AM3" i="31"/>
  <c r="GB3" i="29"/>
  <c r="EB3" i="30"/>
  <c r="EA3" i="30"/>
  <c r="DZ3" i="30"/>
  <c r="DY3" i="30"/>
  <c r="DX3" i="30"/>
  <c r="DW3" i="30"/>
  <c r="ID2" i="12"/>
  <c r="GZ3" i="30"/>
  <c r="GY3" i="30"/>
  <c r="HA3" i="30"/>
  <c r="GY3" i="29"/>
  <c r="HA3" i="29"/>
  <c r="GZ3" i="29"/>
  <c r="FJ3" i="30"/>
  <c r="FI3" i="30"/>
  <c r="FK3" i="30"/>
  <c r="GI3" i="29"/>
  <c r="GJ3" i="29"/>
  <c r="AE3" i="32"/>
  <c r="AD3" i="32"/>
  <c r="AE3" i="31"/>
  <c r="AD3" i="31"/>
  <c r="GI3" i="30"/>
  <c r="GJ3" i="30"/>
  <c r="GM3" i="27"/>
  <c r="KX3" i="13"/>
  <c r="KX2" i="12"/>
  <c r="GM3" i="35"/>
  <c r="GM3" i="33"/>
  <c r="GM3" i="25"/>
  <c r="EN2" i="10"/>
  <c r="KY3" i="30"/>
  <c r="KX3" i="30"/>
  <c r="CI3" i="32"/>
  <c r="CH3" i="32"/>
  <c r="KP2" i="12"/>
  <c r="LK3" i="30"/>
  <c r="CV3" i="32"/>
  <c r="LL3" i="30"/>
  <c r="CU3" i="32"/>
  <c r="EL3" i="30"/>
  <c r="EK3" i="30"/>
  <c r="EJ3" i="30"/>
  <c r="EI3" i="30"/>
  <c r="ED3" i="30"/>
  <c r="EC3" i="30"/>
  <c r="EE3" i="30"/>
  <c r="FB2" i="10"/>
  <c r="FC2" i="10"/>
  <c r="AX3" i="30"/>
  <c r="AY3" i="30"/>
  <c r="AZ3" i="30"/>
  <c r="BU3" i="30"/>
  <c r="BT3" i="30"/>
  <c r="BS3" i="30"/>
  <c r="BZ3" i="30"/>
  <c r="BY3" i="30"/>
  <c r="CA3" i="30"/>
  <c r="GJ3" i="13"/>
  <c r="JT3" i="29"/>
  <c r="JS3" i="29"/>
  <c r="JT3" i="30"/>
  <c r="JR3" i="29"/>
  <c r="JS3" i="30"/>
  <c r="JR3" i="30"/>
  <c r="JL2" i="12"/>
  <c r="GF3" i="29"/>
  <c r="GE3" i="29"/>
  <c r="AI3" i="31"/>
  <c r="GF3" i="30"/>
  <c r="GE3" i="30"/>
  <c r="AJ3" i="32"/>
  <c r="AI3" i="32"/>
  <c r="AJ3" i="31"/>
  <c r="BR3" i="35"/>
  <c r="AP3" i="32"/>
  <c r="FY3" i="29"/>
  <c r="AO3" i="32"/>
  <c r="AP3" i="31"/>
  <c r="AO3" i="31"/>
  <c r="FZ3" i="29"/>
  <c r="GA3" i="29"/>
  <c r="FY3" i="30"/>
  <c r="GA3" i="30"/>
  <c r="FZ3" i="30"/>
  <c r="AJ3" i="30"/>
  <c r="AI3" i="30"/>
  <c r="AH3" i="30"/>
  <c r="CZ2" i="12"/>
  <c r="IS3" i="29"/>
  <c r="IR3" i="29"/>
  <c r="IQ3" i="29"/>
  <c r="IS3" i="30"/>
  <c r="IR3" i="30"/>
  <c r="IQ3" i="30"/>
  <c r="DD3" i="25"/>
  <c r="JM3" i="29"/>
  <c r="JL3" i="29"/>
  <c r="JN3" i="29"/>
  <c r="JL3" i="30"/>
  <c r="JN3" i="30"/>
  <c r="JM3" i="30"/>
  <c r="EL2" i="10"/>
  <c r="CE3" i="32"/>
  <c r="KT3" i="30"/>
  <c r="CD3" i="32"/>
  <c r="CE3" i="31"/>
  <c r="CD3" i="31"/>
  <c r="KU3" i="30"/>
  <c r="KU3" i="29"/>
  <c r="KT3" i="29"/>
  <c r="EA3" i="19"/>
  <c r="CW3" i="32"/>
  <c r="LN3" i="30"/>
  <c r="LM3" i="30"/>
  <c r="CX3" i="32"/>
  <c r="DR3" i="3"/>
  <c r="DE3" i="29"/>
  <c r="DF3" i="29"/>
  <c r="DD3" i="29"/>
  <c r="DC3" i="29"/>
  <c r="DX2" i="12"/>
  <c r="BI3" i="29"/>
  <c r="BG3" i="29"/>
  <c r="BH3" i="29"/>
  <c r="W3" i="13"/>
  <c r="BM3" i="29"/>
  <c r="BN3" i="29"/>
  <c r="BO3" i="29"/>
  <c r="HB2" i="12"/>
  <c r="BY3" i="29"/>
  <c r="BZ3" i="29"/>
  <c r="CA3" i="29"/>
  <c r="BX3" i="27"/>
  <c r="DU3" i="29"/>
  <c r="DQ3" i="29"/>
  <c r="DV3" i="29"/>
  <c r="DT3" i="29"/>
  <c r="DP3" i="29"/>
  <c r="DS3" i="29"/>
  <c r="DR3" i="29"/>
  <c r="CG3" i="29"/>
  <c r="CE3" i="29"/>
  <c r="CF3" i="29"/>
  <c r="DO3" i="13"/>
  <c r="CV3" i="29"/>
  <c r="CT3" i="29"/>
  <c r="CU3" i="29"/>
  <c r="BK2" i="12"/>
  <c r="CS3" i="29"/>
  <c r="CO3" i="29"/>
  <c r="CR3" i="29"/>
  <c r="CN3" i="29"/>
  <c r="CP3" i="29"/>
  <c r="CQ3" i="29"/>
  <c r="AJ3" i="13"/>
  <c r="AI3" i="29"/>
  <c r="AH3" i="29"/>
  <c r="AJ3" i="29"/>
  <c r="U3" i="29"/>
  <c r="T3" i="29"/>
  <c r="S3" i="29"/>
  <c r="BP3" i="13"/>
  <c r="CJ3" i="29"/>
  <c r="CI3" i="29"/>
  <c r="CH3" i="29"/>
  <c r="EU3" i="13"/>
  <c r="EM3" i="29"/>
  <c r="EO3" i="29"/>
  <c r="EN3" i="29"/>
  <c r="EV2" i="12"/>
  <c r="FD3" i="29"/>
  <c r="FE3" i="29"/>
  <c r="G2" i="10"/>
  <c r="BO2" i="10"/>
  <c r="DN2" i="10"/>
  <c r="AF3" i="8"/>
  <c r="AY2" i="12"/>
  <c r="BW2" i="12"/>
  <c r="CN2" i="12"/>
  <c r="DT2" i="12"/>
  <c r="GD2" i="12"/>
  <c r="HS2" i="12"/>
  <c r="II2" i="12"/>
  <c r="IM2" i="12"/>
  <c r="JB2" i="12"/>
  <c r="KT2" i="12"/>
  <c r="D3" i="13"/>
  <c r="T3" i="13"/>
  <c r="BW3" i="13"/>
  <c r="FK3" i="13"/>
  <c r="GO3" i="13"/>
  <c r="IX3" i="13"/>
  <c r="W3" i="25"/>
  <c r="BO3" i="33"/>
  <c r="BD3" i="35"/>
  <c r="P2" i="10"/>
  <c r="AG3" i="29"/>
  <c r="AE3" i="29"/>
  <c r="AF3" i="29"/>
  <c r="EC3" i="29"/>
  <c r="EE3" i="29"/>
  <c r="ED3" i="29"/>
  <c r="EN2" i="12"/>
  <c r="EG3" i="29"/>
  <c r="EF3" i="29"/>
  <c r="EH3" i="29"/>
  <c r="DH2" i="12"/>
  <c r="AZ3" i="29"/>
  <c r="AY3" i="29"/>
  <c r="AX3" i="29"/>
  <c r="FD2" i="12"/>
  <c r="FC3" i="29"/>
  <c r="FB3" i="29"/>
  <c r="FA3" i="29"/>
  <c r="DI3" i="29"/>
  <c r="DH3" i="29"/>
  <c r="DG3" i="29"/>
  <c r="A3" i="29"/>
  <c r="B3" i="29"/>
  <c r="C3" i="29"/>
  <c r="BX3" i="29"/>
  <c r="BW3" i="29"/>
  <c r="BV3" i="29"/>
  <c r="BE3" i="29"/>
  <c r="BD3" i="29"/>
  <c r="BF3" i="29"/>
  <c r="BA3" i="29"/>
  <c r="BB3" i="29"/>
  <c r="BC3" i="29"/>
  <c r="AK3" i="29"/>
  <c r="AM3" i="29"/>
  <c r="AL3" i="29"/>
  <c r="Q3" i="29"/>
  <c r="P3" i="29"/>
  <c r="R3" i="29"/>
  <c r="M3" i="29"/>
  <c r="O3" i="29"/>
  <c r="N3" i="29"/>
  <c r="DY3" i="29"/>
  <c r="DX3" i="29"/>
  <c r="DW3" i="29"/>
  <c r="CC3" i="29"/>
  <c r="CB3" i="29"/>
  <c r="CD3" i="29"/>
  <c r="AL2" i="10"/>
  <c r="BB2" i="10"/>
  <c r="CD2" i="10"/>
  <c r="DO2" i="10"/>
  <c r="EU2" i="10"/>
  <c r="AV3" i="8"/>
  <c r="BL3" i="8"/>
  <c r="AI2" i="12"/>
  <c r="AZ2" i="12"/>
  <c r="BX2" i="12"/>
  <c r="CV2" i="12"/>
  <c r="EB2" i="12"/>
  <c r="FK2" i="12"/>
  <c r="GL2" i="12"/>
  <c r="GV2" i="12"/>
  <c r="HV2" i="12"/>
  <c r="JP2" i="12"/>
  <c r="K3" i="13"/>
  <c r="CB3" i="13"/>
  <c r="DK3" i="13"/>
  <c r="JL3" i="13"/>
  <c r="AV3" i="25"/>
  <c r="DK3" i="33"/>
  <c r="DD3" i="27"/>
  <c r="CA2" i="12"/>
  <c r="DM3" i="29"/>
  <c r="DN3" i="29"/>
  <c r="DO3" i="29"/>
  <c r="O2" i="10"/>
  <c r="AC3" i="29"/>
  <c r="AB3" i="29"/>
  <c r="AD3" i="29"/>
  <c r="P2" i="12"/>
  <c r="BU3" i="29"/>
  <c r="BS3" i="29"/>
  <c r="BT3" i="29"/>
  <c r="CW3" i="29"/>
  <c r="CX3" i="29"/>
  <c r="CY3" i="29"/>
  <c r="EJ3" i="13"/>
  <c r="EK3" i="29"/>
  <c r="EL3" i="29"/>
  <c r="EJ3" i="29"/>
  <c r="EI3" i="29"/>
  <c r="IG3" i="13"/>
  <c r="AO3" i="29"/>
  <c r="AN3" i="29"/>
  <c r="AP3" i="29"/>
  <c r="DP2" i="12"/>
  <c r="BL3" i="29"/>
  <c r="BK3" i="29"/>
  <c r="BJ3" i="29"/>
  <c r="ED2" i="10"/>
  <c r="DL3" i="29"/>
  <c r="DK3" i="29"/>
  <c r="DJ3" i="29"/>
  <c r="AR3" i="13"/>
  <c r="X3" i="29"/>
  <c r="W3" i="29"/>
  <c r="V3" i="29"/>
  <c r="BC2" i="12"/>
  <c r="E3" i="29"/>
  <c r="D3" i="29"/>
  <c r="F3" i="29"/>
  <c r="EJ3" i="27"/>
  <c r="EP3" i="29"/>
  <c r="EQ3" i="29"/>
  <c r="AA2" i="10"/>
  <c r="BG2" i="10"/>
  <c r="CL2" i="10"/>
  <c r="DJ2" i="10"/>
  <c r="DV2" i="10"/>
  <c r="P3" i="8"/>
  <c r="AK3" i="8"/>
  <c r="L2" i="12"/>
  <c r="AQ2" i="12"/>
  <c r="BG2" i="12"/>
  <c r="CY2" i="12"/>
  <c r="EJ2" i="12"/>
  <c r="IA2" i="12"/>
  <c r="JQ2" i="12"/>
  <c r="L3" i="13"/>
  <c r="AN3" i="13"/>
  <c r="BL3" i="13"/>
  <c r="CY3" i="13"/>
  <c r="DT3" i="13"/>
  <c r="FV3" i="13"/>
  <c r="HV3" i="13"/>
  <c r="JQ3" i="13"/>
  <c r="EB3" i="25"/>
  <c r="EA3" i="33"/>
  <c r="Z3" i="35"/>
  <c r="AM3" i="27"/>
  <c r="FJ3" i="27"/>
  <c r="CT3" i="16"/>
  <c r="G3" i="13"/>
  <c r="DA3" i="29"/>
  <c r="CZ3" i="29"/>
  <c r="DB3" i="29"/>
  <c r="DZ3" i="13"/>
  <c r="BQ3" i="29"/>
  <c r="BP3" i="29"/>
  <c r="BR3" i="29"/>
  <c r="EF2" i="12"/>
  <c r="FG3" i="29"/>
  <c r="FF3" i="29"/>
  <c r="FH3" i="29"/>
  <c r="EB3" i="29"/>
  <c r="DZ3" i="29"/>
  <c r="EA3" i="29"/>
  <c r="AU2" i="12"/>
  <c r="L3" i="29"/>
  <c r="K3" i="29"/>
  <c r="J3" i="29"/>
  <c r="BH3" i="13"/>
  <c r="CK3" i="29"/>
  <c r="CL3" i="29"/>
  <c r="CM3" i="29"/>
  <c r="GH2" i="12"/>
  <c r="DO3" i="19"/>
  <c r="DO3" i="18"/>
  <c r="DO3" i="16"/>
  <c r="FK3" i="29"/>
  <c r="FJ3" i="29"/>
  <c r="FI3" i="29"/>
  <c r="I3" i="29"/>
  <c r="H3" i="29"/>
  <c r="G3" i="29"/>
  <c r="F2" i="10"/>
  <c r="N2" i="10"/>
  <c r="AD2" i="10"/>
  <c r="AT2" i="10"/>
  <c r="BJ2" i="10"/>
  <c r="BV2" i="10"/>
  <c r="CT2" i="10"/>
  <c r="EI2" i="10"/>
  <c r="X3" i="8"/>
  <c r="T2" i="12"/>
  <c r="AR2" i="12"/>
  <c r="BO2" i="12"/>
  <c r="DL2" i="12"/>
  <c r="EZ2" i="12"/>
  <c r="IU2" i="12"/>
  <c r="C3" i="13"/>
  <c r="S3" i="13"/>
  <c r="AQ3" i="13"/>
  <c r="BT3" i="13"/>
  <c r="CZ3" i="13"/>
  <c r="GD3" i="13"/>
  <c r="KJ3" i="13"/>
  <c r="FN3" i="33"/>
  <c r="AM3" i="23"/>
  <c r="AM3" i="21"/>
  <c r="AM3" i="17"/>
  <c r="AM3" i="22"/>
  <c r="G3" i="20"/>
  <c r="BR3" i="19"/>
  <c r="G3" i="19"/>
  <c r="CG3" i="18"/>
  <c r="BQ3" i="18"/>
  <c r="CG3" i="16"/>
  <c r="BQ3" i="16"/>
  <c r="AD3" i="16"/>
  <c r="BV3" i="27"/>
  <c r="BU3" i="35"/>
  <c r="BV3" i="33"/>
  <c r="AD3" i="19"/>
  <c r="BU3" i="27"/>
  <c r="BU3" i="33"/>
  <c r="AD3" i="18"/>
  <c r="BV3" i="35"/>
  <c r="BV3" i="25"/>
  <c r="G3" i="18"/>
  <c r="G3" i="16"/>
  <c r="BU3" i="25"/>
  <c r="BQ3" i="19"/>
  <c r="BR3" i="18"/>
  <c r="CG3" i="19"/>
  <c r="BR3" i="16"/>
  <c r="DN3" i="35"/>
  <c r="DT3" i="27"/>
  <c r="V3" i="18"/>
  <c r="EB3" i="18"/>
  <c r="P3" i="19"/>
  <c r="K3" i="20"/>
  <c r="K3" i="19"/>
  <c r="P3" i="18"/>
  <c r="P3" i="16"/>
  <c r="AL3" i="13"/>
  <c r="AL2" i="12"/>
  <c r="E2" i="10"/>
  <c r="K3" i="16"/>
  <c r="AK3" i="13"/>
  <c r="AK2" i="12"/>
  <c r="B3" i="8"/>
  <c r="D2" i="10"/>
  <c r="K3" i="18"/>
  <c r="AW3" i="22"/>
  <c r="AW3" i="23"/>
  <c r="AW3" i="21"/>
  <c r="AW3" i="17"/>
  <c r="CE3" i="19"/>
  <c r="CE3" i="18"/>
  <c r="A3" i="18"/>
  <c r="A3" i="16"/>
  <c r="G3" i="8"/>
  <c r="A3" i="19"/>
  <c r="CV3" i="13"/>
  <c r="D3" i="19"/>
  <c r="D3" i="18"/>
  <c r="T2" i="10"/>
  <c r="BD3" i="20"/>
  <c r="BD3" i="16"/>
  <c r="BD3" i="19"/>
  <c r="BD3" i="18"/>
  <c r="J3" i="13"/>
  <c r="J2" i="12"/>
  <c r="K3" i="8"/>
  <c r="AB2" i="10"/>
  <c r="DR3" i="27"/>
  <c r="DQ3" i="35"/>
  <c r="DR3" i="33"/>
  <c r="DQ3" i="27"/>
  <c r="DQ3" i="33"/>
  <c r="DR3" i="35"/>
  <c r="DR3" i="25"/>
  <c r="FE3" i="13"/>
  <c r="DQ3" i="25"/>
  <c r="DS3" i="27"/>
  <c r="DS3" i="25"/>
  <c r="FF2" i="12"/>
  <c r="O3" i="8"/>
  <c r="DS3" i="33"/>
  <c r="FE2" i="12"/>
  <c r="AJ2" i="10"/>
  <c r="DS3" i="35"/>
  <c r="S3" i="8"/>
  <c r="AR2" i="10"/>
  <c r="AH3" i="20"/>
  <c r="AH3" i="19"/>
  <c r="AH3" i="18"/>
  <c r="W3" i="8"/>
  <c r="AZ2" i="10"/>
  <c r="AS3" i="20"/>
  <c r="AS3" i="19"/>
  <c r="AS3" i="18"/>
  <c r="AS3" i="16"/>
  <c r="AA3" i="8"/>
  <c r="BI2" i="10"/>
  <c r="BH2" i="10"/>
  <c r="BM3" i="16"/>
  <c r="AS3" i="27"/>
  <c r="AR3" i="35"/>
  <c r="AS3" i="33"/>
  <c r="BM3" i="19"/>
  <c r="AR3" i="27"/>
  <c r="AR3" i="33"/>
  <c r="AS3" i="35"/>
  <c r="AS3" i="25"/>
  <c r="IN3" i="13"/>
  <c r="BM3" i="18"/>
  <c r="AT3" i="33"/>
  <c r="IO3" i="13"/>
  <c r="IO2" i="12"/>
  <c r="AE3" i="8"/>
  <c r="AT3" i="35"/>
  <c r="AT3" i="25"/>
  <c r="IM3" i="13"/>
  <c r="IN2" i="12"/>
  <c r="BP2" i="10"/>
  <c r="AR3" i="25"/>
  <c r="CL3" i="27"/>
  <c r="CL3" i="33"/>
  <c r="CL3" i="35"/>
  <c r="CL3" i="25"/>
  <c r="CM3" i="27"/>
  <c r="CM3" i="25"/>
  <c r="CM3" i="33"/>
  <c r="DL3" i="13"/>
  <c r="BX2" i="10"/>
  <c r="CM3" i="35"/>
  <c r="CG2" i="10"/>
  <c r="CF2" i="10"/>
  <c r="CX3" i="19"/>
  <c r="CL3" i="19"/>
  <c r="CK3" i="16"/>
  <c r="FF3" i="27"/>
  <c r="FE3" i="35"/>
  <c r="FF3" i="33"/>
  <c r="CL3" i="20"/>
  <c r="CK3" i="19"/>
  <c r="CX3" i="18"/>
  <c r="CL3" i="18"/>
  <c r="FE3" i="27"/>
  <c r="FD3" i="35"/>
  <c r="FE3" i="33"/>
  <c r="CX3" i="16"/>
  <c r="CL3" i="16"/>
  <c r="FD3" i="27"/>
  <c r="FF3" i="35"/>
  <c r="FD3" i="33"/>
  <c r="FF3" i="25"/>
  <c r="GM3" i="13"/>
  <c r="CK3" i="18"/>
  <c r="FE3" i="25"/>
  <c r="GN3" i="13"/>
  <c r="GN2" i="12"/>
  <c r="CO2" i="10"/>
  <c r="FD3" i="25"/>
  <c r="GM2" i="12"/>
  <c r="CN2" i="10"/>
  <c r="CD3" i="27"/>
  <c r="CD3" i="33"/>
  <c r="CD3" i="35"/>
  <c r="CD3" i="25"/>
  <c r="DI3" i="13"/>
  <c r="CE3" i="35"/>
  <c r="CE3" i="25"/>
  <c r="DJ2" i="12"/>
  <c r="CW2" i="10"/>
  <c r="DI2" i="12"/>
  <c r="CV2" i="10"/>
  <c r="CE3" i="27"/>
  <c r="BZ3" i="19"/>
  <c r="BZ3" i="18"/>
  <c r="BZ3" i="16"/>
  <c r="DH2" i="10"/>
  <c r="AZ3" i="27"/>
  <c r="AZ3" i="33"/>
  <c r="BB3" i="35"/>
  <c r="AZ3" i="35"/>
  <c r="AZ3" i="25"/>
  <c r="IV3" i="13"/>
  <c r="BA3" i="35"/>
  <c r="BA3" i="25"/>
  <c r="IW3" i="13"/>
  <c r="IW2" i="12"/>
  <c r="BE3" i="8"/>
  <c r="BB3" i="27"/>
  <c r="IU3" i="13"/>
  <c r="IV2" i="12"/>
  <c r="DP2" i="10"/>
  <c r="BA3" i="27"/>
  <c r="BB3" i="33"/>
  <c r="BP3" i="35"/>
  <c r="JN3" i="13"/>
  <c r="BO3" i="35"/>
  <c r="BO3" i="25"/>
  <c r="JO2" i="12"/>
  <c r="BP3" i="27"/>
  <c r="JO3" i="13"/>
  <c r="JN2" i="12"/>
  <c r="BI3" i="8"/>
  <c r="BO3" i="27"/>
  <c r="BP3" i="33"/>
  <c r="BR3" i="13"/>
  <c r="BR2" i="12"/>
  <c r="EC2" i="10"/>
  <c r="BQ3" i="13"/>
  <c r="BQ2" i="12"/>
  <c r="BM3" i="8"/>
  <c r="AQ3" i="18"/>
  <c r="AQ3" i="20"/>
  <c r="AQ3" i="19"/>
  <c r="AQ3" i="16"/>
  <c r="AP3" i="13"/>
  <c r="AP2" i="12"/>
  <c r="AO3" i="13"/>
  <c r="AO2" i="12"/>
  <c r="BC3" i="18"/>
  <c r="BC3" i="20"/>
  <c r="BC3" i="16"/>
  <c r="BC3" i="19"/>
  <c r="BA3" i="13"/>
  <c r="BA2" i="12"/>
  <c r="CG3" i="13"/>
  <c r="CH2" i="12"/>
  <c r="CH3" i="13"/>
  <c r="CG2" i="12"/>
  <c r="DA3" i="18"/>
  <c r="DA3" i="16"/>
  <c r="DA3" i="19"/>
  <c r="CW3" i="13"/>
  <c r="CX3" i="13"/>
  <c r="CX2" i="12"/>
  <c r="CW2" i="12"/>
  <c r="DM3" i="35"/>
  <c r="DM3" i="27"/>
  <c r="DL3" i="35"/>
  <c r="DM3" i="33"/>
  <c r="FA3" i="13"/>
  <c r="DM3" i="25"/>
  <c r="DK3" i="35"/>
  <c r="DK3" i="25"/>
  <c r="EY3" i="13"/>
  <c r="DL3" i="27"/>
  <c r="FA2" i="12"/>
  <c r="DK3" i="27"/>
  <c r="DL3" i="33"/>
  <c r="DQ3" i="19"/>
  <c r="DQ3" i="18"/>
  <c r="EL3" i="27"/>
  <c r="EK3" i="35"/>
  <c r="EL3" i="33"/>
  <c r="EK3" i="27"/>
  <c r="EK3" i="33"/>
  <c r="DQ3" i="16"/>
  <c r="EL3" i="25"/>
  <c r="FW3" i="13"/>
  <c r="EM3" i="27"/>
  <c r="EM3" i="35"/>
  <c r="EM3" i="33"/>
  <c r="EK3" i="25"/>
  <c r="FX3" i="13"/>
  <c r="FX2" i="12"/>
  <c r="EL3" i="35"/>
  <c r="FW2" i="12"/>
  <c r="EM3" i="25"/>
  <c r="CD3" i="19"/>
  <c r="K3" i="35"/>
  <c r="CD3" i="18"/>
  <c r="K3" i="27"/>
  <c r="J3" i="35"/>
  <c r="K3" i="33"/>
  <c r="CD3" i="16"/>
  <c r="J3" i="33"/>
  <c r="HD2" i="12"/>
  <c r="K3" i="25"/>
  <c r="HE3" i="13"/>
  <c r="CS3" i="19"/>
  <c r="Y3" i="27"/>
  <c r="X3" i="35"/>
  <c r="Y3" i="33"/>
  <c r="CS3" i="18"/>
  <c r="X3" i="27"/>
  <c r="W3" i="35"/>
  <c r="X3" i="33"/>
  <c r="CS3" i="16"/>
  <c r="Y3" i="25"/>
  <c r="HT3" i="13"/>
  <c r="Y3" i="35"/>
  <c r="W3" i="33"/>
  <c r="HS3" i="13"/>
  <c r="HT2" i="12"/>
  <c r="X3" i="25"/>
  <c r="HR3" i="13"/>
  <c r="CO3" i="18"/>
  <c r="CO3" i="16"/>
  <c r="AK3" i="27"/>
  <c r="AJ3" i="35"/>
  <c r="AK3" i="33"/>
  <c r="AJ3" i="27"/>
  <c r="AI3" i="35"/>
  <c r="AJ3" i="33"/>
  <c r="CO3" i="19"/>
  <c r="AI3" i="27"/>
  <c r="AI3" i="33"/>
  <c r="AK3" i="25"/>
  <c r="IF3" i="13"/>
  <c r="AK3" i="35"/>
  <c r="IE3" i="13"/>
  <c r="AJ3" i="25"/>
  <c r="ID3" i="13"/>
  <c r="IF2" i="12"/>
  <c r="AI3" i="25"/>
  <c r="DY3" i="35"/>
  <c r="DY3" i="27"/>
  <c r="DX3" i="35"/>
  <c r="DY3" i="33"/>
  <c r="DX3" i="27"/>
  <c r="DX3" i="33"/>
  <c r="FM3" i="13"/>
  <c r="DW3" i="27"/>
  <c r="DW3" i="35"/>
  <c r="DW3" i="33"/>
  <c r="DY3" i="25"/>
  <c r="DX3" i="25"/>
  <c r="FM2" i="12"/>
  <c r="DW3" i="25"/>
  <c r="JD3" i="13"/>
  <c r="BI3" i="27"/>
  <c r="BI3" i="25"/>
  <c r="BI3" i="33"/>
  <c r="JD2" i="12"/>
  <c r="BI3" i="35"/>
  <c r="U3" i="18"/>
  <c r="U3" i="16"/>
  <c r="AG3" i="20"/>
  <c r="AG3" i="19"/>
  <c r="AG3" i="16"/>
  <c r="AG3" i="18"/>
  <c r="AN3" i="20"/>
  <c r="AN3" i="16"/>
  <c r="AN3" i="19"/>
  <c r="AN3" i="18"/>
  <c r="AU3" i="18"/>
  <c r="AU3" i="16"/>
  <c r="AU3" i="20"/>
  <c r="AU3" i="19"/>
  <c r="BW3" i="19"/>
  <c r="BW3" i="18"/>
  <c r="BW3" i="16"/>
  <c r="AJ3" i="21"/>
  <c r="AJ3" i="22"/>
  <c r="AJ3" i="17"/>
  <c r="AJ3" i="23"/>
  <c r="JY2" i="12"/>
  <c r="BS3" i="8"/>
  <c r="JY3" i="13"/>
  <c r="AG3" i="23"/>
  <c r="AG3" i="17"/>
  <c r="AG3" i="22"/>
  <c r="AG3" i="21"/>
  <c r="BF3" i="18"/>
  <c r="BF3" i="19"/>
  <c r="BF3" i="16"/>
  <c r="JZ2" i="12"/>
  <c r="BT3" i="8"/>
  <c r="KA3" i="13"/>
  <c r="JZ3" i="13"/>
  <c r="AL3" i="23"/>
  <c r="AL3" i="21"/>
  <c r="AL3" i="22"/>
  <c r="AL3" i="17"/>
  <c r="AP3" i="23"/>
  <c r="AP3" i="22"/>
  <c r="AP3" i="17"/>
  <c r="AP3" i="21"/>
  <c r="AQ3" i="22"/>
  <c r="BN3" i="20"/>
  <c r="AQ3" i="23"/>
  <c r="BN3" i="19"/>
  <c r="AQ3" i="17"/>
  <c r="BN3" i="18"/>
  <c r="AQ3" i="21"/>
  <c r="BN3" i="16"/>
  <c r="AY3" i="21"/>
  <c r="AY3" i="22"/>
  <c r="AY3" i="23"/>
  <c r="AY3" i="17"/>
  <c r="DF3" i="20"/>
  <c r="DF3" i="18"/>
  <c r="DF3" i="19"/>
  <c r="DF3" i="16"/>
  <c r="BI3" i="23"/>
  <c r="BI3" i="22"/>
  <c r="BI3" i="17"/>
  <c r="BI3" i="21"/>
  <c r="GD3" i="27"/>
  <c r="GC3" i="27"/>
  <c r="LA3" i="29"/>
  <c r="CK3" i="31"/>
  <c r="BK3" i="22"/>
  <c r="LB3" i="29"/>
  <c r="BK3" i="23"/>
  <c r="DT3" i="20"/>
  <c r="DT3" i="18"/>
  <c r="BK3" i="17"/>
  <c r="CL3" i="31"/>
  <c r="DT3" i="19"/>
  <c r="GC3" i="33"/>
  <c r="DT3" i="16"/>
  <c r="GC3" i="35"/>
  <c r="GC3" i="25"/>
  <c r="KF3" i="13"/>
  <c r="BK3" i="21"/>
  <c r="GD3" i="35"/>
  <c r="GD3" i="25"/>
  <c r="KF2" i="12"/>
  <c r="EO2" i="10"/>
  <c r="KE3" i="13"/>
  <c r="LK3" i="29"/>
  <c r="CU3" i="31"/>
  <c r="BV3" i="22"/>
  <c r="LL3" i="29"/>
  <c r="BV3" i="23"/>
  <c r="BV3" i="17"/>
  <c r="EE3" i="18"/>
  <c r="EE3" i="19"/>
  <c r="FR3" i="35"/>
  <c r="EE3" i="16"/>
  <c r="FR3" i="27"/>
  <c r="FQ3" i="35"/>
  <c r="FR3" i="33"/>
  <c r="FQ3" i="27"/>
  <c r="FQ3" i="33"/>
  <c r="KQ3" i="13"/>
  <c r="FR3" i="25"/>
  <c r="EW2" i="10"/>
  <c r="FQ3" i="25"/>
  <c r="KQ2" i="12"/>
  <c r="CE3" i="8"/>
  <c r="CV3" i="31"/>
  <c r="AX3" i="3"/>
  <c r="BB3" i="3"/>
  <c r="BF3" i="3"/>
  <c r="BJ3" i="3"/>
  <c r="BN3" i="3"/>
  <c r="BR3" i="3"/>
  <c r="BV3" i="3"/>
  <c r="BZ3" i="3"/>
  <c r="CK3" i="3"/>
  <c r="CP3" i="3"/>
  <c r="CU3" i="3"/>
  <c r="CY3" i="3"/>
  <c r="DC3" i="3"/>
  <c r="DG3" i="3"/>
  <c r="DK3" i="3"/>
  <c r="DO3" i="3"/>
  <c r="DS3" i="3"/>
  <c r="B2" i="10"/>
  <c r="AE2" i="10"/>
  <c r="AM2" i="10"/>
  <c r="AU2" i="10"/>
  <c r="BC2" i="10"/>
  <c r="BK2" i="10"/>
  <c r="BZ2" i="10"/>
  <c r="CH2" i="10"/>
  <c r="CP2" i="10"/>
  <c r="DF2" i="10"/>
  <c r="DR2" i="10"/>
  <c r="EK2" i="10"/>
  <c r="ER2" i="10"/>
  <c r="EX2" i="10"/>
  <c r="L3" i="8"/>
  <c r="T3" i="8"/>
  <c r="AB3" i="8"/>
  <c r="AO3" i="8"/>
  <c r="BW3" i="8"/>
  <c r="H2" i="12"/>
  <c r="X2" i="12"/>
  <c r="AM2" i="12"/>
  <c r="BS2" i="12"/>
  <c r="CR2" i="12"/>
  <c r="FL2" i="12"/>
  <c r="GW2" i="12"/>
  <c r="HW2" i="12"/>
  <c r="IE2" i="12"/>
  <c r="IQ2" i="12"/>
  <c r="KA2" i="12"/>
  <c r="O3" i="13"/>
  <c r="AZ3" i="13"/>
  <c r="BX3" i="13"/>
  <c r="FF3" i="13"/>
  <c r="FY3" i="13"/>
  <c r="IP3" i="13"/>
  <c r="KP3" i="13"/>
  <c r="C3" i="25"/>
  <c r="J3" i="25"/>
  <c r="BX3" i="25"/>
  <c r="EJ3" i="25"/>
  <c r="CE3" i="33"/>
  <c r="GD3" i="33"/>
  <c r="D3" i="16"/>
  <c r="U3" i="19"/>
  <c r="BV3" i="21"/>
  <c r="F3" i="20"/>
  <c r="F3" i="19"/>
  <c r="F3" i="16"/>
  <c r="F3" i="18"/>
  <c r="X2" i="10"/>
  <c r="AY3" i="20"/>
  <c r="AY3" i="18"/>
  <c r="AY3" i="19"/>
  <c r="DV3" i="27"/>
  <c r="DU3" i="35"/>
  <c r="DV3" i="33"/>
  <c r="AY3" i="16"/>
  <c r="DU3" i="27"/>
  <c r="DT3" i="35"/>
  <c r="DU3" i="33"/>
  <c r="DV3" i="25"/>
  <c r="DU3" i="25"/>
  <c r="DT3" i="33"/>
  <c r="DV3" i="35"/>
  <c r="I3" i="13"/>
  <c r="I2" i="12"/>
  <c r="AF2" i="10"/>
  <c r="EG3" i="35"/>
  <c r="EG3" i="27"/>
  <c r="EF3" i="35"/>
  <c r="EG3" i="33"/>
  <c r="EF3" i="27"/>
  <c r="EF3" i="33"/>
  <c r="EE3" i="27"/>
  <c r="EE3" i="35"/>
  <c r="EE3" i="33"/>
  <c r="EG3" i="25"/>
  <c r="FO3" i="13"/>
  <c r="FN2" i="12"/>
  <c r="EF3" i="25"/>
  <c r="FN3" i="13"/>
  <c r="AV2" i="10"/>
  <c r="EE3" i="25"/>
  <c r="AL3" i="20"/>
  <c r="AL3" i="19"/>
  <c r="AL3" i="18"/>
  <c r="CR3" i="35"/>
  <c r="CR3" i="27"/>
  <c r="CR3" i="33"/>
  <c r="AL3" i="16"/>
  <c r="CQ3" i="27"/>
  <c r="CQ3" i="35"/>
  <c r="CQ3" i="33"/>
  <c r="N3" i="13"/>
  <c r="DZ2" i="12"/>
  <c r="N2" i="12"/>
  <c r="BE2" i="10"/>
  <c r="CR3" i="25"/>
  <c r="M3" i="13"/>
  <c r="M2" i="12"/>
  <c r="BD2" i="10"/>
  <c r="CQ3" i="25"/>
  <c r="T3" i="20"/>
  <c r="T3" i="19"/>
  <c r="CW3" i="35"/>
  <c r="T3" i="18"/>
  <c r="CW3" i="27"/>
  <c r="CV3" i="35"/>
  <c r="CW3" i="33"/>
  <c r="EK3" i="13"/>
  <c r="CW3" i="25"/>
  <c r="CU3" i="35"/>
  <c r="CU3" i="25"/>
  <c r="EL2" i="12"/>
  <c r="BM2" i="10"/>
  <c r="CV3" i="27"/>
  <c r="EM3" i="13"/>
  <c r="EK2" i="12"/>
  <c r="BL2" i="10"/>
  <c r="T3" i="16"/>
  <c r="CU3" i="27"/>
  <c r="CV3" i="33"/>
  <c r="DK3" i="16"/>
  <c r="EX3" i="27"/>
  <c r="EW3" i="35"/>
  <c r="EX3" i="33"/>
  <c r="DK3" i="19"/>
  <c r="EW3" i="27"/>
  <c r="EW3" i="33"/>
  <c r="DK3" i="18"/>
  <c r="EX3" i="35"/>
  <c r="EX3" i="25"/>
  <c r="EG3" i="13"/>
  <c r="EW3" i="25"/>
  <c r="EY3" i="27"/>
  <c r="EY3" i="25"/>
  <c r="EY3" i="33"/>
  <c r="EG2" i="12"/>
  <c r="EY3" i="35"/>
  <c r="X3" i="20"/>
  <c r="X3" i="19"/>
  <c r="CX3" i="27"/>
  <c r="CX3" i="33"/>
  <c r="X3" i="18"/>
  <c r="CZ3" i="35"/>
  <c r="CZ3" i="27"/>
  <c r="CZ3" i="33"/>
  <c r="CX3" i="25"/>
  <c r="EO3" i="13"/>
  <c r="X3" i="16"/>
  <c r="CY3" i="27"/>
  <c r="CY3" i="35"/>
  <c r="CY3" i="33"/>
  <c r="EN3" i="13"/>
  <c r="EP2" i="12"/>
  <c r="CZ3" i="25"/>
  <c r="EO2" i="12"/>
  <c r="AL3" i="8"/>
  <c r="CB2" i="10"/>
  <c r="CY3" i="25"/>
  <c r="CW3" i="20"/>
  <c r="CW3" i="16"/>
  <c r="CW3" i="19"/>
  <c r="CJ3" i="16"/>
  <c r="FH3" i="35"/>
  <c r="GQ3" i="13"/>
  <c r="CJ3" i="19"/>
  <c r="CW3" i="18"/>
  <c r="FG3" i="35"/>
  <c r="FG3" i="25"/>
  <c r="CK2" i="10"/>
  <c r="FH3" i="27"/>
  <c r="GQ2" i="12"/>
  <c r="AP3" i="8"/>
  <c r="CJ2" i="10"/>
  <c r="FG3" i="27"/>
  <c r="FH3" i="33"/>
  <c r="GP3" i="13"/>
  <c r="CP3" i="27"/>
  <c r="CO3" i="35"/>
  <c r="CP3" i="33"/>
  <c r="CO3" i="27"/>
  <c r="CN3" i="35"/>
  <c r="CO3" i="33"/>
  <c r="CP3" i="25"/>
  <c r="CO3" i="25"/>
  <c r="CN3" i="33"/>
  <c r="DX3" i="13"/>
  <c r="DV2" i="12"/>
  <c r="CS2" i="10"/>
  <c r="CP3" i="35"/>
  <c r="DW3" i="13"/>
  <c r="AT3" i="8"/>
  <c r="CR2" i="10"/>
  <c r="BJ3" i="27"/>
  <c r="BJ3" i="33"/>
  <c r="BJ3" i="25"/>
  <c r="JJ3" i="13"/>
  <c r="BK3" i="27"/>
  <c r="BK3" i="35"/>
  <c r="BK3" i="33"/>
  <c r="BJ3" i="35"/>
  <c r="JI3" i="13"/>
  <c r="JJ2" i="12"/>
  <c r="DM2" i="10"/>
  <c r="BK3" i="25"/>
  <c r="GJ3" i="27"/>
  <c r="GI3" i="33"/>
  <c r="GI3" i="27"/>
  <c r="GJ3" i="35"/>
  <c r="GJ3" i="25"/>
  <c r="GI3" i="35"/>
  <c r="GI3" i="25"/>
  <c r="GJ3" i="33"/>
  <c r="JE2" i="12"/>
  <c r="DU2" i="10"/>
  <c r="JF3" i="13"/>
  <c r="DT2" i="10"/>
  <c r="JE3" i="13"/>
  <c r="BN3" i="27"/>
  <c r="BN3" i="33"/>
  <c r="BN3" i="35"/>
  <c r="BN3" i="25"/>
  <c r="DX2" i="10"/>
  <c r="JM3" i="13"/>
  <c r="BT3" i="35"/>
  <c r="BT3" i="27"/>
  <c r="BT3" i="33"/>
  <c r="JR3" i="13"/>
  <c r="BS3" i="27"/>
  <c r="BS3" i="35"/>
  <c r="BS3" i="33"/>
  <c r="JS2" i="12"/>
  <c r="EA2" i="10"/>
  <c r="BT3" i="25"/>
  <c r="JR2" i="12"/>
  <c r="BS3" i="25"/>
  <c r="JS3" i="13"/>
  <c r="AJ3" i="18"/>
  <c r="AJ3" i="16"/>
  <c r="V3" i="16"/>
  <c r="DF3" i="27"/>
  <c r="DF3" i="33"/>
  <c r="V3" i="20"/>
  <c r="V3" i="19"/>
  <c r="DF3" i="25"/>
  <c r="DG3" i="27"/>
  <c r="DG3" i="35"/>
  <c r="DG3" i="33"/>
  <c r="AJ3" i="20"/>
  <c r="DF3" i="35"/>
  <c r="ER3" i="13"/>
  <c r="AJ3" i="19"/>
  <c r="DG3" i="25"/>
  <c r="AV3" i="16"/>
  <c r="AV3" i="19"/>
  <c r="AV3" i="20"/>
  <c r="AT3" i="13"/>
  <c r="AT2" i="12"/>
  <c r="AV3" i="18"/>
  <c r="S3" i="20"/>
  <c r="S3" i="19"/>
  <c r="S3" i="18"/>
  <c r="S3" i="16"/>
  <c r="BJ3" i="13"/>
  <c r="BJ2" i="12"/>
  <c r="BI3" i="13"/>
  <c r="BI2" i="12"/>
  <c r="CO3" i="13"/>
  <c r="CP2" i="12"/>
  <c r="CQ3" i="13"/>
  <c r="CO2" i="12"/>
  <c r="DE3" i="13"/>
  <c r="DC3" i="13"/>
  <c r="DE2" i="12"/>
  <c r="ED3" i="27"/>
  <c r="EC3" i="35"/>
  <c r="ED3" i="33"/>
  <c r="EC3" i="27"/>
  <c r="EC3" i="33"/>
  <c r="ED3" i="25"/>
  <c r="FQ3" i="13"/>
  <c r="EC3" i="25"/>
  <c r="FR2" i="12"/>
  <c r="FS3" i="13"/>
  <c r="FQ2" i="12"/>
  <c r="CB3" i="18"/>
  <c r="CB3" i="16"/>
  <c r="N3" i="35"/>
  <c r="N3" i="27"/>
  <c r="N3" i="33"/>
  <c r="M3" i="27"/>
  <c r="M3" i="33"/>
  <c r="N3" i="25"/>
  <c r="HH3" i="13"/>
  <c r="HH2" i="12"/>
  <c r="M3" i="25"/>
  <c r="CR3" i="16"/>
  <c r="Q3" i="27"/>
  <c r="Q3" i="33"/>
  <c r="CR3" i="19"/>
  <c r="S3" i="35"/>
  <c r="S3" i="27"/>
  <c r="S3" i="33"/>
  <c r="Q3" i="25"/>
  <c r="HL3" i="13"/>
  <c r="R3" i="27"/>
  <c r="R3" i="33"/>
  <c r="HM2" i="12"/>
  <c r="R3" i="35"/>
  <c r="HN3" i="13"/>
  <c r="HL2" i="12"/>
  <c r="CR3" i="18"/>
  <c r="Q3" i="35"/>
  <c r="S3" i="25"/>
  <c r="HM3" i="13"/>
  <c r="CN3" i="18"/>
  <c r="CN3" i="19"/>
  <c r="AC3" i="27"/>
  <c r="AC3" i="33"/>
  <c r="CN3" i="16"/>
  <c r="AE3" i="35"/>
  <c r="AD3" i="35"/>
  <c r="AC3" i="25"/>
  <c r="HX3" i="13"/>
  <c r="AC3" i="35"/>
  <c r="HZ3" i="13"/>
  <c r="HY2" i="12"/>
  <c r="AE3" i="27"/>
  <c r="AE3" i="25"/>
  <c r="HY3" i="13"/>
  <c r="HX2" i="12"/>
  <c r="AD3" i="27"/>
  <c r="AE3" i="33"/>
  <c r="AD3" i="25"/>
  <c r="ET3" i="27"/>
  <c r="ET3" i="33"/>
  <c r="EV3" i="35"/>
  <c r="EV3" i="27"/>
  <c r="EV3" i="33"/>
  <c r="ET3" i="25"/>
  <c r="EU3" i="27"/>
  <c r="EU3" i="35"/>
  <c r="EU3" i="33"/>
  <c r="GH3" i="13"/>
  <c r="GF2" i="12"/>
  <c r="EV3" i="25"/>
  <c r="GG3" i="13"/>
  <c r="EU3" i="25"/>
  <c r="DL3" i="19"/>
  <c r="DB3" i="27"/>
  <c r="DA3" i="35"/>
  <c r="DB3" i="33"/>
  <c r="DL3" i="18"/>
  <c r="DA3" i="27"/>
  <c r="DA3" i="33"/>
  <c r="DB3" i="35"/>
  <c r="DB3" i="25"/>
  <c r="DA3" i="25"/>
  <c r="DC3" i="27"/>
  <c r="DC3" i="25"/>
  <c r="DL3" i="16"/>
  <c r="DC3" i="33"/>
  <c r="DC3" i="35"/>
  <c r="Z3" i="16"/>
  <c r="Z3" i="19"/>
  <c r="Z3" i="18"/>
  <c r="AK3" i="19"/>
  <c r="AK3" i="20"/>
  <c r="AK3" i="16"/>
  <c r="AP3" i="20"/>
  <c r="AP3" i="19"/>
  <c r="AP3" i="18"/>
  <c r="AP3" i="16"/>
  <c r="BQ3" i="8"/>
  <c r="EG2" i="10"/>
  <c r="BE3" i="20"/>
  <c r="AF3" i="17"/>
  <c r="BE3" i="19"/>
  <c r="AF3" i="23"/>
  <c r="AF3" i="22"/>
  <c r="BE3" i="18"/>
  <c r="AF3" i="21"/>
  <c r="CH3" i="8"/>
  <c r="BE3" i="16"/>
  <c r="CG3" i="31"/>
  <c r="KV3" i="29"/>
  <c r="CF3" i="31"/>
  <c r="AK3" i="22"/>
  <c r="AK3" i="23"/>
  <c r="BI3" i="20"/>
  <c r="BI3" i="18"/>
  <c r="AK3" i="17"/>
  <c r="BI3" i="19"/>
  <c r="BI3" i="16"/>
  <c r="KW3" i="29"/>
  <c r="AK3" i="21"/>
  <c r="KB3" i="13"/>
  <c r="BK3" i="19"/>
  <c r="BK3" i="18"/>
  <c r="BK3" i="16"/>
  <c r="AX3" i="23"/>
  <c r="CF3" i="18"/>
  <c r="CF3" i="19"/>
  <c r="CF3" i="16"/>
  <c r="AX3" i="21"/>
  <c r="AX3" i="17"/>
  <c r="DC3" i="18"/>
  <c r="DC3" i="16"/>
  <c r="BA3" i="22"/>
  <c r="BA3" i="23"/>
  <c r="BA3" i="17"/>
  <c r="BA3" i="21"/>
  <c r="BE3" i="23"/>
  <c r="BE3" i="22"/>
  <c r="BE3" i="21"/>
  <c r="FW3" i="27"/>
  <c r="FX3" i="27"/>
  <c r="CI3" i="31"/>
  <c r="KY3" i="29"/>
  <c r="KX3" i="29"/>
  <c r="CH3" i="31"/>
  <c r="DS3" i="19"/>
  <c r="FW3" i="35"/>
  <c r="FX3" i="33"/>
  <c r="DS3" i="18"/>
  <c r="FW3" i="33"/>
  <c r="FX3" i="35"/>
  <c r="FX3" i="25"/>
  <c r="KD3" i="13"/>
  <c r="FW3" i="25"/>
  <c r="BV3" i="8"/>
  <c r="KC3" i="13"/>
  <c r="KD2" i="12"/>
  <c r="BN3" i="22"/>
  <c r="BN3" i="21"/>
  <c r="BN3" i="17"/>
  <c r="BN3" i="23"/>
  <c r="DW3" i="19"/>
  <c r="DW3" i="18"/>
  <c r="LD3" i="29"/>
  <c r="DW3" i="20"/>
  <c r="BZ3" i="8"/>
  <c r="DW3" i="16"/>
  <c r="LO3" i="29"/>
  <c r="CY3" i="31"/>
  <c r="BS3" i="23"/>
  <c r="CZ3" i="31"/>
  <c r="BS3" i="22"/>
  <c r="BS3" i="17"/>
  <c r="EB3" i="20"/>
  <c r="EB3" i="16"/>
  <c r="FS3" i="27"/>
  <c r="FS3" i="33"/>
  <c r="EB3" i="19"/>
  <c r="BS3" i="21"/>
  <c r="FS3" i="35"/>
  <c r="FS3" i="25"/>
  <c r="FT3" i="27"/>
  <c r="FT3" i="25"/>
  <c r="KR2" i="12"/>
  <c r="CF3" i="8"/>
  <c r="LP3" i="29"/>
  <c r="FT3" i="33"/>
  <c r="KS3" i="13"/>
  <c r="FT3" i="35"/>
  <c r="KR3" i="13"/>
  <c r="AV3" i="3"/>
  <c r="AZ3" i="3"/>
  <c r="BD3" i="3"/>
  <c r="BH3" i="3"/>
  <c r="BL3" i="3"/>
  <c r="BP3" i="3"/>
  <c r="BT3" i="3"/>
  <c r="BX3" i="3"/>
  <c r="CR3" i="3"/>
  <c r="CW3" i="3"/>
  <c r="DA3" i="3"/>
  <c r="K2" i="10"/>
  <c r="DB2" i="10"/>
  <c r="DD2" i="12"/>
  <c r="ER2" i="12"/>
  <c r="FP2" i="12"/>
  <c r="AV3" i="13"/>
  <c r="EE3" i="13"/>
  <c r="EP3" i="13"/>
  <c r="R3" i="25"/>
  <c r="CN3" i="25"/>
  <c r="DT3" i="25"/>
  <c r="AD3" i="33"/>
  <c r="M3" i="35"/>
  <c r="CX3" i="35"/>
  <c r="DC3" i="19"/>
  <c r="BE3" i="17"/>
  <c r="B3" i="16"/>
  <c r="B3" i="18"/>
  <c r="B3" i="19"/>
  <c r="DH3" i="13"/>
  <c r="DF2" i="12"/>
  <c r="A2" i="10"/>
  <c r="DG3" i="13"/>
  <c r="M2" i="10"/>
  <c r="F3" i="8"/>
  <c r="L2" i="10"/>
  <c r="C3" i="19"/>
  <c r="C3" i="16"/>
  <c r="Q2" i="10"/>
  <c r="C3" i="18"/>
  <c r="BB3" i="20"/>
  <c r="BB3" i="19"/>
  <c r="BB3" i="18"/>
  <c r="BB3" i="16"/>
  <c r="V3" i="13"/>
  <c r="V2" i="12"/>
  <c r="Y2" i="10"/>
  <c r="J3" i="8"/>
  <c r="DN3" i="27"/>
  <c r="DN3" i="33"/>
  <c r="DP3" i="35"/>
  <c r="DP3" i="27"/>
  <c r="DP3" i="33"/>
  <c r="DN3" i="25"/>
  <c r="DO3" i="27"/>
  <c r="DO3" i="35"/>
  <c r="DO3" i="33"/>
  <c r="FD3" i="13"/>
  <c r="FB2" i="12"/>
  <c r="AG2" i="10"/>
  <c r="DP3" i="25"/>
  <c r="FC3" i="13"/>
  <c r="N3" i="8"/>
  <c r="DO3" i="25"/>
  <c r="AO2" i="10"/>
  <c r="R3" i="8"/>
  <c r="AF3" i="20"/>
  <c r="AF3" i="16"/>
  <c r="AF3" i="19"/>
  <c r="AF3" i="18"/>
  <c r="AW2" i="10"/>
  <c r="V3" i="8"/>
  <c r="N3" i="16"/>
  <c r="H3" i="27"/>
  <c r="G3" i="35"/>
  <c r="H3" i="33"/>
  <c r="G3" i="27"/>
  <c r="G3" i="33"/>
  <c r="I3" i="35"/>
  <c r="H3" i="25"/>
  <c r="HC3" i="13"/>
  <c r="N3" i="19"/>
  <c r="H3" i="35"/>
  <c r="I3" i="27"/>
  <c r="I3" i="25"/>
  <c r="HB3" i="13"/>
  <c r="B3" i="13"/>
  <c r="B2" i="12"/>
  <c r="N3" i="18"/>
  <c r="I3" i="33"/>
  <c r="G3" i="25"/>
  <c r="HA3" i="13"/>
  <c r="A3" i="13"/>
  <c r="HC2" i="12"/>
  <c r="A2" i="12"/>
  <c r="Z3" i="8"/>
  <c r="BU3" i="23"/>
  <c r="AV3" i="23"/>
  <c r="BJ3" i="22"/>
  <c r="BH3" i="22"/>
  <c r="AN3" i="22"/>
  <c r="BU3" i="21"/>
  <c r="AV3" i="21"/>
  <c r="BU3" i="17"/>
  <c r="AV3" i="17"/>
  <c r="DI3" i="20"/>
  <c r="AV3" i="22"/>
  <c r="BJ3" i="21"/>
  <c r="BH3" i="23"/>
  <c r="BU3" i="22"/>
  <c r="BH3" i="21"/>
  <c r="AN3" i="21"/>
  <c r="BH3" i="17"/>
  <c r="ED3" i="19"/>
  <c r="DI3" i="19"/>
  <c r="CU3" i="19"/>
  <c r="BS3" i="19"/>
  <c r="DR3" i="18"/>
  <c r="CZ3" i="18"/>
  <c r="ED3" i="18"/>
  <c r="DI3" i="18"/>
  <c r="CU3" i="18"/>
  <c r="BS3" i="18"/>
  <c r="BJ3" i="17"/>
  <c r="CZ3" i="19"/>
  <c r="BU3" i="16"/>
  <c r="BZ3" i="27"/>
  <c r="AW3" i="27"/>
  <c r="BY3" i="35"/>
  <c r="AV3" i="35"/>
  <c r="BZ3" i="33"/>
  <c r="AW3" i="33"/>
  <c r="BU3" i="19"/>
  <c r="DR3" i="16"/>
  <c r="CZ3" i="16"/>
  <c r="BY3" i="27"/>
  <c r="AV3" i="27"/>
  <c r="BX3" i="35"/>
  <c r="AU3" i="35"/>
  <c r="BY3" i="33"/>
  <c r="AV3" i="33"/>
  <c r="BJ3" i="23"/>
  <c r="DI3" i="16"/>
  <c r="BZ3" i="25"/>
  <c r="AW3" i="25"/>
  <c r="IR3" i="13"/>
  <c r="AN3" i="17"/>
  <c r="BU3" i="18"/>
  <c r="CU3" i="16"/>
  <c r="BS3" i="16"/>
  <c r="AU3" i="27"/>
  <c r="AU3" i="33"/>
  <c r="BY3" i="25"/>
  <c r="BW3" i="27"/>
  <c r="AW3" i="35"/>
  <c r="BX3" i="33"/>
  <c r="BW3" i="25"/>
  <c r="AU3" i="25"/>
  <c r="AN3" i="23"/>
  <c r="DR3" i="19"/>
  <c r="BZ3" i="35"/>
  <c r="BW3" i="33"/>
  <c r="IR2" i="12"/>
  <c r="AD3" i="8"/>
  <c r="ED3" i="16"/>
  <c r="BW3" i="35"/>
  <c r="IQ3" i="13"/>
  <c r="CH3" i="27"/>
  <c r="CG3" i="35"/>
  <c r="CH3" i="33"/>
  <c r="CG3" i="27"/>
  <c r="CF3" i="35"/>
  <c r="CG3" i="33"/>
  <c r="CH3" i="25"/>
  <c r="DU3" i="13"/>
  <c r="CG3" i="25"/>
  <c r="DS3" i="13"/>
  <c r="AI3" i="8"/>
  <c r="BU2" i="10"/>
  <c r="CF3" i="27"/>
  <c r="DU2" i="12"/>
  <c r="CF3" i="33"/>
  <c r="DE3" i="20"/>
  <c r="DE3" i="19"/>
  <c r="DE3" i="18"/>
  <c r="EZ3" i="35"/>
  <c r="DE3" i="16"/>
  <c r="GI3" i="13"/>
  <c r="EZ3" i="33"/>
  <c r="AM3" i="8"/>
  <c r="CC2" i="10"/>
  <c r="GI2" i="12"/>
  <c r="CI3" i="19"/>
  <c r="CV3" i="18"/>
  <c r="CV3" i="20"/>
  <c r="CI3" i="18"/>
  <c r="FI3" i="35"/>
  <c r="CV3" i="16"/>
  <c r="FI3" i="27"/>
  <c r="FI3" i="33"/>
  <c r="CV3" i="19"/>
  <c r="CI3" i="16"/>
  <c r="FI3" i="25"/>
  <c r="GS3" i="13"/>
  <c r="GR2" i="12"/>
  <c r="AQ3" i="8"/>
  <c r="GR3" i="13"/>
  <c r="CC3" i="35"/>
  <c r="CC3" i="27"/>
  <c r="CB3" i="35"/>
  <c r="CC3" i="33"/>
  <c r="CB3" i="27"/>
  <c r="CB3" i="33"/>
  <c r="DY3" i="13"/>
  <c r="DM3" i="13"/>
  <c r="CA3" i="27"/>
  <c r="CA3" i="35"/>
  <c r="CA3" i="33"/>
  <c r="CC3" i="25"/>
  <c r="DN3" i="13"/>
  <c r="DN2" i="12"/>
  <c r="AU3" i="8"/>
  <c r="CB3" i="25"/>
  <c r="DY2" i="12"/>
  <c r="DM2" i="12"/>
  <c r="CA3" i="25"/>
  <c r="DE2" i="10"/>
  <c r="DD2" i="10"/>
  <c r="BM3" i="35"/>
  <c r="BM3" i="27"/>
  <c r="BL3" i="35"/>
  <c r="BM3" i="33"/>
  <c r="BL3" i="27"/>
  <c r="BL3" i="33"/>
  <c r="BM3" i="25"/>
  <c r="JK3" i="13"/>
  <c r="JK2" i="12"/>
  <c r="DL2" i="10"/>
  <c r="BL3" i="25"/>
  <c r="GG3" i="33"/>
  <c r="GG3" i="25"/>
  <c r="GH3" i="35"/>
  <c r="GH3" i="27"/>
  <c r="GG3" i="35"/>
  <c r="GG3" i="27"/>
  <c r="GH3" i="33"/>
  <c r="GH3" i="25"/>
  <c r="AU3" i="23"/>
  <c r="AU3" i="17"/>
  <c r="AU3" i="22"/>
  <c r="BP3" i="16"/>
  <c r="AU3" i="21"/>
  <c r="BP3" i="19"/>
  <c r="JH3" i="13"/>
  <c r="JG3" i="13"/>
  <c r="JH2" i="12"/>
  <c r="BG3" i="8"/>
  <c r="BP3" i="18"/>
  <c r="FZ3" i="27"/>
  <c r="GB3" i="27"/>
  <c r="GA3" i="27"/>
  <c r="Q3" i="19"/>
  <c r="Q3" i="18"/>
  <c r="FZ3" i="35"/>
  <c r="GA3" i="33"/>
  <c r="Q3" i="16"/>
  <c r="FZ3" i="33"/>
  <c r="GA3" i="25"/>
  <c r="Q3" i="20"/>
  <c r="GB3" i="35"/>
  <c r="GB3" i="33"/>
  <c r="FZ3" i="25"/>
  <c r="BF3" i="13"/>
  <c r="BF2" i="12"/>
  <c r="GA3" i="35"/>
  <c r="BM3" i="13"/>
  <c r="BE3" i="13"/>
  <c r="BM2" i="12"/>
  <c r="BE2" i="12"/>
  <c r="EB2" i="10"/>
  <c r="GB3" i="25"/>
  <c r="AH3" i="13"/>
  <c r="AH2" i="12"/>
  <c r="AT3" i="20"/>
  <c r="AT3" i="19"/>
  <c r="AT3" i="18"/>
  <c r="AT3" i="16"/>
  <c r="AX3" i="13"/>
  <c r="AX2" i="12"/>
  <c r="AW3" i="13"/>
  <c r="AW2" i="12"/>
  <c r="W3" i="19"/>
  <c r="BN3" i="13"/>
  <c r="BN2" i="12"/>
  <c r="W3" i="16"/>
  <c r="W3" i="18"/>
  <c r="CS3" i="13"/>
  <c r="CR3" i="13"/>
  <c r="CT2" i="12"/>
  <c r="CS2" i="12"/>
  <c r="BG3" i="23"/>
  <c r="BG3" i="21"/>
  <c r="BG3" i="17"/>
  <c r="BG3" i="22"/>
  <c r="DN3" i="18"/>
  <c r="DN3" i="19"/>
  <c r="DJ3" i="27"/>
  <c r="DI3" i="35"/>
  <c r="DJ3" i="33"/>
  <c r="DN3" i="16"/>
  <c r="DI3" i="27"/>
  <c r="DH3" i="35"/>
  <c r="DI3" i="33"/>
  <c r="DH3" i="27"/>
  <c r="DJ3" i="35"/>
  <c r="DH3" i="33"/>
  <c r="DJ3" i="25"/>
  <c r="ES3" i="13"/>
  <c r="DI3" i="25"/>
  <c r="ET3" i="13"/>
  <c r="ET2" i="12"/>
  <c r="DH3" i="25"/>
  <c r="ES2" i="12"/>
  <c r="CA3" i="20"/>
  <c r="CA3" i="19"/>
  <c r="CA3" i="18"/>
  <c r="P3" i="27"/>
  <c r="O3" i="35"/>
  <c r="P3" i="33"/>
  <c r="O3" i="27"/>
  <c r="O3" i="33"/>
  <c r="P3" i="25"/>
  <c r="HK3" i="13"/>
  <c r="CA3" i="16"/>
  <c r="P3" i="35"/>
  <c r="HK2" i="12"/>
  <c r="HJ3" i="13"/>
  <c r="CQ3" i="18"/>
  <c r="U3" i="27"/>
  <c r="T3" i="35"/>
  <c r="U3" i="33"/>
  <c r="CQ3" i="16"/>
  <c r="T3" i="27"/>
  <c r="T3" i="33"/>
  <c r="V3" i="35"/>
  <c r="U3" i="25"/>
  <c r="HP3" i="13"/>
  <c r="U3" i="35"/>
  <c r="V3" i="27"/>
  <c r="V3" i="25"/>
  <c r="HO3" i="13"/>
  <c r="HQ2" i="12"/>
  <c r="CQ3" i="19"/>
  <c r="V3" i="33"/>
  <c r="T3" i="25"/>
  <c r="HP2" i="12"/>
  <c r="CP3" i="19"/>
  <c r="AG3" i="27"/>
  <c r="AF3" i="35"/>
  <c r="AG3" i="33"/>
  <c r="AF3" i="27"/>
  <c r="AF3" i="33"/>
  <c r="CP3" i="18"/>
  <c r="AG3" i="25"/>
  <c r="IB3" i="13"/>
  <c r="AH3" i="27"/>
  <c r="AH3" i="33"/>
  <c r="CP3" i="16"/>
  <c r="AF3" i="25"/>
  <c r="IC2" i="12"/>
  <c r="AH3" i="35"/>
  <c r="IB2" i="12"/>
  <c r="AG3" i="35"/>
  <c r="IC3" i="13"/>
  <c r="AC3" i="19"/>
  <c r="AC3" i="18"/>
  <c r="AC3" i="16"/>
  <c r="EW3" i="13"/>
  <c r="EX2" i="12"/>
  <c r="EJ2" i="10"/>
  <c r="EX3" i="13"/>
  <c r="EW2" i="12"/>
  <c r="BH3" i="27"/>
  <c r="BG3" i="35"/>
  <c r="BH3" i="33"/>
  <c r="BG3" i="27"/>
  <c r="BG3" i="33"/>
  <c r="BH3" i="35"/>
  <c r="BH3" i="25"/>
  <c r="BG3" i="25"/>
  <c r="JB3" i="13"/>
  <c r="DM3" i="19"/>
  <c r="DM3" i="18"/>
  <c r="DE3" i="35"/>
  <c r="DE3" i="27"/>
  <c r="DD3" i="35"/>
  <c r="DE3" i="33"/>
  <c r="DE3" i="25"/>
  <c r="DM3" i="16"/>
  <c r="DD3" i="33"/>
  <c r="AE3" i="18"/>
  <c r="AE3" i="20"/>
  <c r="AE3" i="16"/>
  <c r="AM3" i="18"/>
  <c r="AM3" i="20"/>
  <c r="AM3" i="16"/>
  <c r="AM3" i="19"/>
  <c r="AR3" i="20"/>
  <c r="AR3" i="18"/>
  <c r="AR3" i="16"/>
  <c r="AR3" i="19"/>
  <c r="GF3" i="27"/>
  <c r="AI3" i="23"/>
  <c r="AI3" i="21"/>
  <c r="BH3" i="20"/>
  <c r="BH3" i="16"/>
  <c r="AI3" i="17"/>
  <c r="BH3" i="19"/>
  <c r="JW3" i="13"/>
  <c r="AI3" i="22"/>
  <c r="BH3" i="18"/>
  <c r="GF3" i="25"/>
  <c r="EH2" i="10"/>
  <c r="GF3" i="33"/>
  <c r="JW2" i="12"/>
  <c r="GF3" i="35"/>
  <c r="BX3" i="18"/>
  <c r="BX3" i="19"/>
  <c r="BX3" i="16"/>
  <c r="AH3" i="23"/>
  <c r="AH3" i="22"/>
  <c r="BG3" i="20"/>
  <c r="BG3" i="19"/>
  <c r="AH3" i="21"/>
  <c r="BG3" i="18"/>
  <c r="BG3" i="16"/>
  <c r="AH3" i="17"/>
  <c r="CI3" i="8"/>
  <c r="BL3" i="18"/>
  <c r="BL3" i="20"/>
  <c r="BL3" i="16"/>
  <c r="BL3" i="19"/>
  <c r="AO3" i="22"/>
  <c r="AO3" i="23"/>
  <c r="AO3" i="17"/>
  <c r="AT3" i="22"/>
  <c r="AT3" i="21"/>
  <c r="BO3" i="18"/>
  <c r="BO3" i="16"/>
  <c r="AT3" i="23"/>
  <c r="AT3" i="17"/>
  <c r="BO3" i="19"/>
  <c r="CH3" i="19"/>
  <c r="CH3" i="16"/>
  <c r="DD3" i="16"/>
  <c r="DD3" i="19"/>
  <c r="DD3" i="18"/>
  <c r="BB3" i="21"/>
  <c r="BB3" i="17"/>
  <c r="BB3" i="23"/>
  <c r="DH3" i="19"/>
  <c r="DH3" i="18"/>
  <c r="DH3" i="16"/>
  <c r="GE3" i="27"/>
  <c r="BL3" i="23"/>
  <c r="CJ3" i="31"/>
  <c r="KZ3" i="29"/>
  <c r="BL3" i="17"/>
  <c r="BL3" i="21"/>
  <c r="DU3" i="18"/>
  <c r="DU3" i="16"/>
  <c r="GE3" i="33"/>
  <c r="DU3" i="20"/>
  <c r="GE3" i="35"/>
  <c r="GE3" i="25"/>
  <c r="KG3" i="13"/>
  <c r="DU3" i="19"/>
  <c r="KG2" i="12"/>
  <c r="BL3" i="22"/>
  <c r="LE3" i="29"/>
  <c r="BO3" i="23"/>
  <c r="CO3" i="31"/>
  <c r="BO3" i="21"/>
  <c r="BO3" i="17"/>
  <c r="LF3" i="29"/>
  <c r="DX3" i="19"/>
  <c r="CP3" i="31"/>
  <c r="DX3" i="18"/>
  <c r="FK3" i="35"/>
  <c r="FK3" i="27"/>
  <c r="FJ3" i="35"/>
  <c r="FK3" i="33"/>
  <c r="KI3" i="13"/>
  <c r="BO3" i="22"/>
  <c r="FK3" i="25"/>
  <c r="DX3" i="16"/>
  <c r="FJ3" i="33"/>
  <c r="KJ2" i="12"/>
  <c r="KI2" i="12"/>
  <c r="CS3" i="31"/>
  <c r="BQ3" i="23"/>
  <c r="LI3" i="29"/>
  <c r="BQ3" i="21"/>
  <c r="BQ3" i="17"/>
  <c r="DZ3" i="20"/>
  <c r="BQ3" i="22"/>
  <c r="CT3" i="31"/>
  <c r="LJ3" i="29"/>
  <c r="DZ3" i="19"/>
  <c r="DZ3" i="18"/>
  <c r="FM3" i="27"/>
  <c r="FM3" i="33"/>
  <c r="DZ3" i="16"/>
  <c r="FM3" i="35"/>
  <c r="FM3" i="25"/>
  <c r="FN3" i="35"/>
  <c r="FN3" i="25"/>
  <c r="KL3" i="13"/>
  <c r="KL2" i="12"/>
  <c r="FN3" i="27"/>
  <c r="DA3" i="31"/>
  <c r="BT3" i="22"/>
  <c r="LQ3" i="29"/>
  <c r="LR3" i="29"/>
  <c r="DB3" i="31"/>
  <c r="BT3" i="21"/>
  <c r="BT3" i="17"/>
  <c r="EC3" i="20"/>
  <c r="EC3" i="19"/>
  <c r="FU3" i="27"/>
  <c r="FU3" i="33"/>
  <c r="BT3" i="23"/>
  <c r="EC3" i="18"/>
  <c r="FU3" i="25"/>
  <c r="FV3" i="27"/>
  <c r="FV3" i="35"/>
  <c r="FV3" i="33"/>
  <c r="EY2" i="10"/>
  <c r="FU3" i="35"/>
  <c r="KU3" i="13"/>
  <c r="CG3" i="8"/>
  <c r="FV3" i="25"/>
  <c r="KT3" i="13"/>
  <c r="AW3" i="3"/>
  <c r="BA3" i="3"/>
  <c r="BE3" i="3"/>
  <c r="BI3" i="3"/>
  <c r="BM3" i="3"/>
  <c r="BQ3" i="3"/>
  <c r="BU3" i="3"/>
  <c r="BY3" i="3"/>
  <c r="CC3" i="3"/>
  <c r="CO3" i="3"/>
  <c r="CT3" i="3"/>
  <c r="DB3" i="3"/>
  <c r="BR2" i="10"/>
  <c r="CE2" i="10"/>
  <c r="CM2" i="10"/>
  <c r="CU2" i="10"/>
  <c r="DC2" i="10"/>
  <c r="DW2" i="10"/>
  <c r="EM2" i="10"/>
  <c r="EP2" i="10"/>
  <c r="EV2" i="10"/>
  <c r="FA2" i="10"/>
  <c r="A3" i="8"/>
  <c r="I3" i="8"/>
  <c r="Q3" i="8"/>
  <c r="Y3" i="8"/>
  <c r="AG3" i="8"/>
  <c r="BC3" i="8"/>
  <c r="BH3" i="8"/>
  <c r="BO3" i="8"/>
  <c r="CA3" i="8"/>
  <c r="G2" i="12"/>
  <c r="O2" i="12"/>
  <c r="W2" i="12"/>
  <c r="AJ2" i="12"/>
  <c r="BH2" i="12"/>
  <c r="BP2" i="12"/>
  <c r="CQ2" i="12"/>
  <c r="DG2" i="12"/>
  <c r="DO2" i="12"/>
  <c r="DW2" i="12"/>
  <c r="EE2" i="12"/>
  <c r="EM2" i="12"/>
  <c r="EU2" i="12"/>
  <c r="FC2" i="12"/>
  <c r="FS2" i="12"/>
  <c r="GG2" i="12"/>
  <c r="HA2" i="12"/>
  <c r="HI2" i="12"/>
  <c r="HN2" i="12"/>
  <c r="IP2" i="12"/>
  <c r="JC2" i="12"/>
  <c r="JI2" i="12"/>
  <c r="KC2" i="12"/>
  <c r="KU2" i="12"/>
  <c r="AI3" i="13"/>
  <c r="BG3" i="13"/>
  <c r="BO3" i="13"/>
  <c r="CP3" i="13"/>
  <c r="DV3" i="13"/>
  <c r="EF3" i="13"/>
  <c r="EQ3" i="13"/>
  <c r="FB3" i="13"/>
  <c r="GF3" i="13"/>
  <c r="GT3" i="13"/>
  <c r="HI3" i="13"/>
  <c r="IA3" i="13"/>
  <c r="KM3" i="13"/>
  <c r="CV3" i="25"/>
  <c r="FH3" i="25"/>
  <c r="AK3" i="18"/>
  <c r="AE3" i="19"/>
  <c r="AO3" i="21"/>
  <c r="BT3" i="18"/>
  <c r="J3" i="16"/>
  <c r="BT3" i="16"/>
  <c r="J3" i="20"/>
  <c r="BT3" i="19"/>
  <c r="BZ3" i="13"/>
  <c r="BZ2" i="12"/>
  <c r="C3" i="8"/>
  <c r="H2" i="10"/>
  <c r="M3" i="18"/>
  <c r="M3" i="16"/>
  <c r="U3" i="13"/>
  <c r="U2" i="12"/>
  <c r="M3" i="19"/>
  <c r="E3" i="18"/>
  <c r="E3" i="19"/>
  <c r="E3" i="16"/>
  <c r="U2" i="10"/>
  <c r="AW3" i="20"/>
  <c r="AW3" i="19"/>
  <c r="AW3" i="18"/>
  <c r="AW3" i="16"/>
  <c r="R3" i="13"/>
  <c r="R2" i="12"/>
  <c r="AC2" i="10"/>
  <c r="Q3" i="13"/>
  <c r="Q2" i="12"/>
  <c r="F3" i="13"/>
  <c r="F2" i="12"/>
  <c r="AS2" i="10"/>
  <c r="E3" i="13"/>
  <c r="E2" i="12"/>
  <c r="R3" i="20"/>
  <c r="R3" i="16"/>
  <c r="CT3" i="27"/>
  <c r="CS3" i="35"/>
  <c r="CT3" i="33"/>
  <c r="CS3" i="27"/>
  <c r="CS3" i="33"/>
  <c r="CT3" i="35"/>
  <c r="CT3" i="25"/>
  <c r="R3" i="18"/>
  <c r="CS3" i="25"/>
  <c r="R3" i="19"/>
  <c r="EI3" i="13"/>
  <c r="EH2" i="12"/>
  <c r="EH3" i="13"/>
  <c r="BF3" i="22"/>
  <c r="BF3" i="23"/>
  <c r="BF3" i="21"/>
  <c r="DJ3" i="18"/>
  <c r="BF3" i="17"/>
  <c r="ES3" i="35"/>
  <c r="DJ3" i="16"/>
  <c r="ES3" i="27"/>
  <c r="ER3" i="35"/>
  <c r="ES3" i="33"/>
  <c r="GE3" i="13"/>
  <c r="EC3" i="13"/>
  <c r="DJ3" i="19"/>
  <c r="ES3" i="25"/>
  <c r="EQ3" i="35"/>
  <c r="EQ3" i="25"/>
  <c r="GC3" i="13"/>
  <c r="ED3" i="13"/>
  <c r="ED2" i="12"/>
  <c r="BQ2" i="10"/>
  <c r="ER3" i="27"/>
  <c r="EB3" i="13"/>
  <c r="GE2" i="12"/>
  <c r="EC2" i="12"/>
  <c r="EQ3" i="27"/>
  <c r="ER3" i="33"/>
  <c r="AN3" i="35"/>
  <c r="AN3" i="27"/>
  <c r="AM3" i="35"/>
  <c r="AN3" i="33"/>
  <c r="AL3" i="35"/>
  <c r="AL3" i="27"/>
  <c r="AM3" i="33"/>
  <c r="AL3" i="25"/>
  <c r="IG2" i="12"/>
  <c r="BY2" i="10"/>
  <c r="AL3" i="33"/>
  <c r="II3" i="13"/>
  <c r="BY3" i="13"/>
  <c r="BY2" i="12"/>
  <c r="AN3" i="25"/>
  <c r="IH3" i="13"/>
  <c r="CY3" i="19"/>
  <c r="CM3" i="19"/>
  <c r="CY3" i="18"/>
  <c r="CM3" i="18"/>
  <c r="FB3" i="27"/>
  <c r="FA3" i="35"/>
  <c r="FB3" i="33"/>
  <c r="FA3" i="27"/>
  <c r="FA3" i="33"/>
  <c r="FB3" i="25"/>
  <c r="FC3" i="27"/>
  <c r="FC3" i="35"/>
  <c r="FC3" i="33"/>
  <c r="FA3" i="25"/>
  <c r="GJ2" i="12"/>
  <c r="CY3" i="16"/>
  <c r="CM3" i="16"/>
  <c r="FB3" i="35"/>
  <c r="GL3" i="13"/>
  <c r="FC3" i="25"/>
  <c r="CK3" i="35"/>
  <c r="CK3" i="27"/>
  <c r="CJ3" i="35"/>
  <c r="CK3" i="33"/>
  <c r="CJ3" i="27"/>
  <c r="CJ3" i="33"/>
  <c r="DQ3" i="13"/>
  <c r="CI3" i="27"/>
  <c r="CI3" i="35"/>
  <c r="CI3" i="33"/>
  <c r="CK3" i="25"/>
  <c r="DR2" i="12"/>
  <c r="CJ3" i="25"/>
  <c r="DR3" i="13"/>
  <c r="DQ2" i="12"/>
  <c r="CI3" i="25"/>
  <c r="DA2" i="10"/>
  <c r="AX3" i="8"/>
  <c r="CZ2" i="10"/>
  <c r="BY3" i="18"/>
  <c r="BY3" i="16"/>
  <c r="BY3" i="19"/>
  <c r="DI2" i="10"/>
  <c r="BB3" i="8"/>
  <c r="BD3" i="27"/>
  <c r="BC3" i="35"/>
  <c r="BD3" i="33"/>
  <c r="BC3" i="27"/>
  <c r="BC3" i="33"/>
  <c r="BD3" i="25"/>
  <c r="BC3" i="25"/>
  <c r="DQ2" i="10"/>
  <c r="IY3" i="13"/>
  <c r="BR3" i="27"/>
  <c r="BQ3" i="35"/>
  <c r="BR3" i="33"/>
  <c r="BQ3" i="27"/>
  <c r="BQ3" i="33"/>
  <c r="BR3" i="25"/>
  <c r="BQ3" i="25"/>
  <c r="JP3" i="13"/>
  <c r="BJ3" i="8"/>
  <c r="DZ2" i="10"/>
  <c r="L3" i="20"/>
  <c r="L3" i="19"/>
  <c r="L3" i="18"/>
  <c r="L3" i="16"/>
  <c r="BV3" i="13"/>
  <c r="BV2" i="12"/>
  <c r="BN3" i="8"/>
  <c r="BU3" i="13"/>
  <c r="BU2" i="12"/>
  <c r="AX3" i="20"/>
  <c r="AX3" i="19"/>
  <c r="AX3" i="18"/>
  <c r="AS3" i="13"/>
  <c r="AS2" i="12"/>
  <c r="AZ3" i="18"/>
  <c r="AZ3" i="16"/>
  <c r="AZ3" i="20"/>
  <c r="AZ3" i="19"/>
  <c r="BB3" i="13"/>
  <c r="BB2" i="12"/>
  <c r="CM3" i="13"/>
  <c r="CL2" i="12"/>
  <c r="CL3" i="13"/>
  <c r="DA3" i="13"/>
  <c r="DB2" i="12"/>
  <c r="DB3" i="13"/>
  <c r="DA2" i="12"/>
  <c r="EH3" i="27"/>
  <c r="EH3" i="33"/>
  <c r="EJ3" i="35"/>
  <c r="EH3" i="35"/>
  <c r="EH3" i="25"/>
  <c r="FI3" i="13"/>
  <c r="EI3" i="27"/>
  <c r="EJ3" i="33"/>
  <c r="EI3" i="25"/>
  <c r="FJ3" i="13"/>
  <c r="FJ2" i="12"/>
  <c r="EI3" i="33"/>
  <c r="FH3" i="13"/>
  <c r="FI2" i="12"/>
  <c r="EI3" i="35"/>
  <c r="DP3" i="19"/>
  <c r="EP3" i="27"/>
  <c r="EO3" i="35"/>
  <c r="EP3" i="33"/>
  <c r="EO3" i="27"/>
  <c r="EN3" i="35"/>
  <c r="EO3" i="33"/>
  <c r="EN3" i="27"/>
  <c r="EP3" i="35"/>
  <c r="EN3" i="33"/>
  <c r="EP3" i="25"/>
  <c r="GA3" i="13"/>
  <c r="DP3" i="16"/>
  <c r="EO3" i="25"/>
  <c r="GB2" i="12"/>
  <c r="EN3" i="25"/>
  <c r="GB3" i="13"/>
  <c r="GA2" i="12"/>
  <c r="DP3" i="18"/>
  <c r="CC3" i="20"/>
  <c r="CC3" i="16"/>
  <c r="L3" i="27"/>
  <c r="L3" i="33"/>
  <c r="CC3" i="19"/>
  <c r="L3" i="25"/>
  <c r="HG3" i="13"/>
  <c r="CC3" i="18"/>
  <c r="L3" i="35"/>
  <c r="HF3" i="13"/>
  <c r="HG2" i="12"/>
  <c r="BP3" i="8"/>
  <c r="EF2" i="10"/>
  <c r="CT3" i="19"/>
  <c r="CT3" i="18"/>
  <c r="AB3" i="35"/>
  <c r="AB3" i="27"/>
  <c r="AA3" i="35"/>
  <c r="AB3" i="33"/>
  <c r="AA3" i="27"/>
  <c r="AA3" i="33"/>
  <c r="Z3" i="27"/>
  <c r="Z3" i="33"/>
  <c r="AA3" i="25"/>
  <c r="HU3" i="13"/>
  <c r="HU2" i="12"/>
  <c r="Z3" i="25"/>
  <c r="HW3" i="13"/>
  <c r="BF3" i="35"/>
  <c r="BF3" i="27"/>
  <c r="BF3" i="33"/>
  <c r="IZ3" i="13"/>
  <c r="BE3" i="27"/>
  <c r="BE3" i="35"/>
  <c r="BE3" i="33"/>
  <c r="JA2" i="12"/>
  <c r="BF3" i="25"/>
  <c r="JA3" i="13"/>
  <c r="IZ2" i="12"/>
  <c r="BE3" i="25"/>
  <c r="DZ3" i="27"/>
  <c r="DZ3" i="33"/>
  <c r="EB3" i="35"/>
  <c r="DZ3" i="35"/>
  <c r="DZ3" i="25"/>
  <c r="FU3" i="13"/>
  <c r="EA3" i="35"/>
  <c r="EA3" i="25"/>
  <c r="FT3" i="13"/>
  <c r="FV2" i="12"/>
  <c r="EB3" i="27"/>
  <c r="FU2" i="12"/>
  <c r="EA3" i="27"/>
  <c r="EB3" i="33"/>
  <c r="H3" i="20"/>
  <c r="H3" i="19"/>
  <c r="H3" i="18"/>
  <c r="H3" i="16"/>
  <c r="Y3" i="19"/>
  <c r="Y3" i="18"/>
  <c r="Y3" i="16"/>
  <c r="AI3" i="20"/>
  <c r="AI3" i="19"/>
  <c r="AI3" i="18"/>
  <c r="AI3" i="16"/>
  <c r="AO3" i="19"/>
  <c r="AO3" i="20"/>
  <c r="AO3" i="18"/>
  <c r="AO3" i="16"/>
  <c r="BA3" i="19"/>
  <c r="BA3" i="20"/>
  <c r="BA3" i="18"/>
  <c r="BA3" i="16"/>
  <c r="BJ3" i="19"/>
  <c r="B3" i="27"/>
  <c r="A3" i="35"/>
  <c r="B3" i="33"/>
  <c r="A3" i="27"/>
  <c r="A3" i="33"/>
  <c r="C3" i="27"/>
  <c r="C3" i="33"/>
  <c r="B3" i="25"/>
  <c r="C3" i="35"/>
  <c r="B3" i="35"/>
  <c r="A3" i="25"/>
  <c r="GU3" i="13"/>
  <c r="GU2" i="12"/>
  <c r="BJ3" i="16"/>
  <c r="GW3" i="13"/>
  <c r="AR3" i="23"/>
  <c r="AS3" i="23"/>
  <c r="AS3" i="21"/>
  <c r="AR3" i="22"/>
  <c r="AR3" i="17"/>
  <c r="AR3" i="21"/>
  <c r="AS3" i="22"/>
  <c r="AS3" i="17"/>
  <c r="BV3" i="19"/>
  <c r="BV3" i="18"/>
  <c r="BV3" i="16"/>
  <c r="DB3" i="19"/>
  <c r="DB3" i="18"/>
  <c r="DB3" i="16"/>
  <c r="AZ3" i="23"/>
  <c r="AZ3" i="21"/>
  <c r="AZ3" i="17"/>
  <c r="AZ3" i="22"/>
  <c r="BD3" i="22"/>
  <c r="BD3" i="23"/>
  <c r="BD3" i="21"/>
  <c r="BD3" i="17"/>
  <c r="FY3" i="27"/>
  <c r="CM3" i="31"/>
  <c r="LC3" i="29"/>
  <c r="BM3" i="23"/>
  <c r="BM3" i="22"/>
  <c r="DV3" i="20"/>
  <c r="BM3" i="17"/>
  <c r="DV3" i="16"/>
  <c r="BM3" i="21"/>
  <c r="DV3" i="19"/>
  <c r="FY3" i="35"/>
  <c r="DV3" i="18"/>
  <c r="FY3" i="33"/>
  <c r="KH3" i="13"/>
  <c r="EQ2" i="10"/>
  <c r="BY3" i="8"/>
  <c r="CQ3" i="31"/>
  <c r="LG3" i="29"/>
  <c r="BP3" i="23"/>
  <c r="LH3" i="29"/>
  <c r="CR3" i="31"/>
  <c r="BP3" i="22"/>
  <c r="BP3" i="21"/>
  <c r="DY3" i="20"/>
  <c r="DY3" i="18"/>
  <c r="DY3" i="16"/>
  <c r="BP3" i="17"/>
  <c r="FL3" i="35"/>
  <c r="DY3" i="19"/>
  <c r="FL3" i="27"/>
  <c r="FL3" i="33"/>
  <c r="KK3" i="13"/>
  <c r="ET2" i="10"/>
  <c r="FL3" i="25"/>
  <c r="KK2" i="12"/>
  <c r="CB3" i="8"/>
  <c r="CW3" i="31"/>
  <c r="LM3" i="29"/>
  <c r="BR3" i="22"/>
  <c r="LN3" i="29"/>
  <c r="CX3" i="31"/>
  <c r="BR3" i="23"/>
  <c r="BR3" i="21"/>
  <c r="EA3" i="18"/>
  <c r="BR3" i="17"/>
  <c r="FP3" i="35"/>
  <c r="EA3" i="20"/>
  <c r="EA3" i="16"/>
  <c r="FP3" i="27"/>
  <c r="FO3" i="35"/>
  <c r="FP3" i="33"/>
  <c r="KO3" i="13"/>
  <c r="FP3" i="25"/>
  <c r="CC3" i="8"/>
  <c r="FO3" i="27"/>
  <c r="KO2" i="12"/>
  <c r="FO3" i="33"/>
  <c r="KN3" i="13"/>
  <c r="BC3" i="3"/>
  <c r="BS3" i="3"/>
  <c r="CV3" i="3"/>
  <c r="DP3" i="3"/>
  <c r="DT3" i="3"/>
  <c r="C2" i="10"/>
  <c r="R2" i="10"/>
  <c r="Z2" i="10"/>
  <c r="AH2" i="10"/>
  <c r="AP2" i="10"/>
  <c r="AX2" i="10"/>
  <c r="BF2" i="10"/>
  <c r="BN2" i="10"/>
  <c r="CA2" i="10"/>
  <c r="CI2" i="10"/>
  <c r="CQ2" i="10"/>
  <c r="DG2" i="10"/>
  <c r="DS2" i="10"/>
  <c r="DY2" i="10"/>
  <c r="EE2" i="10"/>
  <c r="ES2" i="10"/>
  <c r="E3" i="8"/>
  <c r="M3" i="8"/>
  <c r="U3" i="8"/>
  <c r="AC3" i="8"/>
  <c r="AJ3" i="8"/>
  <c r="AR3" i="8"/>
  <c r="AZ3" i="8"/>
  <c r="BF3" i="8"/>
  <c r="BK3" i="8"/>
  <c r="BR3" i="8"/>
  <c r="BU3" i="8"/>
  <c r="BX3" i="8"/>
  <c r="CD3" i="8"/>
  <c r="C2" i="12"/>
  <c r="K2" i="12"/>
  <c r="S2" i="12"/>
  <c r="AN2" i="12"/>
  <c r="AV2" i="12"/>
  <c r="BD2" i="12"/>
  <c r="BL2" i="12"/>
  <c r="BT2" i="12"/>
  <c r="CB2" i="12"/>
  <c r="CF2" i="12"/>
  <c r="CM2" i="12"/>
  <c r="CU2" i="12"/>
  <c r="DC2" i="12"/>
  <c r="DK2" i="12"/>
  <c r="DS2" i="12"/>
  <c r="EA2" i="12"/>
  <c r="EI2" i="12"/>
  <c r="EQ2" i="12"/>
  <c r="EY2" i="12"/>
  <c r="FG2" i="12"/>
  <c r="FO2" i="12"/>
  <c r="GC2" i="12"/>
  <c r="GK2" i="12"/>
  <c r="GS2" i="12"/>
  <c r="HE2" i="12"/>
  <c r="HR2" i="12"/>
  <c r="HZ2" i="12"/>
  <c r="IH2" i="12"/>
  <c r="IY2" i="12"/>
  <c r="JG2" i="12"/>
  <c r="JM2" i="12"/>
  <c r="JX2" i="12"/>
  <c r="KB2" i="12"/>
  <c r="KE2" i="12"/>
  <c r="KH2" i="12"/>
  <c r="KN2" i="12"/>
  <c r="H3" i="13"/>
  <c r="P3" i="13"/>
  <c r="X3" i="13"/>
  <c r="AM3" i="13"/>
  <c r="AU3" i="13"/>
  <c r="BC3" i="13"/>
  <c r="BK3" i="13"/>
  <c r="BS3" i="13"/>
  <c r="CA3" i="13"/>
  <c r="CU3" i="13"/>
  <c r="DF3" i="13"/>
  <c r="DP3" i="13"/>
  <c r="EA3" i="13"/>
  <c r="EL3" i="13"/>
  <c r="EV3" i="13"/>
  <c r="FG3" i="13"/>
  <c r="FR3" i="13"/>
  <c r="FZ3" i="13"/>
  <c r="GK3" i="13"/>
  <c r="GV3" i="13"/>
  <c r="HQ3" i="13"/>
  <c r="O3" i="25"/>
  <c r="AH3" i="25"/>
  <c r="BB3" i="25"/>
  <c r="CF3" i="25"/>
  <c r="DL3" i="25"/>
  <c r="ER3" i="25"/>
  <c r="FO3" i="25"/>
  <c r="CU3" i="33"/>
  <c r="FG3" i="33"/>
  <c r="CH3" i="35"/>
  <c r="ET3" i="35"/>
  <c r="J3" i="27"/>
  <c r="CN3" i="27"/>
  <c r="EZ3" i="27"/>
  <c r="AH3" i="16"/>
  <c r="CE3" i="16"/>
  <c r="DS3" i="16"/>
  <c r="J3" i="18"/>
  <c r="CH3" i="18"/>
  <c r="CB3" i="19"/>
  <c r="AX3" i="22"/>
</calcChain>
</file>

<file path=xl/sharedStrings.xml><?xml version="1.0" encoding="utf-8"?>
<sst xmlns="http://schemas.openxmlformats.org/spreadsheetml/2006/main" count="4841" uniqueCount="604">
  <si>
    <t>Key for CMC - CMC is measured over a range of concentrations, so labels refer to individual surfactants or formulations, do not include specific concentrations</t>
  </si>
  <si>
    <t>TMN6</t>
  </si>
  <si>
    <t xml:space="preserve">Tergitol TMN6 </t>
  </si>
  <si>
    <t>T15-S-7</t>
  </si>
  <si>
    <t>Tergitol 15-S-7</t>
  </si>
  <si>
    <t>Commercial</t>
  </si>
  <si>
    <t>TrX45</t>
  </si>
  <si>
    <t>Triton X-45</t>
  </si>
  <si>
    <t>TrX114</t>
  </si>
  <si>
    <t>Triton X-114</t>
  </si>
  <si>
    <t>Linear Succinate Sulfonate</t>
  </si>
  <si>
    <t>T4</t>
  </si>
  <si>
    <t>Tergitol 4 (Niaproof 4)</t>
  </si>
  <si>
    <t>TrCG-425</t>
  </si>
  <si>
    <t>Triton CG-425</t>
  </si>
  <si>
    <t>AlfSodSalt</t>
  </si>
  <si>
    <t>Alfa Sodium Salt</t>
  </si>
  <si>
    <t>AlphaFoam</t>
  </si>
  <si>
    <t>Alpha Foamer</t>
  </si>
  <si>
    <t>Dow 5575</t>
  </si>
  <si>
    <t>Dow 5244</t>
  </si>
  <si>
    <t>D5575</t>
  </si>
  <si>
    <t>D5244</t>
  </si>
  <si>
    <t>D193</t>
  </si>
  <si>
    <t>Dow 193</t>
  </si>
  <si>
    <t>D501W</t>
  </si>
  <si>
    <t>Dow 501W</t>
  </si>
  <si>
    <t>D198</t>
  </si>
  <si>
    <t>D5604</t>
  </si>
  <si>
    <t>Dow 198</t>
  </si>
  <si>
    <t>Dow 5604</t>
  </si>
  <si>
    <t>D502W</t>
  </si>
  <si>
    <t>Dow 502W</t>
  </si>
  <si>
    <t>D5098</t>
  </si>
  <si>
    <t>Dow 5098</t>
  </si>
  <si>
    <t>SDS</t>
  </si>
  <si>
    <t>Sodium Dodecyl Sulfate</t>
  </si>
  <si>
    <t>TrX100</t>
  </si>
  <si>
    <t>Triton X-100</t>
  </si>
  <si>
    <t>Silphos</t>
  </si>
  <si>
    <t>Siltech Silphos J208</t>
  </si>
  <si>
    <t>Silsurf</t>
  </si>
  <si>
    <t>Siltech Silsurf J208</t>
  </si>
  <si>
    <t>CTAB</t>
  </si>
  <si>
    <t>Centrimonium bromide</t>
  </si>
  <si>
    <t>Capstone Surfactant with 35 uL solvent DGBE in initial vial</t>
  </si>
  <si>
    <t>Cap</t>
  </si>
  <si>
    <t>Chemours Capstone 1157N</t>
  </si>
  <si>
    <t>L77</t>
  </si>
  <si>
    <t>Silwet L77</t>
  </si>
  <si>
    <t>PFOA</t>
  </si>
  <si>
    <t>Perfluorooctanoic acid</t>
  </si>
  <si>
    <t>D67</t>
  </si>
  <si>
    <t>Dow 67</t>
  </si>
  <si>
    <t xml:space="preserve">Glucopon 225DK Surfactant with 35 uL solvent DGBE in initial vial </t>
  </si>
  <si>
    <t xml:space="preserve">Glucopon 600 UP Surfactant with 35 uL solvent DGBE in initial vial </t>
  </si>
  <si>
    <t xml:space="preserve">Glucopon 215 UP Surfactant with 35 uL solvent DGBE in initial vial </t>
  </si>
  <si>
    <t>Gelest SiH 6185 surfactant with 35 uL solvent DGBE in initial vial</t>
  </si>
  <si>
    <t>NRL Synthesized</t>
  </si>
  <si>
    <t>Gel6185</t>
  </si>
  <si>
    <t>Gelest SiH 6185</t>
  </si>
  <si>
    <t>G215</t>
  </si>
  <si>
    <t>Glucopon 215 UP</t>
  </si>
  <si>
    <t>G225</t>
  </si>
  <si>
    <t>Glucopon 225DK</t>
  </si>
  <si>
    <t xml:space="preserve">*For CMC data, numbers after nomenclature refer to ratio, not concentrations at which the mixtures were made, all mixtures made with 35 uL DGBE added to initial vial </t>
  </si>
  <si>
    <t>3:2 by weight mixture Tergitol TMN6 and Glucopon 215UP</t>
  </si>
  <si>
    <t>LinSucSulf</t>
  </si>
  <si>
    <t>Myristyl</t>
  </si>
  <si>
    <t>Tergitol 15-S-9</t>
  </si>
  <si>
    <t>Tergitol 15-S-12</t>
  </si>
  <si>
    <t>CMC Concentrations</t>
  </si>
  <si>
    <t xml:space="preserve">Surfactant will populate an air/water interface until it is saturated, after this concentration, excess surfactant will form micelles in solution rather than continuing to occupy surface </t>
  </si>
  <si>
    <t>Determined by measuring surface tension at various surfactant concentrations, above CMC, surface tension is independent of concentration, below CMC, surface tension is linearly dependent on concentration</t>
  </si>
  <si>
    <t>CMC Surface Tension</t>
  </si>
  <si>
    <t>Calculated CMC</t>
  </si>
  <si>
    <t>NaN</t>
  </si>
  <si>
    <t>Key for concentration specific data</t>
  </si>
  <si>
    <t xml:space="preserve">For this data, numbers after nomenclature refer to wt% of material in solution </t>
  </si>
  <si>
    <t>G215_DGBE_0.5_0.5</t>
  </si>
  <si>
    <t>G225_0.5</t>
  </si>
  <si>
    <t>G215_0.5</t>
  </si>
  <si>
    <t>CMC- critical micelle concentration</t>
  </si>
  <si>
    <t>There are proposed relationships between sloped region of curve and gibbs free energy, so important to have CMC value as well as curved data</t>
  </si>
  <si>
    <t xml:space="preserve">Formulation Surface Tension - surface tension is a measure of the force needed to travel from one interface to another, surface tension is specific to an air/liquid interface </t>
  </si>
  <si>
    <t xml:space="preserve">Formulation Interfacial Tension - surface tension is a measure of the force needed to travel from one interface to another, interfacial tension is specific to a liquid/liquid interface which in our case is the fuel and foam solution </t>
  </si>
  <si>
    <t>NRL Synthesized trisiloxane tail with no PEO units in head, OH term,  Acos precursor</t>
  </si>
  <si>
    <t>NRL Synthesized trisiloxane tail with 1 PEO unit, OH term, Acos precursor</t>
  </si>
  <si>
    <t>NRL Synthesized trisiloxane tail with 3 PEO units, OH term, Gelest precursor</t>
  </si>
  <si>
    <t>NRL Synthesized trisiloxane tail with 9-12 PEO units in head, OH term, Gelest precursor</t>
  </si>
  <si>
    <t>NRL Synthesized trisiloxane tail with 4-7 PEO units in head, OH Term, Gelest precursor</t>
  </si>
  <si>
    <t>NRL Synthesized trisiloxane tail with 12-20 PEO units in head, OH term, Gelest precursor</t>
  </si>
  <si>
    <t>NRL Synthesized trisiloxane tail with 35-50 PEO units in head, OH term, Gelest precursor</t>
  </si>
  <si>
    <t>NRL Synthesized trisiloxane tail with 12 PEO units, OH term, NOF precursor</t>
  </si>
  <si>
    <t>NRL Synthesized trisiloxane tail with 2 PEO units term in OH, Gelest precursor</t>
  </si>
  <si>
    <t>NRL Synthesized tetrasilane tail with 12 PEO units term in OH, NOF precursor</t>
  </si>
  <si>
    <t>NRL Synthesized trisiloxane tail with 16 PEO units, OH term, NOF precursor</t>
  </si>
  <si>
    <t>G225_DGBE_0.3_0.5</t>
  </si>
  <si>
    <t>Calculated CMC values from intersection of concentration vs. surface tension curve, units are wt% surfactant in solution</t>
  </si>
  <si>
    <t>Measured surface tensions for concentration specific mixtures and surfactants, units are mN/m</t>
  </si>
  <si>
    <t xml:space="preserve">Formulation Fuel Transport - we assume that a mechanism of foam fire suppression is the ability of the foam to block the flow of fuel vapors from the fuel pool to the flame above, </t>
  </si>
  <si>
    <t xml:space="preserve">foams that reduce transport, may suppress a fire faster, we assume this mechanism is dependent on fuel type and temperature, as well as the surfactants in the foam layer </t>
  </si>
  <si>
    <t xml:space="preserve">We measure this outside of the flame environment using a flux chamber, foam is placed over heated fuel in a closed container, the head space above the foam is monitored via FTIR for heptane fuel vapors </t>
  </si>
  <si>
    <t xml:space="preserve">We report fuel transport through the foam as the fuel flux, correcting for FTIR ppm differences using the surface area of the fuel and the flow of gases used to sweep into the FTIR </t>
  </si>
  <si>
    <t>The fuel transport container is optically accesible to observe changes in foam height with time, which should also effect fuel transport rate, foams that degrade faster have a smaller physical barrier to travel through, the flux would be expectedly higher</t>
  </si>
  <si>
    <t xml:space="preserve">The transport degradation rate is used in a derived equation of Ficks 2nd Law to correct for differences in flux due to foam degradation and reports the effective diffusion coefficient (EDC value) </t>
  </si>
  <si>
    <t xml:space="preserve">The EDC value is the calculated value of heptane transport through a specified foam layer and is a potential value to compare extinction performance to; however, the raw flux and degradation curves may also be of value </t>
  </si>
  <si>
    <t>Formulation Transport Time</t>
  </si>
  <si>
    <t>EDC Value</t>
  </si>
  <si>
    <t xml:space="preserve">Degradation data in fuel transport experiment only recently collected, so minimal foam height profiles and EDC values reported </t>
  </si>
  <si>
    <t>Fuel flux from measured heptane ppm during fuel transport test - columns with 2 data points 0 and 7000 imply an attempt at measurement was made, but foam degraded so quickly no data was collected, units are mol/cm2s</t>
  </si>
  <si>
    <t>G600</t>
  </si>
  <si>
    <t>Glucopon 600 UP</t>
  </si>
  <si>
    <t xml:space="preserve">Commercial </t>
  </si>
  <si>
    <t xml:space="preserve">Individual Surfactant Key </t>
  </si>
  <si>
    <t>Mys</t>
  </si>
  <si>
    <t>T15-S-9</t>
  </si>
  <si>
    <t>T15-S-12</t>
  </si>
  <si>
    <t>CL_C8G3</t>
  </si>
  <si>
    <t>China Lake Synthesized APG 8 alkyl chain length with 3 glycoside units</t>
  </si>
  <si>
    <t>China Lake Synthesized</t>
  </si>
  <si>
    <t>C6G2</t>
  </si>
  <si>
    <t>Anatrace monoglyocisde 6 alkyl carbons long 2 glycoside units</t>
  </si>
  <si>
    <t>Commercial AFFF, not an individual surfactant</t>
  </si>
  <si>
    <t>RF6</t>
  </si>
  <si>
    <t>Commercial fluorine-free, not an individual surfactant</t>
  </si>
  <si>
    <t>Buckeye</t>
  </si>
  <si>
    <t>NRL_N10358-176</t>
  </si>
  <si>
    <t>NRL_N10358-174</t>
  </si>
  <si>
    <t>C8G2</t>
  </si>
  <si>
    <t>Anatrace monoglyocisde 8 alkyl carbons long 2 glycoside units</t>
  </si>
  <si>
    <t>C10G2</t>
  </si>
  <si>
    <t>Anatrace monoglyocisde 10 alkyl carbons long 2 glycoside units</t>
  </si>
  <si>
    <t>C12G2</t>
  </si>
  <si>
    <t>Anatrace monoglyocisde 12 alkyl carbons long 2 glycoside units</t>
  </si>
  <si>
    <t>C8G1</t>
  </si>
  <si>
    <t>Anatrace monoglyocisde 8 alkyl carbons long 1 glycoside units</t>
  </si>
  <si>
    <t>Tested June 2020</t>
  </si>
  <si>
    <t>Tested Sept/Oct 2021</t>
  </si>
  <si>
    <t>AvioGreen</t>
  </si>
  <si>
    <t>JetFoam</t>
  </si>
  <si>
    <t>RF3</t>
  </si>
  <si>
    <t>FomtecEnvUSP</t>
  </si>
  <si>
    <t>Commercial fluorine-free made by National Foam, not an individual surfactant</t>
  </si>
  <si>
    <t>Commercial fluorine-free made by Angus, not an individual surfactant, same formulation as AvioGreen</t>
  </si>
  <si>
    <t>Commercial fluorine-free made by Solberg, not an individual surfactant</t>
  </si>
  <si>
    <t>Commercial fluorine-free made by Fomtec, not an individual surfactant</t>
  </si>
  <si>
    <t>NRL_N10477-09</t>
  </si>
  <si>
    <t>NRL_N10477-07</t>
  </si>
  <si>
    <t>Tested Nov 2019</t>
  </si>
  <si>
    <t>C8SG2</t>
  </si>
  <si>
    <t>Cymal</t>
  </si>
  <si>
    <t>iC8G2</t>
  </si>
  <si>
    <t>Anatrace monoglycoside, 8 alkyl chain 2 sulfonated substituted glycosides</t>
  </si>
  <si>
    <t>Anatrace monoglycoside</t>
  </si>
  <si>
    <t>C9G2</t>
  </si>
  <si>
    <t>C6G1</t>
  </si>
  <si>
    <t>C7G1</t>
  </si>
  <si>
    <t>Anatrace monoglycoside, 6 alkyl chain 2 sulfonated substituted glycosides</t>
  </si>
  <si>
    <t>Anatrace monoglycoside, 9 alkyl chain 2 sulfonated substituted glycosides</t>
  </si>
  <si>
    <t>Anatrace monoglycoside, 6 alkyl chain 1 sulfonated substituted glycosides</t>
  </si>
  <si>
    <t>Anatrace monoglycoside, 7 alkyl chain 1 sulfonated substituted glycosides</t>
  </si>
  <si>
    <t>Tested May 2021</t>
  </si>
  <si>
    <t>CL_MD2062-121</t>
  </si>
  <si>
    <t>NRL_N10358-107</t>
  </si>
  <si>
    <t>NRL_N10358-106</t>
  </si>
  <si>
    <t>NRL_N10358-135</t>
  </si>
  <si>
    <t>NRL_N10358-169</t>
  </si>
  <si>
    <t>NRL_N10477-01</t>
  </si>
  <si>
    <t>NRL_N10358-161</t>
  </si>
  <si>
    <t>NRL_N10477-03</t>
  </si>
  <si>
    <t>NRL_N10477-05</t>
  </si>
  <si>
    <t>G225_DGBE_0.5_0.5</t>
  </si>
  <si>
    <t>G600_DGBE_0.5_0.5</t>
  </si>
  <si>
    <t>No Cov</t>
  </si>
  <si>
    <t>No Ext</t>
  </si>
  <si>
    <t>TrGR-5M</t>
  </si>
  <si>
    <t>Triton GR-5M</t>
  </si>
  <si>
    <t>G225_DGBE_0.25_0.25</t>
  </si>
  <si>
    <t>CL_MDAPS</t>
  </si>
  <si>
    <t>trisiloxane from china lake 3-aminoporpylbis(trimethylsiloxy)methyl silane (APS)</t>
  </si>
  <si>
    <t>wt% surfactant, this column of data is the concentration at which measurements were taken, different for each solution</t>
  </si>
  <si>
    <t>mN/m, this column of data is the measured surface tension of solution at the corresponding concentration, different for each solution</t>
  </si>
  <si>
    <t xml:space="preserve">wt% surfactant, my calculated value of CMC based on inflection point from data, may be able to calculcate from raw data, but is provided </t>
  </si>
  <si>
    <t>Measured via a DuNouy ring tensiometer at temperatures between 20-25C, these values are concentration specific and are notated with formulation names, units of mN/m</t>
  </si>
  <si>
    <t>s, this column of data is the FTIR time stamp at which measurements were taken, different for each solution</t>
  </si>
  <si>
    <t>mol/cm2s, this column of data is the fuel flux through the foam layer, calculated from the FTIR ppm output, different for each solution</t>
  </si>
  <si>
    <t xml:space="preserve">min, this column of data is the time at which images of foam height were measured, can be used to plot foam height profile, in seconds, different for each solution </t>
  </si>
  <si>
    <t xml:space="preserve">cm, this column of data is the foam height measured at each time stamp during the transport test, in centimeters, different for each solution </t>
  </si>
  <si>
    <t xml:space="preserve">Time stamps for measured mol flux of heptane through concentration specific foam layers, units are in seconds </t>
  </si>
  <si>
    <t xml:space="preserve">Extinction results - measurement of the ability of a foam to extinguish a fire </t>
  </si>
  <si>
    <t>This metric is dependent on many variables - diameter of fuel pool, fuel, foam flow rate, and foam composition</t>
  </si>
  <si>
    <t>During fire extinction, we measure limited properties to better define the extinction event, these are described below</t>
  </si>
  <si>
    <t>Hept Fire Ext 19cm Foam Flow</t>
  </si>
  <si>
    <t xml:space="preserve">For comparing performance, critical that pool diameter, fuel, and flow rate be the same, all data presented is for a 19cm fuel pool diameter, but the fuel varies primarily between heptane and gasoline </t>
  </si>
  <si>
    <t>Extinction curve is critical as it provides information on the limiting flow rate for rapid fire suppression, we include data at multiple foam flow rates to generate curves and typically do not present single extinction times</t>
  </si>
  <si>
    <t>ml/min, foam flow rate is varied by varying an applied air flow rate to generate the foam. As the foam flow rate increases, more foam is deposited on the fire, fire is expected to go out faster</t>
  </si>
  <si>
    <t>Hept Fire Ext 19cm ER</t>
  </si>
  <si>
    <t xml:space="preserve">unitless, ER = expansion ratio, a foam property measurement of the water content of a foam, determined by dividing the volume of foam by its weight. </t>
  </si>
  <si>
    <t>Hept Fire Ext 19cm Spread</t>
  </si>
  <si>
    <t>s, time it takes for the foam to cover the fuel pool, poor performing foams can demonstrate "No Coverage"</t>
  </si>
  <si>
    <t>Hept Fire Ext 19cm Ext</t>
  </si>
  <si>
    <t>s, time for the foam to extinguish 100% of the fire, poor performing foams may have "No Extinction"</t>
  </si>
  <si>
    <t>A single trial is considered generation of the whole curve, we test the same foams at different times, generating full curves each time, Trials 1,2, and so on should each have complete curves</t>
  </si>
  <si>
    <t xml:space="preserve">Poor performing foams will have fewer foam flow rates analyzed as they were unable to extinguish a fire effectively </t>
  </si>
  <si>
    <t xml:space="preserve">Performance differences between fuels is expected, we therefore separate extinction based on fuel type and have a separate set of spreadsheets for gasoline fire extinction </t>
  </si>
  <si>
    <t>Gas Fire Ext 19cm Foam Flow</t>
  </si>
  <si>
    <t>Gas Fire Ext 19cm ER</t>
  </si>
  <si>
    <t>Gas Fire Ext 19cm Spread</t>
  </si>
  <si>
    <t>Gas Fire Ext 19cm Ext</t>
  </si>
  <si>
    <t>Gel6492.6</t>
  </si>
  <si>
    <t>Gelest SIM 6492.6</t>
  </si>
  <si>
    <t>CL_MD2086-97</t>
  </si>
  <si>
    <t>trisiloxane with sulfobetaine head group, same structure as N1048-017, made by Art, tested for CMC not further evaluated</t>
  </si>
  <si>
    <t>NRL_CB-1-123</t>
  </si>
  <si>
    <t>trisiloxane sulofbetaine with an extra carbon between N and sulfonate compared to structures in 123 and 124</t>
  </si>
  <si>
    <t>China Lake Synthesized surfactant by Matt Davis, tetrasiloxane tail structure, sulfobetaine</t>
  </si>
  <si>
    <t>CL_MD2062-124</t>
  </si>
  <si>
    <t>same SMILES as MD2062-54, 2062-67, 2062-124</t>
  </si>
  <si>
    <t>China Lake Synthesized surfactant by Matt Davis, trisiloxane tail structure, one glucosamide head</t>
  </si>
  <si>
    <t>tetrasiloxane with a glucosamide one unit long, synthesized by china lake, NH linker to NH with glucosamide</t>
  </si>
  <si>
    <t>tetrasilane-sulfobetaine</t>
  </si>
  <si>
    <t>NRL_N10477-189</t>
  </si>
  <si>
    <t>cyclotetrasiloxane sulfobetaine</t>
  </si>
  <si>
    <t>CL_MD2062-57</t>
  </si>
  <si>
    <t xml:space="preserve">Tetrasiloxane-pyridiniumchloride </t>
  </si>
  <si>
    <t xml:space="preserve">Tetrasiloxane-trimethylammoniumiodide </t>
  </si>
  <si>
    <t>CL_MD2062-148</t>
  </si>
  <si>
    <t>CL_MD2012-16</t>
  </si>
  <si>
    <t xml:space="preserve">NaN </t>
  </si>
  <si>
    <t>CL_MD2102-54</t>
  </si>
  <si>
    <t>Diglycoside with oxygen linker instead of =O with trisiloxane</t>
  </si>
  <si>
    <t>NRL_N10478-198</t>
  </si>
  <si>
    <t>C10G3</t>
  </si>
  <si>
    <t>n-decylmaltotriside</t>
  </si>
  <si>
    <t>C12G3</t>
  </si>
  <si>
    <t xml:space="preserve">n-dodecylmaltotriside </t>
  </si>
  <si>
    <t xml:space="preserve">China Lake Synthesized </t>
  </si>
  <si>
    <t>NRL_N10478-40</t>
  </si>
  <si>
    <t>NRL synthesized</t>
  </si>
  <si>
    <t>Ecoguard</t>
  </si>
  <si>
    <t>Chemguard's Ecoguard CF3F</t>
  </si>
  <si>
    <t xml:space="preserve">National Foam Universal Green (AR-synthetic)  </t>
  </si>
  <si>
    <t>NationalARF3</t>
  </si>
  <si>
    <t xml:space="preserve">no extinct at 4 min. </t>
  </si>
  <si>
    <t>NRL_LBII43</t>
  </si>
  <si>
    <t>NRL_CB_DTBTS_SB</t>
  </si>
  <si>
    <t>trisiloxane 10-15 PEO with OCH3 termination</t>
  </si>
  <si>
    <t>tetrasiloxane with betaine head, but extra carbon in betaine length</t>
  </si>
  <si>
    <t>NRL_N10478-227</t>
  </si>
  <si>
    <t>NRL_N10478-233</t>
  </si>
  <si>
    <t>trisiloxane with NH groups, ending in 3 branched OH tail</t>
  </si>
  <si>
    <t>trisiloxane with NH groups, ending in 2 branched OH tail</t>
  </si>
  <si>
    <t>trisiloxane with NH groups, ending in 5 branched OH tail</t>
  </si>
  <si>
    <t>CL_MD2102-90</t>
  </si>
  <si>
    <t>china lake dicarbosilane sulfobetaine</t>
  </si>
  <si>
    <t>CL_MD2102-112</t>
  </si>
  <si>
    <t>CL_MD2102-118</t>
  </si>
  <si>
    <t xml:space="preserve">Effective Diffusion Coefficient (EDC) values calculated from fuel flux and foam height curves, units are in cm2/s - first row is calculated values, second row is r2 values of the fit of the flux curve </t>
  </si>
  <si>
    <t>cm2/s, calculatd effective diffusion coefficient value using above profiles, first row is values, second row is r2 value of the fit to the flux data</t>
  </si>
  <si>
    <t xml:space="preserve">some fits &lt;0.8, but still calculate values in line with replicate trials, your discretion as to what to weed out and what to keep </t>
  </si>
  <si>
    <t>Fuel Transport PPM</t>
  </si>
  <si>
    <t>Formulation Transport Deg Time</t>
  </si>
  <si>
    <t>Formulation Transport Deg Height</t>
  </si>
  <si>
    <t>Formulation Flux Time for EDC</t>
  </si>
  <si>
    <t xml:space="preserve">don't fit the full transport profile to EDC values because of varying data points for each trial, consolidate down to 11 points for fitting, time of 11 points </t>
  </si>
  <si>
    <t>Flux Value for EDC</t>
  </si>
  <si>
    <t xml:space="preserve">associated fuel flux for 11 points used in fitting EDC vales </t>
  </si>
  <si>
    <t>Foam Deg Time Hept 60C</t>
  </si>
  <si>
    <t>Foam Deg Height Hept 60C</t>
  </si>
  <si>
    <t>Foam Deg Time Gas 35C</t>
  </si>
  <si>
    <t xml:space="preserve">Foam Deg Height Gas 35C </t>
  </si>
  <si>
    <t>Foam degradation is measurement of the foam height change with time for foam placed over a hot fuel pool. A 4cm foam layer is deposited and we monitor the change in foam height with time.</t>
  </si>
  <si>
    <t xml:space="preserve">Complete lifetime is an important metric (when the foam height = 0), but the profile is also valuable and is typically a 3rd order polynomial in character. Different fuels have different boiling points, </t>
  </si>
  <si>
    <t xml:space="preserve">we therefore test heptane heated to 60C and gasoline heated to 35C. This difference in temperature makes it challenging to directly compare performance on both fuels, but can compare across </t>
  </si>
  <si>
    <t>different foam compositions</t>
  </si>
  <si>
    <t>time stamp, min for changes in foam height for foam placed over heptane heated to 60C</t>
  </si>
  <si>
    <t>time stamp, min for changes in foam height for foam placed over gasoline heated to 35C</t>
  </si>
  <si>
    <t xml:space="preserve">foam height, cm for initial 4 cm foam layer placed over gasoline heated to 35C </t>
  </si>
  <si>
    <t xml:space="preserve">foam height, cm for initial 4 cm foam layer placed over heptane heated to 60C </t>
  </si>
  <si>
    <t>tetrasiloxane sulfobetane, same as other MD materials</t>
  </si>
  <si>
    <t>NRL_CB-1-192</t>
  </si>
  <si>
    <t>NRL_N10478-081</t>
  </si>
  <si>
    <t>Collab181360</t>
  </si>
  <si>
    <t>Experimental material provided by collaborator, structure unknown</t>
  </si>
  <si>
    <t>Collab Synthesized</t>
  </si>
  <si>
    <t>Collab_EXP-20-C10628-A</t>
  </si>
  <si>
    <t>Experimental material provided by collaborater, structure unknown</t>
  </si>
  <si>
    <t>Collab_EXP-20-C10628-B</t>
  </si>
  <si>
    <t>Collab_EXP-20-C10628-C</t>
  </si>
  <si>
    <t>Collab_EXP-20-C10628-D</t>
  </si>
  <si>
    <t>Collab_EXP-20-C10628-E</t>
  </si>
  <si>
    <t>Collab_EXP-21-1</t>
  </si>
  <si>
    <t>Collab_EXP-21-2</t>
  </si>
  <si>
    <t>Batch number not known, tested 2020/2021</t>
  </si>
  <si>
    <t>Collab_EXP-21-5</t>
  </si>
  <si>
    <t>Collab_EXP-21-6</t>
  </si>
  <si>
    <t>Collab_EXP-21-7</t>
  </si>
  <si>
    <t>Collab1830503</t>
  </si>
  <si>
    <t>Collab_26990-95B</t>
  </si>
  <si>
    <t>Collab_26990-95C</t>
  </si>
  <si>
    <t>Collab_26990-95D</t>
  </si>
  <si>
    <t>Collab_EXP-21-CH1035-B</t>
  </si>
  <si>
    <t>Collab_EXP-21-CH1035-A</t>
  </si>
  <si>
    <t>Collab_EXP-21-CH1035-C</t>
  </si>
  <si>
    <t>Collab_EXP-20-CH1024-A</t>
  </si>
  <si>
    <t>Collab_EXP-20-CH1024-B</t>
  </si>
  <si>
    <t>Collab_EXP-20-CH1024-C</t>
  </si>
  <si>
    <t>Collab_EXP-20-CH1024-D</t>
  </si>
  <si>
    <t>Collab_EXP-20-CH1024-E</t>
  </si>
  <si>
    <t>Collab_EXP-20-CH1024-F</t>
  </si>
  <si>
    <t>Collab_EXP-20-CH1024-G</t>
  </si>
  <si>
    <t>Collab_EXP-20-CH1024-H</t>
  </si>
  <si>
    <t>Collab_EXP-21-CM7837-3</t>
  </si>
  <si>
    <t>Collab_EXP-21-CM7837-4</t>
  </si>
  <si>
    <t>Collab_EXP-21-CM7837-5</t>
  </si>
  <si>
    <t>Collab_EXP-21-CH1050-1</t>
  </si>
  <si>
    <t>Collab_EXP-21-CH1035-A-Saltwater</t>
  </si>
  <si>
    <t>Collab_EXP-21-CH1042-1-Saltwater</t>
  </si>
  <si>
    <t>Batch number not known, tested 2018/2020</t>
  </si>
  <si>
    <t>Collab_EXP-20-CIO632-A3</t>
  </si>
  <si>
    <t>Collab_EXP-20-CIO632-B3</t>
  </si>
  <si>
    <t>Collab_EXP-20-CIO632-C3</t>
  </si>
  <si>
    <t>Collab_EXP-21-CH1070-1</t>
  </si>
  <si>
    <t>Collab_EXP-21-CH1070-2</t>
  </si>
  <si>
    <t>Collab_EXP-21-CH1070-4</t>
  </si>
  <si>
    <t>Collab_EXP-21-3</t>
  </si>
  <si>
    <t>Collab_EXP-22-CH1050</t>
  </si>
  <si>
    <t>CCCCCCCCCCO[C@H]1[C@@H]([C@H]([C@@H]([C@H](O1)CO)O[C@@H]2[C@@H]([C@H]([C@@H]([C@H](O2)CO)O)O)O)O)O</t>
  </si>
  <si>
    <t>CCCCCCCCCCCCO[C@H]1[C@@H]([C@H]([C@@H]([C@H](O1)CO)O[C@@H]2[C@@H]([C@H]([C@@H]([C@H](O2)CO)O)O)O)O)O</t>
  </si>
  <si>
    <t>CCCCCCCCCCCCO[C@@H]3O[C@H](CO)C(O[C@H]2O[C@H](CO)C(O[C@H]1O[C@H](CO)[C@@H](O)[C@H](O)[C@H]1O)[C@H](O)[C@H]2O)[C@H](O)[C@H]3O</t>
  </si>
  <si>
    <t>CCCCCCO[C@H]1[C@@H]([C@H]([C@@H]([C@H](O1)CO)O)O)O</t>
  </si>
  <si>
    <t>CCCCCCO[C@@H]1O[C@H](CO)[C@H](O[C@H]2O[C@H](CO)[C@@H](O)[C@H](O)[C@H]2O)[C@H](O)[C@H]1O</t>
  </si>
  <si>
    <t>CCCCCCCO[C@H]1[C@@H]([C@H]([C@@H]([C@H](O1)CO)O)O)O</t>
  </si>
  <si>
    <t>CCCCCCCCO[C@@H]1O[C@H](CO)[C@@H](O)[C@H](O)[C@H]1O</t>
  </si>
  <si>
    <t>CCCCCCCCO[C@H]1[C@@H]([C@H]([C@@H]([C@H](O1)CO)O[C@@H]2[C@@H]([C@H]([C@@H]([C@H](O2)CO)O)O)O)O)O</t>
  </si>
  <si>
    <t>CCCCCCCCS[C@@H]1O[C@H](CO)[C@@H](O[C@H]2O[C@H](CO)[C@@H](O)[C@H](O)[C@H]2O)[C@H](O)[C@H]1O</t>
  </si>
  <si>
    <t>CCCCCCCCCO[C@@H]1O[C@H](CO)[C@@H](O[C@H]2O[C@H](CO)[C@@H](O)[C@H](O)[C@H]2O)[C@H](O)[C@H]1O</t>
  </si>
  <si>
    <t>C[N+](C)(CCN[S](=O)(=O)CCC(F)(F)C(F)(F)C(F)(F)C(F)(F)C(F)(F)C(F)(F)F)CC([O-])=O</t>
  </si>
  <si>
    <t>CCCCCCCCO[C@@H]3O[C@H](CO)C(O[C@H]2O[C@H](CO)C(O[C@H]1O[C@H](CO)[C@@H](O)[C@H](O)[C@H]1O)[C@H](O)[C@H]2O)[C@H](O)[C@H]3O</t>
  </si>
  <si>
    <t>C[N+](C)(CCC[Si](C)(O[Si](C)(C)C)O[Si](C)(C)C)CCCS(=O)(=O)[O-]</t>
  </si>
  <si>
    <t>C[Si](C)(C)O[Si](C)(CCCNC([C@@H](O)[C@H](O)[C@@H](O)[C@@H](O)CO)=O)O[Si](C)(C)C</t>
  </si>
  <si>
    <t>C[Si](C)(C)O[Si](O[Si](C)(C)C)(CCC[N+](C)(CCCS(=O)([O-])=O)C)O[Si](C)(C)C</t>
  </si>
  <si>
    <t>C[Si](C)(C)O[Si](CCC[n+]1ccccc1)(O[Si](C)(C)C)O[Si](C)(C)C.[Cl-]</t>
  </si>
  <si>
    <t>C[N+](C)(C)CCC[Si](O[Si](C)(C)C)(O[Si](C)(C)C)O[Si](C)(C)C.[I-]</t>
  </si>
  <si>
    <t>C[Si](C)(C)O[Si](O[Si](C)(C)C)(CCCNCCNC(C(O)C(O)C(O)C(O)CO)=O)O[Si](C)(C)C</t>
  </si>
  <si>
    <t>C[Si](C)(C)O[Si](C)(CCCOC2OC(CO)C(OC1OC(CO)C(O)C(O)C1O)C(O)C2O)O[Si](C)(C)C</t>
  </si>
  <si>
    <t>[O-]S(CCC[N+](C)(C)CCC[Si](C)(C)C[Si](C)(C)C)(=O)=O</t>
  </si>
  <si>
    <t>C[Si](C)(C)O[Si](O[Si](C)(C)C)(O[Si](C)(C)C)CCCOC1C(O)C(O)C(OC2C(O)C(O)C(O)C(CO)O2)C(CO)O1</t>
  </si>
  <si>
    <t>C[Si](C)(C)O[Si](O[Si](C)(C)C)(O[Si](C)(C)C)CCCNC(C(O)C(O)C(OC1C(O)C(O)C(O)C(CO)O1)C(O)CO)=O</t>
  </si>
  <si>
    <t>C[Si](C)(C)O[Si](C)(CCCN)O[Si](C)(C)C</t>
  </si>
  <si>
    <t>CCCCCCCCCCCCCCCC[N+](C)(C)C.[Br-]</t>
  </si>
  <si>
    <t>OC[C@H]1O[C@H](O[C@H]2[C@H](O)[C@@H](O)[C@H](OCCCCCC3CCCCC3)O[C@@H]2CO)[C@H](O)[C@@H](O)[C@@H]1O</t>
  </si>
  <si>
    <t>CCCC(CCC)CO[C@H]1[C@@H]([C@H]([C@@H]([C@H](O1)CO)O[C@@H]2[C@@H]([C@H]([C@@H]([C@H](O2)CO)O)O)O)O)O</t>
  </si>
  <si>
    <t>CCCCCCCCCCCCCC[N+](C)(C)CCCS([O-])(=O)=O</t>
  </si>
  <si>
    <t>C[N+](C)(CCCCS(=O)(=O)[O-])CCC[Si](C)(O[Si](C)(C)C)O[Si](C)(C)C</t>
  </si>
  <si>
    <t>COCCOCCOCCOCCOCCOCCOCCOCCOCCOCCC[Si](C)(O[Si](C)(C)C)O[Si](C)(C)C</t>
  </si>
  <si>
    <t>COCCOCCOCCOCCOCCOCCOCCOCCOCCOCCOCCC[Si](C)(O[Si](C)(C)C)O[Si](C)(C)C</t>
  </si>
  <si>
    <t>COCCOCCOCCOCCOCCOCCOCCOCCOCCOCCOCCOCCC[Si](C)(O[Si](C)(C)C)O[Si](C)(C)C</t>
  </si>
  <si>
    <t>COCCOCCOCCOCCOCCOCCOCCOCCOCCOCCOCCOCCOCCC[Si](C)(O[Si](C)(C)C)O[Si](C)(C)C</t>
  </si>
  <si>
    <t>COCCOCCOCCOCCOCCOCCOCCOCCOCCOCCOCCOCCOCCOCCC[Si](C)(O[Si](C)(C)C)O[Si](C)(C)C</t>
  </si>
  <si>
    <t>COCCOCCOCCOCCOCCOCCOCCOCCOCCOCCOCCOCCOCCOCCOCCC[Si](C)(O[Si](C)(C)C)O[Si](C)(C)C</t>
  </si>
  <si>
    <t>C[Si](O[Si](C)(C)C)(CCCOCCO)O[Si](C)(C)C</t>
  </si>
  <si>
    <t>C[Si](O[Si](C)(C)C)(CCCO)O[Si](C)(C)C</t>
  </si>
  <si>
    <t>C[Si](O[Si](C)(C)C)(CCCOCCOCCOCCO[H])O[Si](C)(C)C</t>
  </si>
  <si>
    <t>C[Si](O[Si](C)(C)C)(CCCOCCOCCO[H])O[Si](C)(C)C</t>
  </si>
  <si>
    <t>C[Si](O[Si](C)(C)C)(CCCOCCOCCOCCOCCOCCOCCOCCOCCOCCOCCOCCOCCO[H])O[Si](C)(C)C</t>
  </si>
  <si>
    <t>C[Si](O[Si](C)(C)C)(CCCOCCOCCOCCOCCOCCOCCOCCOCCOCCOCCOCCOCCOCCO[H])O[Si](C)(C)C</t>
  </si>
  <si>
    <t>C[Si](O[Si](C)(C)C)(CCCOCCOCCOCCOCCOCCOCCOCCOCCOCCOCCOCCOCCOCCOCCO[H])O[Si](C)(C)C</t>
  </si>
  <si>
    <t>C[Si](O[Si](C)(C)C)(CCCOCCOCCOCCOCCOCCOCCOCCOCCOCCOCCOCCOCCOCCOCCOCCO[H])O[Si](C)(C)C</t>
  </si>
  <si>
    <t>C[Si](O[Si](C)(C)C)(CCCOCCOCCOCCOCCOCCOCCOCCOCCOCCOCCOCCOCCOCCOCCOCCOCCO[H])O[Si](C)(C)C</t>
  </si>
  <si>
    <t>C[Si](O[Si](C)(C)C)(CCCOCCOCCOCCOCCOCCOCCOCCOCCOCCOCCOCCOCCOCCOCCOCCOCCOCCO[H])O[Si](C)(C)C</t>
  </si>
  <si>
    <t>C[Si](O[Si](C)(C)C)(CCCOCCOCCOCCOCCOCCOCCOCCOCCOCCOCCOCCOCCOCCOCCOCCOCCOCCOCCO[H])O[Si](C)(C)C</t>
  </si>
  <si>
    <t>C[Si](O[Si](C)(C)C)(CCCOCCOCCOCCOCCOCCOCCOCCOCCOCCOCCOCCOCCOCCOCCOCCOCCOCCOCCOCCO[H])O[Si](C)(C)C</t>
  </si>
  <si>
    <t>C[Si](C)(C)O[Si](O[Si](C)(C)C)(C)CCCOCC(O)CNC(CO)(CO)CO</t>
  </si>
  <si>
    <t>C[Si](C)(C)O[Si](O[Si](C)(C)C)(C)CCCOCC(O)CN(CCO)CCO</t>
  </si>
  <si>
    <t>NRL_N10478-240</t>
  </si>
  <si>
    <t>C[Si](C)(C)O[Si](O[Si](C)(C)C)(C)CCCNC(C(O)C(O)C(O)C(O)CO)=O</t>
  </si>
  <si>
    <t>CCCCCCCC(CCCCC)OCCOCCOCCOCCOCCOCCOCCOCCOCCOCCOCCOCCO</t>
  </si>
  <si>
    <t>CCCCCCCCC(CCCCCC)OCCOCCOCCOCCOCCOCCOCCOCCOCCOCCOCCOCCO</t>
  </si>
  <si>
    <t>CCCCCCCC(CCCCC)OCCOCCOCCOCCOCCOCCOCCO</t>
  </si>
  <si>
    <t>CCCCCCCCC(CCCCCC)OCCOCCOCCOCCOCCOCCOCCO</t>
  </si>
  <si>
    <t>CCCCCCCC(CCCCC)OCCOCCOCCOCCOCCOCCOCCOCCOCCO</t>
  </si>
  <si>
    <t>CCCCCCCCC(CCCCCC)OCCOCCOCCOCCOCCOCCOCCOCCOCCO</t>
  </si>
  <si>
    <t>CC(C)CC(C)CC(CC(C)C)OCCOCCOCCOCCOCCOCCO</t>
  </si>
  <si>
    <t>CC(C)(C)CC(C)(C)C1=CC=C(C=C1)OCCOCCOCCOCCOCCOCCOCCOCCOCCO</t>
  </si>
  <si>
    <t>CC(C)(C)CC(C)(C)C1=CC=C(C=C1)OCCOCCOCCOCCOCCOCCOCCOCCOCCOCCO</t>
  </si>
  <si>
    <t>CC(C)(C)CC(C)(C)C1=CC=C(C=C1)OCCOCCOCCOCCOCCOCCOCCO</t>
  </si>
  <si>
    <t>CC(C)(C)CC(C)(C)C1=CC=C(C=C1)OCCOCCOCCOCCOCCOCCOCCOCCO</t>
  </si>
  <si>
    <t>CC(C)(C)CC(C)(C)C1=CC=C(C=C1)OCCOCCOCCOCCOCCO</t>
  </si>
  <si>
    <t>[Na+].CCCCC(CC)COC(=O)CC(C(=O)OCC(CC)CCCC)S(=O)(=O)[O-]</t>
  </si>
  <si>
    <t>[Na+].CCCCC(CC)CCC(CC(C)C)OS([O-])(=O)=O</t>
  </si>
  <si>
    <t>FC(F)(C(F)(F)C(=O)O)C(F)(F)C(F)(F)C(F)(F)C(F)(F)C(F)(F)F</t>
  </si>
  <si>
    <t>CCCCCCCCCCCCOS(=O)([O-])=O.[Na+]</t>
  </si>
  <si>
    <t>C[Si](C)(C)O[Si](C)(CCCOCCOCCOCCOCCOCCOCCO)O[Si](C)(C)C</t>
  </si>
  <si>
    <t>C[Si](C)(C)O[Si](C)(CCCOCCOCCOCCOCCOCCOCCOCCO)O[Si](C)(C)C</t>
  </si>
  <si>
    <t>C[Si](C)(C)O[Si](C)(CCCOCCOCCOCCOCCOCCOCCOCCOCCO)O[Si](C)(C)C</t>
  </si>
  <si>
    <t>C[Si](C)(C)O[Si](C)(CCCOCCOCCOCCOCCOCCOCCOCCOCCOCCO)O[Si](C)(C)C</t>
  </si>
  <si>
    <t>COCCOCCOCCOCCOCCOCCOCCC[Si](C)(O[Si](C)(C)C)O[Si](C)(C)C</t>
  </si>
  <si>
    <t>COCCOCCOCCOCCOCCOCCOCCOCCC[Si](C)(O[Si](C)(C)C)O[Si](C)(C)C</t>
  </si>
  <si>
    <t>COCCOCCOCCOCCOCCOCCOCCOCCOCCC[Si](C)(O[Si](C)(C)C)O[Si](C)(C)C</t>
  </si>
  <si>
    <t>OC[C@H]1O[C@@H](OCCCCCCCCC)[C@H](O)[C@@H](O)[C@@H]1O</t>
  </si>
  <si>
    <t>CCCCCCCCCCOC1[C@@H]([C@H]([C@@H]([C@H](O1)CO)O)O)O</t>
  </si>
  <si>
    <t>CCCCCCCCCCOC1C(C(C(C(O1)CO)O)O)O</t>
  </si>
  <si>
    <t>CCCCCCCCCCCOC1C(C(C(C(O1)CO)O)O)O</t>
  </si>
  <si>
    <t>CCCCCCCCCCCCOC1C(C(C(C(O1)CO)O)O)O</t>
  </si>
  <si>
    <t>CCCCCCCCCCCCCOC1C(C(C(C(O1)CO)O)O)O</t>
  </si>
  <si>
    <t>CCCCCCCCCCCCCCOC1C(C(C(C(O1)CO)O)O)O</t>
  </si>
  <si>
    <t>CCCCCCCCCCCCCCCOC1C(C(C(C(O1)CO)O)O)O</t>
  </si>
  <si>
    <t>COCCOCCOCCOCCOCCC[Si](C)(O[Si](C)(C)C)O[Si](C)(C)C</t>
  </si>
  <si>
    <t>COCCOCCOCCOCCOCCOCCC[Si](C)(O[Si](C)(C)C)O[Si](C)(C)C</t>
  </si>
  <si>
    <t>C[Si](O[Si](C)(C)C)(CCCOCCOCCOCCOCCO[H])O[Si](C)(C)C</t>
  </si>
  <si>
    <t>C[Si](O[Si](C)(C)C)(CCCOCCOCCOCCOCCOCCO[H])O[Si](C)(C)C</t>
  </si>
  <si>
    <t>C[Si](O[Si](C)(C)C)(CCCOCCOCCOCCOCCOCCOCCO[H])O[Si](C)(C)C</t>
  </si>
  <si>
    <t>C[Si](O[Si](C)(C)C)(CCCOCCOCCOCCOCCOCCOCCOCCO[H])O[Si](C)(C)C</t>
  </si>
  <si>
    <t>C[Si](O[Si](C)(C)C)(CCCOCCOCCOCCOCCOCCOCCOCCOCCOCCO[H])O[Si](C)(C)C</t>
  </si>
  <si>
    <t>C[Si](O[Si](C)(C)C)(CCCOCCOCCOCCOCCOCCOCCOCCOCCOCCOCCO[H])O[Si](C)(C)C</t>
  </si>
  <si>
    <t>C[Si](O[Si](C)(C)C)(CCCOCCOCCOCCOCCOCCOCCOCCOCCOCCOCCOCCO[H])O[Si](C)(C)C</t>
  </si>
  <si>
    <t>C[Si](O[Si](C)(C)C)(CCCOCCOCCOCCOCCOCCOCCOCCOCCOCCOCCOCCOCCOCCOCCOCCOCCOCCOCCOCCOCCOCCOCCOCCOCCOCCOCCOCCOCCOCCOCCOCCOCCOCCOCCOCCO[H])O[Si](C)(C)C</t>
  </si>
  <si>
    <t>C[Si](O[Si](C)(C)C)(CCCOCCOCCOCCOCCOCCOCCOCCOCCOCCOCCOCCOCCOCCOCCOCCOCCOCCOCCOCCOCCOCCOCCOCCOCCOCCOCCOCCOCCOCCOCCOCCOCCOCCOCCOCCOCCO[H])O[Si](C)(C)C</t>
  </si>
  <si>
    <t>C[Si](O[Si](C)(C)C)(CCCOCCOCCOCCOCCOCCOCCOCCOCCOCCOCCOCCOCCOCCOCCOCCOCCOCCOCCOCCOCCOCCOCCOCCOCCOCCOCCOCCOCCOCCOCCOCCOCCOCCOCCOCCOCCOCCO[H])O[Si](C)(C)C</t>
  </si>
  <si>
    <t>C[Si](O[Si](C)(C)C)(CCCOCCOCCOCCOCCOCCOCCOCCOCCOCCOCCOCCOCCOCCOCCOCCOCCOCCOCCOCCOCCOCCOCCOCCOCCOCCOCCOCCOCCOCCOCCOCCOCCOCCOCCOCCOCCOCCOCCO[H])O[Si](C)(C)C</t>
  </si>
  <si>
    <t>C[Si](O[Si](C)(C)C)(CCCOCCOCCOCCOCCOCCOCCOCCOCCOCCOCCOCCOCCOCCOCCOCCOCCOCCOCCOCCOCCOCCOCCOCCOCCOCCOCCOCCOCCOCCOCCOCCOCCOCCOCCOCCOCCOCCOCCOCCO[H])O[Si](C)(C)C</t>
  </si>
  <si>
    <t>C[Si](O[Si](C)(C)C)(CCCOCCOCCOCCOCCOCCOCCOCCOCCOCCOCCOCCOCCOCCOCCOCCOCCOCCOCCOCCOCCOCCOCCOCCOCCOCCOCCOCCOCCOCCOCCOCCOCCOCCOCCOCCOCCOCCOCCOCCOCCO[H])O[Si](C)(C)C</t>
  </si>
  <si>
    <t>C[Si](O[Si](C)(C)C)(CCCOCCOCCOCCOCCOCCOCCOCCOCCOCCOCCOCCOCCOCCOCCOCCOCCOCCOCCOCCOCCOCCOCCOCCOCCOCCOCCOCCOCCOCCOCCOCCOCCOCCOCCOCCOCCOCCOCCOCCOCCOCCO[H])O[Si](C)(C)C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</si>
  <si>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C[Si](O[Si](C)(C)C)(CCCOCCOCCOCCOCCOCCOCCOCCOCCOCCOCCOCCOCCOCCOCCOCCOCCOCCOCCOCCOCCOCCOCCOCCOCCOCCOCCOCCOCCOCCOCCOCCOCCOCCOCCOCCOCCOCCOCCOCCOCCOCCOCCO[H])O[Si](C)(C)C</t>
  </si>
  <si>
    <t>[H]OCCOCCOCCOCCOCCOCCOCCOCCOCCOCCOCCOCCOCCC[Si]([Si](C)(C)C)([Si](C)(C)C)[Si](C)(C)C</t>
  </si>
  <si>
    <t>C[Si](O[Si](C)(C)C)(CCCOCCOCCOCCOCCOCCOCCOCCOCCO[H])O[Si](C)(C)C</t>
  </si>
  <si>
    <t>C[N+](C)(CCCS(=O)([O-])=O)CCC[Si]([Si](C)(C)C)([Si](C)(C)C)[Si](C)(C)C</t>
  </si>
  <si>
    <t>CCCCCCCCCCO[C@@H]3O[C@H](CO)C(O[C@H]2O[C@H](CO)C(O[C@H]1O[C@H](CO)[C@@H](O)[C@H](O)[C@H]1O)[C@H](O)[C@H]2O)[C@H](O)[C@H]3O</t>
  </si>
  <si>
    <t>trisiloxane sulfobetaine</t>
  </si>
  <si>
    <t>C[Si](C[Si](C)(C)C(C)(C)C)(CCC[N+](C)(C)CCCS([O-])(=O)=O)C[Si](C)(C(C)(C)C)C</t>
  </si>
  <si>
    <t>C[Si](O[Si](C)(CCl)C)(CCCOCCOCCOCCOCCOCCOCCOCCOCCOCCOCCOC)O[Si](C)(CCl)C</t>
  </si>
  <si>
    <t>C[Si](O[Si](C)(CCl)C)(CCCOCCOCCOCCOCCOCCOCCOCCOCCOCCOCCOCCOC)O[Si](C)(CCl)C</t>
  </si>
  <si>
    <t>C[Si](O[Si](C)(CCl)C)(CCCOCCOCCOCCOCCOCCOCCOCCOCCOCCOCCOCCOCCOC)O[Si](C)(CCl)C</t>
  </si>
  <si>
    <t>C[Si](O[Si](C)(CCl)C)(CCCOCCOCCOCCOCCOCCOCCOCCOCCOCCOCCOCCOCCOCCOC)O[Si](C)(CCl)C</t>
  </si>
  <si>
    <t>C[Si](O[Si](C)(CCl)C)(CCCOCCOCCOCCOCCOCCOCCOCCOCCOCCOCCOCCOCCOCCOCCOC)O[Si](C)(CCl)C</t>
  </si>
  <si>
    <t>C[Si](O[Si](C)(CCl)C)(CCCOCCOCCOCCOCCOCCOCCOCCOCCOCCOCCOCCOCCOCCOCCOCCOC)O[Si](C)(CCl)C</t>
  </si>
  <si>
    <t>C[Si](C)(C)O[Si](C)(CCCOCCOCCOCCOCCOCCOCCOCCOCCOCCOCCOCCOCCOCCOCCOCCO)O[Si](C)(C)C</t>
  </si>
  <si>
    <t>C[Si](C)(C)O[Si](C)(CCCOCCOCCOCCOCCOCCOCCOCCOCCOCCOCCOCCOCCOCCOCCO)O[Si](C)(C)C</t>
  </si>
  <si>
    <t>C[Si](C)(C)O[Si](C)(CCCOCCOCCOCCOCCOCCOCCOCCOCCOCCOCCOCCOCCOCCO)O[Si](C)(C)C</t>
  </si>
  <si>
    <t>C[Si](C)(C)O[Si](C)(CCCOCCOCCOCCOCCOCCOCCOCCOCCOCCOCCOCCOCCO)O[Si](C)(C)C</t>
  </si>
  <si>
    <t>C[Si](C)(C)O[Si](C)(CCCOCCOCCOCCOCCOCCOCCOCCOCCOCCOCCOCCO)O[Si](C)(C)C</t>
  </si>
  <si>
    <t>C[Si](C)(C)O[Si](C)(CCCOCCOCCOCCOCCOCCOCCOCCOCCOCCOCCO)O[Si](C)(C)C</t>
  </si>
  <si>
    <t>DGBE</t>
  </si>
  <si>
    <t>CCCCOCCOCCO</t>
  </si>
  <si>
    <t>CC(C)CC(C)OC(=O)CC(C(=O)OC(C)CC(C)C)S(=O)(=O)[O-].[Na+]</t>
  </si>
  <si>
    <t>CCCCCCCCCOC1C(C(C(C(O1)CO)O)O)O</t>
  </si>
  <si>
    <t>CCCCCCCCCO[C@H]1[C@@H]([C@H]([C@@H]([C@H](O1)CO)O[C@@H]2[C@@H]([C@H]([C@@H]([C@H](O2)CO)O)O)O)O)O</t>
  </si>
  <si>
    <t>CAS#</t>
  </si>
  <si>
    <t>67674-67-3</t>
  </si>
  <si>
    <t>Source</t>
  </si>
  <si>
    <t>27306-78-1</t>
  </si>
  <si>
    <t>CC(C)(C)CC(C)(C)C1=CC=C(C=C1)OCCOCCOCCOCCO</t>
  </si>
  <si>
    <t>NRL_N10477-12</t>
  </si>
  <si>
    <t>Additional Info</t>
  </si>
  <si>
    <t>Purchased from Gelest Inc.</t>
  </si>
  <si>
    <t xml:space="preserve">Purchased from Gelest Inc. </t>
  </si>
  <si>
    <t>Purchased from Anatrace</t>
  </si>
  <si>
    <t>chlorine substituted on siloxane surfactant tail, PEO head group</t>
  </si>
  <si>
    <t>Buckeye 3%</t>
  </si>
  <si>
    <t>Commercial AFFF, not an individual surfactant, specific product was MilSpec qualified at some point</t>
  </si>
  <si>
    <t>Commercial fluorine-free, not an individual surfactant, Solberg product manufactured 2008</t>
  </si>
  <si>
    <t>Commercial fluorine-free made by National Foam, not an individual surfactant, product manufactured by National Foam</t>
  </si>
  <si>
    <t>JetFoam 3%</t>
  </si>
  <si>
    <t>Commercial fluorine-free made by Angus, not an individual surfactant, same formulation as AvioGreen, different manufacturer</t>
  </si>
  <si>
    <t>FomtecEnviroUSP 3%</t>
  </si>
  <si>
    <t>Ecoguard CF3F</t>
  </si>
  <si>
    <t>Commercial fluroine-free made by Chemguard, not an individual surfactant</t>
  </si>
  <si>
    <r>
      <t>Universal</t>
    </r>
    <r>
      <rPr>
        <sz val="11"/>
        <color theme="1"/>
        <rFont val="Calibri"/>
        <family val="2"/>
      </rPr>
      <t>®F3 Green</t>
    </r>
  </si>
  <si>
    <t>Commercial fluorine-free made by National Foam, alocohol resistant foam, different from other commercial products examined</t>
  </si>
  <si>
    <t>Provided by Dow Chemical</t>
  </si>
  <si>
    <t>Purchased from Siltech</t>
  </si>
  <si>
    <t>Purchased from Stepan</t>
  </si>
  <si>
    <t>Purchased from Sigma Aldrich</t>
  </si>
  <si>
    <t>CL_MD2102-16</t>
  </si>
  <si>
    <t>NRL Synthesized trisiloxane tail with 8 PEO, OH term, NOF precursor</t>
  </si>
  <si>
    <t>NRL Synthesized trisiloxane tail with 8-9 PEO units, OH term, NOF precursor</t>
  </si>
  <si>
    <t>[H]OCCOCCOCCOCCOCCOCCOCCOCCOCCOCCOCCOCCC[Si]([Si](C)(C)C)([Si](C)(C)C)[Si](C)(C)C</t>
  </si>
  <si>
    <r>
      <t>Solberg</t>
    </r>
    <r>
      <rPr>
        <sz val="11"/>
        <color theme="1"/>
        <rFont val="Calibri"/>
        <family val="2"/>
      </rPr>
      <t>® Rehealing RF3 3%</t>
    </r>
  </si>
  <si>
    <r>
      <t>Avio</t>
    </r>
    <r>
      <rPr>
        <sz val="11"/>
        <color theme="1"/>
        <rFont val="Calibri"/>
        <family val="2"/>
      </rPr>
      <t>®F3 Green KHC</t>
    </r>
  </si>
  <si>
    <t>dicarbosilane sulfobetaine</t>
  </si>
  <si>
    <t xml:space="preserve">APG: n-dodecylmaltotriside </t>
  </si>
  <si>
    <t>APG: n-decylmaltotriside</t>
  </si>
  <si>
    <t>tetrasiloxane sulfobetane, same as CL structures</t>
  </si>
  <si>
    <t>diglycoside with oxygen linker instead of =O with trisiloxane</t>
  </si>
  <si>
    <t xml:space="preserve">tetrasiloxane-pyridiniumchloride </t>
  </si>
  <si>
    <t xml:space="preserve">tetrasiloxane-trimethylammoniumiodide </t>
  </si>
  <si>
    <t>trisiloxane sulofbetaine with an extra carbon between N and sulfonate</t>
  </si>
  <si>
    <t>trisiloxane with sulfobetaine head group, tested for CMC not further evaluated</t>
  </si>
  <si>
    <t>tetrasiloxane with a glucosamide one unit long, NH linker to NH with glucosamide</t>
  </si>
  <si>
    <t>3-aminoporpylbis(trimethylsiloxy)methyl silane (APS)</t>
  </si>
  <si>
    <t>tetrasiloxane tail structure, sulfobetaine</t>
  </si>
  <si>
    <t>trisiloxane tail structure, one glucosamide head</t>
  </si>
  <si>
    <t>APG: 7 alkyl chain length 1 glycoside unit</t>
  </si>
  <si>
    <t>APG: 6 alkyl chain length 1 glycoside unit</t>
  </si>
  <si>
    <t>APG: 9 alkyl chain length 2 glycoside units</t>
  </si>
  <si>
    <t>APG</t>
  </si>
  <si>
    <t>APG: 8 alkyl chain length 2 sulfonated substituted glycoside units</t>
  </si>
  <si>
    <t>APG: 8 alkyl chain length 1 glycoside unit</t>
  </si>
  <si>
    <t>APG: 12 alkyl chain length 2 glycoside units</t>
  </si>
  <si>
    <t>APG: 10 alkyl chain length 2 glycoside units</t>
  </si>
  <si>
    <t>APG: 8 alkyl chain length 2 glycoside units</t>
  </si>
  <si>
    <t>APG: 8 alkyl chain length  3 glycoside units</t>
  </si>
  <si>
    <t>Purchased from BASF</t>
  </si>
  <si>
    <t xml:space="preserve">Provided by Chemours </t>
  </si>
  <si>
    <t>Capstone 1157N</t>
  </si>
  <si>
    <t>Sodium dodecyl sulfate</t>
  </si>
  <si>
    <t>Full Name</t>
  </si>
  <si>
    <t>Short-Hand Notation</t>
  </si>
  <si>
    <t>SMILES files, highlighted in orange are polydisperse structures with multiple SMILES files (22 structures)</t>
  </si>
  <si>
    <t>Detailed description example:</t>
  </si>
  <si>
    <t xml:space="preserve">Concentrations created for the calculation of CMC values, units are wt% total surfactant in aqueous solution, NaN values in place to create even-rowed columns </t>
  </si>
  <si>
    <t xml:space="preserve">Measured solution surface tensions at specified concentrations, used to calculate CMC values, units are mN/m, NaN values in place to create even-rowed columns  </t>
  </si>
  <si>
    <t xml:space="preserve">Measured interfacial tensions with fuel for concentration specific mixtures and surfactants, separate rows indicate value for different fuels: heptane, gasoline, cyclohexane, Jet-A, units are mN/m, NaN values in place to create even-rowed columns  </t>
  </si>
  <si>
    <t xml:space="preserve">Time stamp for the corresponding foam heights measured during the heptane fuel transport experiment, units are in minutes, NaN values in place to create even-rowed columns   </t>
  </si>
  <si>
    <t xml:space="preserve">Foam height measured during the fuel transport experiments, units are in cm, NaN values in place to create even-rowed columns  </t>
  </si>
  <si>
    <t>Eleven selected flux time values, representitive of the flux profile to fit for EDC value. Data are in seconds. For some with limited datapoints, NaN is used as a placeholder t ocreate even-rowed columns</t>
  </si>
  <si>
    <t>Eleven selected flux values, representitive of the flux profile to fit for EDC value. Data are in mol/cm2s. For some with limited datapoints, NaN is used as a placeholder t ocreate even-rowed columns</t>
  </si>
  <si>
    <t xml:space="preserve">Measured foam expansion ratio, average of value measured before and after each extinction test, ER is unitless. NaN indicates no measurement for the specifc foam flow rate test  </t>
  </si>
  <si>
    <t xml:space="preserve">Measured time for foam to fully cover the 19cm fuel pool during fire extinction, units in seconds, foams that did not fully cover the fuel pool in a desired time are labeled "No Cov". NaN indicates the measurement was not taken for the particular test </t>
  </si>
  <si>
    <t>Measured time for the foam to fully extinguish the 19cm heptane pool fire, units in seconds, foams that did not extinguish the pool fire in a desired time are labeled "No Ext"</t>
  </si>
  <si>
    <t>Measured flow rate of foam that corresponds to specific ER, coverage, and extinction times for gasoline fire testing, units are in mL/min</t>
  </si>
  <si>
    <t>Measured flow rate of foam that corresponds to specific ER, coverage, and extinction times for heptane fire testing, units are in mL/min</t>
  </si>
  <si>
    <t>Measured time for the foam to fully extinguish the 19cm gasoline pool fire, units in seconds, foams that did not extinguish the pool fire in a desired time are labeled "No Ext"</t>
  </si>
  <si>
    <t>Surfactant with SMILES</t>
  </si>
  <si>
    <t>Commercial Surfactant with no SMILES</t>
  </si>
  <si>
    <t>Color code</t>
  </si>
  <si>
    <t>Commercial firefighting foam concentrate</t>
  </si>
  <si>
    <t>Experimental firefighting foam concentrate</t>
  </si>
  <si>
    <t>NRL_N10478-81</t>
  </si>
  <si>
    <t>C[N+](C)(CCC[Si]1(C)O[Si](C)(C)O[Si](C)(C)O[Si](C)(C)O1)CCCS(=O)(=O)[O-]</t>
  </si>
  <si>
    <t>CCCCCCCCCCCO[C@H]1[C@@H]([C@H]([C@@H]([C@H](O1)CO)O[C@@H]2[C@@H]([C@H]([C@@H]([C@H](O2)CO)O)O)O)O)O</t>
  </si>
  <si>
    <t>CCCCCCCCCCCCCO[C@H]1[C@@H]([C@H]([C@@H]([C@H](O1)CO)O[C@@H]2[C@@H]([C@H]([C@@H]([C@H](O2)CO)O)O)O)O)O</t>
  </si>
  <si>
    <t>CCCCCCCCCCCCCCCO[C@H]1[C@@H]([C@H]([C@@H]([C@H](O1)CO)O[C@@H]2[C@@H]([C@H]([C@@H]([C@H](O2)CO)O)O)O)O)O</t>
  </si>
  <si>
    <t>CCCCCCCCCCCCCCO[C@H]1[C@@H]([C@H]([C@@H]([C@H](O1)CO)O[C@@H]2[C@@H]([C@H]([C@@H]([C@H](O2)CO)O)O)O)O)O</t>
  </si>
  <si>
    <t>C[Si](O[Si](C)(C)C)(CCCOCCOCCOCCOCCOCCOCCOCCOCCOCCOCCOCCOCCOCCOCCOCCOCCOCCOCCOCCOCCOCCOCCOCCOCCOCCOCCOCCOCCOCCOCCOCCOCCOCCOCCOCCOCCOCCOCCOCCOCCOCCOCCOCCO[H])O[Si](C)(C)C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</si>
  <si>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</si>
  <si>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</si>
  <si>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</si>
  <si>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</si>
  <si>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</si>
  <si>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C[Si](O[Si](C)(C)C)(CCCOCCOCCOCCOCCOCCOCCOCCOCCOCCOCCOCCOCCOCCOCCOCCOCCOCCOCCOCCOCCOCCOCCOCCOCCOCCOCCOCCOCCOCCOCCOCCOCCOCCOCCOCCOCCOCCOCCOCCOCCOCCOCCOCCOCCOCCOCCOCCOCCOCCO[H])O[Si](C)(C)C</t>
  </si>
  <si>
    <t>C[Si](O[Si](C)(C)C)(CCCOCCOCCOCCOCCOCCOCCOCCOCCOCCOCCOCCOCCOCCOCCOCCOCCOCCOCCOCCOCCOCCOCCOCCOCCOCCOCCOCCOCCOCCOCCOCCOCCOCCOCCOCCOCCOCCOCCOCCOCCOCCOCCOCCOCCOCCOCCOCCOCCOCCOCCO[H])O[Si](C)(C)C</t>
  </si>
  <si>
    <t>APG: 6 alkyl chain length glycoside units</t>
  </si>
  <si>
    <t xml:space="preserve">Time in minutes associated with foam height measurement in heptane induced degradation experiment </t>
  </si>
  <si>
    <t xml:space="preserve">Time in minutes associated with foam height measurement in gasoline induced degradation experiment </t>
  </si>
  <si>
    <t xml:space="preserve">Foam height in centimeters associated with times in "Foam Deg Time Hept 60C" for heptane induced degradation experiment </t>
  </si>
  <si>
    <t xml:space="preserve">Foam height in centimeters associated with times in "Foam Deg Time Gas 35C" for gasoline induced degradation experiment </t>
  </si>
  <si>
    <t>trisiloxane tail with 4-7 PEO units in head, OH terminated</t>
  </si>
  <si>
    <t>trisiloxane tail with 9-12 PEO units in head, OH terminated</t>
  </si>
  <si>
    <t>trisiloxane tail with 12-20 PEO units in head, OH terminated</t>
  </si>
  <si>
    <t>trisiloxane tail with 35-50 PEO units in head, OH terminated</t>
  </si>
  <si>
    <t>trisiloxane tail with 7-8 PEO, OH terminated</t>
  </si>
  <si>
    <t>trisiloxane tail with no PEO units in head, OH terminated (mondisperse)</t>
  </si>
  <si>
    <t>trisiloxane tail with 1 PEO unit, OH terminated (monodispersed)</t>
  </si>
  <si>
    <t>trisiloxane tail with 3 PEO units, OH terminated (mondispersed)</t>
  </si>
  <si>
    <t>trisiloxane tail with 11-12 PEO units, OH terminated</t>
  </si>
  <si>
    <t>trisiloxane tail with 2 PEO units, OH terminated (monodisperse)</t>
  </si>
  <si>
    <t>tetrasilane tail with 11-12 PEO units, OH terminated</t>
  </si>
  <si>
    <t>trisiloxane tail with 8-9 PEO units, OH terminated</t>
  </si>
  <si>
    <t>trisiloxane tail with 15-16 PEO units, OH terminated</t>
  </si>
  <si>
    <t>Experimental material provided from commercial source, structure unknown</t>
  </si>
  <si>
    <t>Commercial Source</t>
  </si>
  <si>
    <t>ComSor181360</t>
  </si>
  <si>
    <t>ComSor_EXP-20-C10628-A</t>
  </si>
  <si>
    <t>ComSor_EXP-20-C10628-B</t>
  </si>
  <si>
    <t>ComSor_EXP-20-C10628-C</t>
  </si>
  <si>
    <t>ComSor_EXP-20-C10628-D</t>
  </si>
  <si>
    <t>ComSor_EXP-20-C10628-E</t>
  </si>
  <si>
    <t>ComSor_EXP-21-1</t>
  </si>
  <si>
    <t>ComSor_EXP-21-2</t>
  </si>
  <si>
    <t>ComSor_EXP-21-3</t>
  </si>
  <si>
    <t>ComSor_EXP-21-5</t>
  </si>
  <si>
    <t>ComSor_EXP-21-6</t>
  </si>
  <si>
    <t>ComSor_EXP-21-7</t>
  </si>
  <si>
    <t>ComSor1830503</t>
  </si>
  <si>
    <t>ComSor_26990-95B</t>
  </si>
  <si>
    <t>ComSor_26990-95C</t>
  </si>
  <si>
    <t>ComSor_26990-95D</t>
  </si>
  <si>
    <t>ComSor_EXP-21-CH1035-B</t>
  </si>
  <si>
    <t>ComSor_EXP-21-CH1035-A</t>
  </si>
  <si>
    <t>ComSor_EXP-21-CH1035-C</t>
  </si>
  <si>
    <t>ComSor_EXP-20-CH1024-A</t>
  </si>
  <si>
    <t>ComSor_EXP-20-CH1024-B</t>
  </si>
  <si>
    <t>ComSor_EXP-20-CH1024-C</t>
  </si>
  <si>
    <t>ComSor_EXP-20-CH1024-D</t>
  </si>
  <si>
    <t>ComSor_EXP-20-CH1024-E</t>
  </si>
  <si>
    <t>ComSor_EXP-20-CH1024-F</t>
  </si>
  <si>
    <t>ComSor_EXP-20-CH1024-G</t>
  </si>
  <si>
    <t>ComSor_EXP-20-CH1024-H</t>
  </si>
  <si>
    <t>ComSor_EXP-21-CM7837-3</t>
  </si>
  <si>
    <t>ComSor_EXP-21-CM7837-4</t>
  </si>
  <si>
    <t>ComSor_EXP-21-CM7837-5</t>
  </si>
  <si>
    <t>ComSor_EXP-21-CH1050-1</t>
  </si>
  <si>
    <t>ComSor_EXP-21-CH1035-A-Saltwater</t>
  </si>
  <si>
    <t>ComSor_EXP-21-CH1042-1-Saltwater</t>
  </si>
  <si>
    <t>ComSor_EXP-22-CH1050</t>
  </si>
  <si>
    <t>ComSor_EXP-20-CIO632-A3</t>
  </si>
  <si>
    <t>ComSor_EXP-20-CIO632-B3</t>
  </si>
  <si>
    <t>ComSor_EXP-20-CIO632-C3</t>
  </si>
  <si>
    <t>ComSor_EXP-21-CH1070-1</t>
  </si>
  <si>
    <t>ComSor_EXP-21-CH1070-2</t>
  </si>
  <si>
    <t>ComSor_EXP-21-CH1070-4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</si>
</sst>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8" x14ac:knownFonts="1">
    <font>
      <sz val="11"/>
      <color theme="1"/>
      <name val="Calibri"/>
      <family val="2"/>
      <scheme val="minor"/>
    </font>
    <font>
      <sz val="11"/>
      <color rgb="FF000000"/>
      <name val="Calibri"/>
      <family val="2"/>
      <scheme val="minor"/>
    </font>
    <font>
      <b/>
      <sz val="11"/>
      <color theme="1"/>
      <name val="Calibri"/>
      <family val="2"/>
      <scheme val="minor"/>
    </font>
    <font>
      <sz val="11"/>
      <name val="Calibri"/>
      <family val="2"/>
      <scheme val="minor"/>
    </font>
    <font>
      <i/>
      <sz val="11"/>
      <color theme="1"/>
      <name val="Calibri"/>
      <family val="2"/>
      <scheme val="minor"/>
    </font>
    <font>
      <sz val="11"/>
      <color rgb="FFCC66FF"/>
      <name val="Calibri"/>
      <family val="2"/>
      <scheme val="minor"/>
    </font>
    <font>
      <sz val="11"/>
      <color rgb="FFFF0000"/>
      <name val="Calibri"/>
      <family val="2"/>
      <scheme val="minor"/>
    </font>
    <font>
      <sz val="8"/>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sz val="11"/>
      <color rgb="FFFFFF00"/>
      <name val="Calibri"/>
      <family val="2"/>
      <scheme val="minor"/>
    </font>
    <font>
      <sz val="10"/>
      <color rgb="FF111827"/>
      <name val="Segoe UI"/>
      <family val="2"/>
    </font>
    <font>
      <u/>
      <sz val="11"/>
      <color theme="10"/>
      <name val="Calibri"/>
      <family val="2"/>
      <scheme val="minor"/>
    </font>
    <font>
      <sz val="11"/>
      <color theme="1"/>
      <name val="Calibri"/>
      <family val="2"/>
    </font>
  </fonts>
  <fills count="4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249977111117893"/>
        <bgColor indexed="64"/>
      </patternFill>
    </fill>
  </fills>
  <borders count="11">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xf numFmtId="0" fontId="16" fillId="8" borderId="5" applyNumberFormat="0" applyAlignment="0" applyProtection="0"/>
    <xf numFmtId="0" fontId="17" fillId="9" borderId="6" applyNumberFormat="0" applyAlignment="0" applyProtection="0"/>
    <xf numFmtId="0" fontId="18" fillId="9" borderId="5" applyNumberFormat="0" applyAlignment="0" applyProtection="0"/>
    <xf numFmtId="0" fontId="19" fillId="0" borderId="7" applyNumberFormat="0" applyFill="0" applyAlignment="0" applyProtection="0"/>
    <xf numFmtId="0" fontId="20" fillId="10" borderId="8" applyNumberFormat="0" applyAlignment="0" applyProtection="0"/>
    <xf numFmtId="0" fontId="6" fillId="0" borderId="0" applyNumberFormat="0" applyFill="0" applyBorder="0" applyAlignment="0" applyProtection="0"/>
    <xf numFmtId="0" fontId="8" fillId="11" borderId="9" applyNumberFormat="0" applyFont="0" applyAlignment="0" applyProtection="0"/>
    <xf numFmtId="0" fontId="21" fillId="0" borderId="0" applyNumberFormat="0" applyFill="0" applyBorder="0" applyAlignment="0" applyProtection="0"/>
    <xf numFmtId="0" fontId="2" fillId="0" borderId="10" applyNumberFormat="0" applyFill="0" applyAlignment="0" applyProtection="0"/>
    <xf numFmtId="0" fontId="22"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22"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22"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22"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22"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22"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26" fillId="0" borderId="0" applyNumberFormat="0" applyFill="0" applyBorder="0" applyAlignment="0" applyProtection="0"/>
  </cellStyleXfs>
  <cellXfs count="73">
    <xf numFmtId="0" fontId="0" fillId="0" borderId="0" xfId="0"/>
    <xf numFmtId="0" fontId="0" fillId="0" borderId="0" xfId="0" applyAlignment="1">
      <alignment wrapText="1"/>
    </xf>
    <xf numFmtId="0" fontId="0" fillId="2" borderId="0" xfId="0" applyFill="1"/>
    <xf numFmtId="0" fontId="0" fillId="0" borderId="0" xfId="0" applyAlignment="1">
      <alignment vertical="center"/>
    </xf>
    <xf numFmtId="0" fontId="0" fillId="0" borderId="0" xfId="0" applyAlignment="1">
      <alignment vertical="top"/>
    </xf>
    <xf numFmtId="0" fontId="0" fillId="0" borderId="0" xfId="0" applyAlignment="1"/>
    <xf numFmtId="0" fontId="0" fillId="2" borderId="0" xfId="0" applyFill="1" applyAlignment="1">
      <alignment wrapText="1"/>
    </xf>
    <xf numFmtId="164" fontId="0" fillId="0" borderId="0" xfId="0" applyNumberFormat="1"/>
    <xf numFmtId="0" fontId="0" fillId="0" borderId="0" xfId="0" applyNumberFormat="1"/>
    <xf numFmtId="10" fontId="0" fillId="0" borderId="0" xfId="0" applyNumberFormat="1"/>
    <xf numFmtId="165" fontId="0" fillId="0" borderId="0" xfId="0" applyNumberFormat="1"/>
    <xf numFmtId="0" fontId="0" fillId="0" borderId="0" xfId="0" applyFill="1"/>
    <xf numFmtId="0" fontId="0" fillId="0" borderId="0" xfId="0" applyFill="1" applyAlignment="1">
      <alignment wrapText="1"/>
    </xf>
    <xf numFmtId="0" fontId="0" fillId="0" borderId="0" xfId="0" quotePrefix="1"/>
    <xf numFmtId="1" fontId="0" fillId="0" borderId="0" xfId="0" applyNumberFormat="1"/>
    <xf numFmtId="2" fontId="0" fillId="0" borderId="0" xfId="0" applyNumberFormat="1"/>
    <xf numFmtId="0" fontId="0" fillId="0" borderId="0" xfId="0" applyFont="1"/>
    <xf numFmtId="0" fontId="0" fillId="0" borderId="0" xfId="0" applyFont="1" applyFill="1" applyAlignment="1">
      <alignment wrapText="1"/>
    </xf>
    <xf numFmtId="0" fontId="0" fillId="0" borderId="0" xfId="0" applyFont="1" applyFill="1"/>
    <xf numFmtId="0" fontId="0" fillId="0" borderId="0" xfId="0" applyNumberFormat="1" applyFont="1" applyFill="1"/>
    <xf numFmtId="0" fontId="0" fillId="0" borderId="0" xfId="0" applyFont="1" applyAlignment="1"/>
    <xf numFmtId="0" fontId="0" fillId="0" borderId="0" xfId="0" applyFont="1" applyFill="1" applyAlignment="1"/>
    <xf numFmtId="0" fontId="1" fillId="0" borderId="0" xfId="0" applyFont="1" applyAlignment="1">
      <alignment wrapText="1"/>
    </xf>
    <xf numFmtId="11" fontId="0" fillId="0" borderId="0" xfId="0" applyNumberFormat="1"/>
    <xf numFmtId="0" fontId="3" fillId="0" borderId="0" xfId="0" applyFont="1" applyFill="1"/>
    <xf numFmtId="0" fontId="4" fillId="0" borderId="0" xfId="0" applyFont="1" applyFill="1"/>
    <xf numFmtId="0" fontId="5" fillId="0" borderId="0" xfId="0" applyFont="1" applyFill="1"/>
    <xf numFmtId="0" fontId="0" fillId="0" borderId="1" xfId="0" applyFill="1" applyBorder="1"/>
    <xf numFmtId="0" fontId="0" fillId="0" borderId="0" xfId="0" applyFill="1" applyBorder="1"/>
    <xf numFmtId="0" fontId="0" fillId="2" borderId="0" xfId="0" applyFill="1"/>
    <xf numFmtId="0" fontId="0" fillId="0" borderId="0" xfId="0"/>
    <xf numFmtId="0" fontId="0" fillId="0" borderId="0" xfId="0"/>
    <xf numFmtId="0" fontId="0" fillId="0" borderId="0" xfId="0" applyFill="1"/>
    <xf numFmtId="0" fontId="0" fillId="0" borderId="0" xfId="0" applyFill="1"/>
    <xf numFmtId="0" fontId="0" fillId="0" borderId="0" xfId="0" applyFill="1"/>
    <xf numFmtId="0" fontId="0" fillId="0" borderId="0" xfId="0"/>
    <xf numFmtId="0" fontId="0" fillId="0" borderId="0" xfId="0" applyFill="1"/>
    <xf numFmtId="0" fontId="0" fillId="0" borderId="0" xfId="0" applyFill="1"/>
    <xf numFmtId="0" fontId="0" fillId="0" borderId="0" xfId="0"/>
    <xf numFmtId="0" fontId="0" fillId="0" borderId="0" xfId="0" applyFill="1"/>
    <xf numFmtId="0" fontId="0" fillId="0" borderId="0" xfId="0" applyFill="1"/>
    <xf numFmtId="0" fontId="0" fillId="0" borderId="0" xfId="0" applyFill="1"/>
    <xf numFmtId="0" fontId="0" fillId="0" borderId="0" xfId="0"/>
    <xf numFmtId="0" fontId="0" fillId="0" borderId="0" xfId="0" applyFill="1"/>
    <xf numFmtId="0" fontId="0" fillId="0" borderId="0" xfId="0" applyFont="1" applyAlignment="1">
      <alignment wrapText="1"/>
    </xf>
    <xf numFmtId="0" fontId="0" fillId="3" borderId="0" xfId="0" applyFill="1"/>
    <xf numFmtId="11" fontId="0" fillId="2" borderId="0" xfId="0" applyNumberFormat="1" applyFill="1"/>
    <xf numFmtId="3" fontId="0" fillId="0" borderId="0" xfId="0" applyNumberFormat="1"/>
    <xf numFmtId="0" fontId="0" fillId="4" borderId="0" xfId="0" applyFill="1"/>
    <xf numFmtId="0" fontId="0" fillId="36" borderId="0" xfId="0" applyFill="1" applyAlignment="1">
      <alignment wrapText="1"/>
    </xf>
    <xf numFmtId="0" fontId="0" fillId="37" borderId="0" xfId="0" applyFill="1" applyAlignment="1">
      <alignment wrapText="1"/>
    </xf>
    <xf numFmtId="0" fontId="0" fillId="38" borderId="0" xfId="0" applyFill="1" applyAlignment="1">
      <alignment wrapText="1"/>
    </xf>
    <xf numFmtId="0" fontId="0" fillId="39" borderId="0" xfId="0" applyFill="1" applyAlignment="1">
      <alignment wrapText="1"/>
    </xf>
    <xf numFmtId="0" fontId="0" fillId="38" borderId="0" xfId="0" applyFill="1" applyAlignment="1">
      <alignment vertical="center" wrapText="1"/>
    </xf>
    <xf numFmtId="0" fontId="0" fillId="40" borderId="0" xfId="0" applyFill="1" applyAlignment="1">
      <alignment wrapText="1"/>
    </xf>
    <xf numFmtId="0" fontId="3" fillId="40" borderId="0" xfId="0" applyFont="1" applyFill="1" applyAlignment="1">
      <alignment wrapText="1"/>
    </xf>
    <xf numFmtId="0" fontId="24" fillId="40" borderId="0" xfId="0" applyFont="1" applyFill="1" applyAlignment="1">
      <alignment wrapText="1"/>
    </xf>
    <xf numFmtId="0" fontId="1" fillId="0" borderId="0" xfId="0" applyFont="1" applyAlignment="1">
      <alignment vertical="center"/>
    </xf>
    <xf numFmtId="0" fontId="1" fillId="0" borderId="0" xfId="0" applyFont="1"/>
    <xf numFmtId="0" fontId="25" fillId="0" borderId="0" xfId="0" applyFont="1"/>
    <xf numFmtId="0" fontId="0" fillId="0" borderId="0" xfId="0"/>
    <xf numFmtId="0" fontId="23" fillId="0" borderId="0" xfId="0" applyFont="1" applyBorder="1" applyAlignment="1">
      <alignment vertical="center"/>
    </xf>
    <xf numFmtId="0" fontId="26" fillId="0" borderId="0" xfId="42"/>
    <xf numFmtId="0" fontId="3" fillId="0" borderId="0" xfId="0" applyFont="1"/>
    <xf numFmtId="2" fontId="0" fillId="0" borderId="0" xfId="0" applyNumberFormat="1" applyFont="1"/>
    <xf numFmtId="2" fontId="0" fillId="0" borderId="0" xfId="0" applyNumberFormat="1" applyFont="1" applyAlignment="1"/>
    <xf numFmtId="2" fontId="0" fillId="0" borderId="0" xfId="0" applyNumberFormat="1" applyFill="1"/>
    <xf numFmtId="2" fontId="4" fillId="0" borderId="0" xfId="0" applyNumberFormat="1" applyFont="1" applyFill="1"/>
    <xf numFmtId="0" fontId="0" fillId="36" borderId="0" xfId="0" applyFill="1"/>
    <xf numFmtId="0" fontId="0" fillId="40" borderId="0" xfId="0" applyFill="1" applyAlignment="1"/>
    <xf numFmtId="11" fontId="0" fillId="0" borderId="0" xfId="0" applyNumberFormat="1" applyFill="1"/>
    <xf numFmtId="0" fontId="0" fillId="0" borderId="0" xfId="0" applyAlignment="1">
      <alignment horizontal="center" wrapText="1"/>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00"/>
      <color rgb="FF66CCFF"/>
      <color rgb="FFCCFF33"/>
      <color rgb="FF6666FF"/>
      <color rgb="FFFF7C80"/>
      <color rgb="FFFFCCFF"/>
      <color rgb="FFCC00CC"/>
      <color rgb="FF339966"/>
      <color rgb="FFCCCC00"/>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5"/>
  <sheetViews>
    <sheetView zoomScale="120" zoomScaleNormal="120" workbookViewId="0">
      <selection activeCell="C11" sqref="C11"/>
    </sheetView>
  </sheetViews>
  <sheetFormatPr defaultRowHeight="14.5" x14ac:dyDescent="0.35"/>
  <cols>
    <col min="1" max="1" width="27" style="1" customWidth="1"/>
    <col min="2" max="2" width="21.6328125" style="1" customWidth="1"/>
    <col min="3" max="3" width="21.6328125" style="60" customWidth="1"/>
    <col min="4" max="4" width="13.36328125" customWidth="1"/>
    <col min="5" max="5" width="17.90625" customWidth="1"/>
    <col min="7" max="7" width="10.6328125" customWidth="1"/>
  </cols>
  <sheetData>
    <row r="1" spans="1:5" x14ac:dyDescent="0.35">
      <c r="A1" s="1" t="s">
        <v>114</v>
      </c>
    </row>
    <row r="2" spans="1:5" x14ac:dyDescent="0.35">
      <c r="C2" s="60" t="s">
        <v>449</v>
      </c>
      <c r="D2" t="s">
        <v>451</v>
      </c>
      <c r="E2" t="s">
        <v>455</v>
      </c>
    </row>
    <row r="3" spans="1:5" x14ac:dyDescent="0.35">
      <c r="A3" s="54" t="s">
        <v>1</v>
      </c>
      <c r="B3" s="1" t="s">
        <v>2</v>
      </c>
      <c r="D3" t="s">
        <v>5</v>
      </c>
    </row>
    <row r="4" spans="1:5" x14ac:dyDescent="0.35">
      <c r="A4" s="54" t="s">
        <v>3</v>
      </c>
      <c r="B4" s="1" t="s">
        <v>4</v>
      </c>
      <c r="D4" t="s">
        <v>5</v>
      </c>
    </row>
    <row r="5" spans="1:5" x14ac:dyDescent="0.35">
      <c r="A5" s="54" t="s">
        <v>6</v>
      </c>
      <c r="B5" s="1" t="s">
        <v>7</v>
      </c>
      <c r="D5" t="s">
        <v>5</v>
      </c>
    </row>
    <row r="6" spans="1:5" x14ac:dyDescent="0.35">
      <c r="A6" s="54" t="s">
        <v>8</v>
      </c>
      <c r="B6" s="1" t="s">
        <v>9</v>
      </c>
      <c r="D6" t="s">
        <v>5</v>
      </c>
    </row>
    <row r="7" spans="1:5" ht="29" x14ac:dyDescent="0.35">
      <c r="A7" s="49" t="s">
        <v>67</v>
      </c>
      <c r="B7" s="1" t="s">
        <v>10</v>
      </c>
      <c r="C7" s="1"/>
      <c r="D7" t="s">
        <v>5</v>
      </c>
    </row>
    <row r="8" spans="1:5" x14ac:dyDescent="0.35">
      <c r="A8" s="54" t="s">
        <v>11</v>
      </c>
      <c r="B8" s="1" t="s">
        <v>12</v>
      </c>
      <c r="C8" s="1"/>
      <c r="D8" t="s">
        <v>5</v>
      </c>
    </row>
    <row r="9" spans="1:5" x14ac:dyDescent="0.35">
      <c r="A9" s="49" t="s">
        <v>13</v>
      </c>
      <c r="B9" s="1" t="s">
        <v>14</v>
      </c>
      <c r="D9" t="s">
        <v>5</v>
      </c>
    </row>
    <row r="10" spans="1:5" x14ac:dyDescent="0.35">
      <c r="A10" s="54" t="s">
        <v>15</v>
      </c>
      <c r="B10" s="1" t="s">
        <v>16</v>
      </c>
      <c r="D10" t="s">
        <v>5</v>
      </c>
    </row>
    <row r="11" spans="1:5" x14ac:dyDescent="0.35">
      <c r="A11" s="49" t="s">
        <v>17</v>
      </c>
      <c r="B11" s="1" t="s">
        <v>18</v>
      </c>
      <c r="D11" t="s">
        <v>5</v>
      </c>
    </row>
    <row r="12" spans="1:5" x14ac:dyDescent="0.35">
      <c r="A12" s="54" t="s">
        <v>115</v>
      </c>
      <c r="B12" s="1" t="s">
        <v>68</v>
      </c>
      <c r="D12" t="s">
        <v>5</v>
      </c>
    </row>
    <row r="13" spans="1:5" x14ac:dyDescent="0.35">
      <c r="A13" s="49" t="s">
        <v>21</v>
      </c>
      <c r="B13" s="1" t="s">
        <v>19</v>
      </c>
      <c r="D13" t="s">
        <v>5</v>
      </c>
    </row>
    <row r="14" spans="1:5" x14ac:dyDescent="0.35">
      <c r="A14" s="49" t="s">
        <v>22</v>
      </c>
      <c r="B14" s="1" t="s">
        <v>20</v>
      </c>
      <c r="D14" t="s">
        <v>5</v>
      </c>
    </row>
    <row r="15" spans="1:5" x14ac:dyDescent="0.35">
      <c r="A15" s="49" t="s">
        <v>23</v>
      </c>
      <c r="B15" s="1" t="s">
        <v>24</v>
      </c>
      <c r="D15" t="s">
        <v>5</v>
      </c>
    </row>
    <row r="16" spans="1:5" x14ac:dyDescent="0.35">
      <c r="A16" s="49" t="s">
        <v>25</v>
      </c>
      <c r="B16" s="1" t="s">
        <v>26</v>
      </c>
      <c r="D16" t="s">
        <v>5</v>
      </c>
    </row>
    <row r="17" spans="1:4" x14ac:dyDescent="0.35">
      <c r="A17" s="49" t="s">
        <v>27</v>
      </c>
      <c r="B17" s="1" t="s">
        <v>29</v>
      </c>
      <c r="D17" t="s">
        <v>5</v>
      </c>
    </row>
    <row r="18" spans="1:4" x14ac:dyDescent="0.35">
      <c r="A18" s="49" t="s">
        <v>28</v>
      </c>
      <c r="B18" s="1" t="s">
        <v>30</v>
      </c>
      <c r="D18" t="s">
        <v>5</v>
      </c>
    </row>
    <row r="19" spans="1:4" x14ac:dyDescent="0.35">
      <c r="A19" s="56" t="s">
        <v>31</v>
      </c>
      <c r="B19" s="1" t="s">
        <v>32</v>
      </c>
      <c r="D19" t="s">
        <v>5</v>
      </c>
    </row>
    <row r="20" spans="1:4" x14ac:dyDescent="0.35">
      <c r="A20" s="49" t="s">
        <v>33</v>
      </c>
      <c r="B20" s="1" t="s">
        <v>34</v>
      </c>
      <c r="D20" t="s">
        <v>5</v>
      </c>
    </row>
    <row r="21" spans="1:4" x14ac:dyDescent="0.35">
      <c r="A21" s="54" t="s">
        <v>35</v>
      </c>
      <c r="B21" s="1" t="s">
        <v>36</v>
      </c>
      <c r="C21" s="1"/>
      <c r="D21" t="s">
        <v>5</v>
      </c>
    </row>
    <row r="22" spans="1:4" x14ac:dyDescent="0.35">
      <c r="A22" s="54" t="s">
        <v>37</v>
      </c>
      <c r="B22" s="1" t="s">
        <v>38</v>
      </c>
      <c r="D22" t="s">
        <v>5</v>
      </c>
    </row>
    <row r="23" spans="1:4" x14ac:dyDescent="0.35">
      <c r="A23" s="49" t="s">
        <v>39</v>
      </c>
      <c r="B23" s="1" t="s">
        <v>40</v>
      </c>
      <c r="D23" t="s">
        <v>5</v>
      </c>
    </row>
    <row r="24" spans="1:4" x14ac:dyDescent="0.35">
      <c r="A24" s="49" t="s">
        <v>41</v>
      </c>
      <c r="B24" s="1" t="s">
        <v>42</v>
      </c>
      <c r="D24" t="s">
        <v>5</v>
      </c>
    </row>
    <row r="25" spans="1:4" x14ac:dyDescent="0.35">
      <c r="A25" s="54" t="s">
        <v>43</v>
      </c>
      <c r="B25" s="1" t="s">
        <v>44</v>
      </c>
      <c r="C25" s="1"/>
      <c r="D25" t="s">
        <v>5</v>
      </c>
    </row>
    <row r="26" spans="1:4" ht="28.25" customHeight="1" x14ac:dyDescent="0.35">
      <c r="A26" s="54" t="s">
        <v>46</v>
      </c>
      <c r="B26" s="1" t="s">
        <v>47</v>
      </c>
      <c r="C26" s="1"/>
      <c r="D26" t="s">
        <v>5</v>
      </c>
    </row>
    <row r="27" spans="1:4" x14ac:dyDescent="0.35">
      <c r="A27" s="54" t="s">
        <v>48</v>
      </c>
      <c r="B27" s="1" t="s">
        <v>49</v>
      </c>
      <c r="D27" t="s">
        <v>5</v>
      </c>
    </row>
    <row r="28" spans="1:4" x14ac:dyDescent="0.35">
      <c r="A28" s="54" t="s">
        <v>50</v>
      </c>
      <c r="B28" s="1" t="s">
        <v>51</v>
      </c>
      <c r="D28" t="s">
        <v>5</v>
      </c>
    </row>
    <row r="29" spans="1:4" x14ac:dyDescent="0.35">
      <c r="A29" s="49" t="s">
        <v>52</v>
      </c>
      <c r="B29" s="1" t="s">
        <v>53</v>
      </c>
      <c r="D29" t="s">
        <v>5</v>
      </c>
    </row>
    <row r="30" spans="1:4" ht="58" x14ac:dyDescent="0.35">
      <c r="A30" s="54" t="s">
        <v>164</v>
      </c>
      <c r="B30" s="1" t="s">
        <v>86</v>
      </c>
      <c r="C30" s="1"/>
      <c r="D30" t="s">
        <v>58</v>
      </c>
    </row>
    <row r="31" spans="1:4" ht="58" x14ac:dyDescent="0.35">
      <c r="A31" s="54" t="s">
        <v>165</v>
      </c>
      <c r="B31" s="1" t="s">
        <v>87</v>
      </c>
      <c r="C31" s="1"/>
      <c r="D31" t="s">
        <v>58</v>
      </c>
    </row>
    <row r="32" spans="1:4" ht="59.15" customHeight="1" x14ac:dyDescent="0.35">
      <c r="A32" s="54" t="s">
        <v>166</v>
      </c>
      <c r="B32" s="1" t="s">
        <v>88</v>
      </c>
      <c r="C32" s="1"/>
      <c r="D32" t="s">
        <v>58</v>
      </c>
    </row>
    <row r="33" spans="1:6" ht="59.15" customHeight="1" x14ac:dyDescent="0.35">
      <c r="A33" s="54" t="s">
        <v>454</v>
      </c>
      <c r="B33" s="1" t="s">
        <v>90</v>
      </c>
      <c r="C33" s="1"/>
      <c r="D33" t="s">
        <v>58</v>
      </c>
    </row>
    <row r="34" spans="1:6" ht="59.15" customHeight="1" x14ac:dyDescent="0.35">
      <c r="A34" s="54" t="s">
        <v>127</v>
      </c>
      <c r="B34" s="1" t="s">
        <v>89</v>
      </c>
      <c r="C34" s="1"/>
      <c r="D34" t="s">
        <v>58</v>
      </c>
    </row>
    <row r="35" spans="1:6" ht="59.15" customHeight="1" x14ac:dyDescent="0.35">
      <c r="A35" s="54" t="s">
        <v>128</v>
      </c>
      <c r="B35" s="1" t="s">
        <v>91</v>
      </c>
      <c r="C35" s="1"/>
      <c r="D35" t="s">
        <v>58</v>
      </c>
    </row>
    <row r="36" spans="1:6" ht="59.15" customHeight="1" x14ac:dyDescent="0.35">
      <c r="A36" s="54" t="s">
        <v>167</v>
      </c>
      <c r="B36" s="1" t="s">
        <v>92</v>
      </c>
      <c r="C36" s="1"/>
      <c r="D36" t="s">
        <v>58</v>
      </c>
    </row>
    <row r="37" spans="1:6" ht="58" x14ac:dyDescent="0.35">
      <c r="A37" s="54" t="s">
        <v>168</v>
      </c>
      <c r="B37" s="1" t="s">
        <v>93</v>
      </c>
      <c r="C37" s="1"/>
      <c r="D37" t="s">
        <v>58</v>
      </c>
    </row>
    <row r="38" spans="1:6" ht="58" x14ac:dyDescent="0.35">
      <c r="A38" s="54" t="s">
        <v>169</v>
      </c>
      <c r="B38" s="1" t="s">
        <v>94</v>
      </c>
      <c r="C38" s="1"/>
      <c r="D38" t="s">
        <v>58</v>
      </c>
    </row>
    <row r="39" spans="1:6" ht="58" x14ac:dyDescent="0.35">
      <c r="A39" s="54" t="s">
        <v>147</v>
      </c>
      <c r="B39" s="1" t="s">
        <v>95</v>
      </c>
      <c r="C39" s="1"/>
      <c r="D39" t="s">
        <v>58</v>
      </c>
    </row>
    <row r="40" spans="1:6" ht="58" x14ac:dyDescent="0.35">
      <c r="A40" s="54" t="s">
        <v>148</v>
      </c>
      <c r="B40" s="1" t="s">
        <v>476</v>
      </c>
      <c r="C40" s="1"/>
      <c r="D40" t="s">
        <v>58</v>
      </c>
    </row>
    <row r="41" spans="1:6" ht="58" x14ac:dyDescent="0.35">
      <c r="A41" s="54" t="s">
        <v>170</v>
      </c>
      <c r="B41" s="1" t="s">
        <v>477</v>
      </c>
      <c r="C41" s="1"/>
      <c r="D41" t="s">
        <v>58</v>
      </c>
    </row>
    <row r="42" spans="1:6" ht="58" x14ac:dyDescent="0.35">
      <c r="A42" s="54" t="s">
        <v>171</v>
      </c>
      <c r="B42" s="1" t="s">
        <v>96</v>
      </c>
      <c r="C42" s="1"/>
      <c r="D42" t="s">
        <v>58</v>
      </c>
    </row>
    <row r="43" spans="1:6" x14ac:dyDescent="0.35">
      <c r="A43" s="54" t="s">
        <v>59</v>
      </c>
      <c r="B43" s="1" t="s">
        <v>60</v>
      </c>
      <c r="C43" s="60" t="s">
        <v>450</v>
      </c>
      <c r="D43" t="s">
        <v>5</v>
      </c>
      <c r="E43" t="s">
        <v>456</v>
      </c>
      <c r="F43" s="62"/>
    </row>
    <row r="44" spans="1:6" x14ac:dyDescent="0.35">
      <c r="A44" s="54" t="s">
        <v>61</v>
      </c>
      <c r="B44" s="1" t="s">
        <v>62</v>
      </c>
      <c r="D44" t="s">
        <v>5</v>
      </c>
    </row>
    <row r="45" spans="1:6" x14ac:dyDescent="0.35">
      <c r="A45" s="54" t="s">
        <v>63</v>
      </c>
      <c r="B45" s="1" t="s">
        <v>64</v>
      </c>
      <c r="D45" t="s">
        <v>5</v>
      </c>
    </row>
    <row r="46" spans="1:6" x14ac:dyDescent="0.35">
      <c r="A46" s="54" t="s">
        <v>111</v>
      </c>
      <c r="B46" s="1" t="s">
        <v>112</v>
      </c>
      <c r="C46" s="1"/>
      <c r="D46" t="s">
        <v>113</v>
      </c>
    </row>
    <row r="47" spans="1:6" x14ac:dyDescent="0.35">
      <c r="A47" s="54" t="s">
        <v>210</v>
      </c>
      <c r="B47" s="1" t="s">
        <v>211</v>
      </c>
      <c r="C47" s="1" t="s">
        <v>452</v>
      </c>
      <c r="D47" t="s">
        <v>5</v>
      </c>
      <c r="E47" t="s">
        <v>457</v>
      </c>
    </row>
    <row r="48" spans="1:6" x14ac:dyDescent="0.35">
      <c r="A48" s="54" t="s">
        <v>116</v>
      </c>
      <c r="B48" s="1" t="s">
        <v>69</v>
      </c>
      <c r="C48" s="1"/>
      <c r="D48" t="s">
        <v>5</v>
      </c>
    </row>
    <row r="49" spans="1:5" x14ac:dyDescent="0.35">
      <c r="A49" s="54" t="s">
        <v>117</v>
      </c>
      <c r="B49" s="1" t="s">
        <v>70</v>
      </c>
      <c r="C49" s="1"/>
      <c r="D49" t="s">
        <v>5</v>
      </c>
    </row>
    <row r="50" spans="1:5" ht="43.5" x14ac:dyDescent="0.35">
      <c r="A50" s="54" t="s">
        <v>118</v>
      </c>
      <c r="B50" s="1" t="s">
        <v>119</v>
      </c>
      <c r="C50" s="1"/>
      <c r="D50" t="s">
        <v>120</v>
      </c>
    </row>
    <row r="51" spans="1:5" ht="43.5" x14ac:dyDescent="0.35">
      <c r="A51" s="54" t="s">
        <v>121</v>
      </c>
      <c r="B51" s="1" t="s">
        <v>122</v>
      </c>
      <c r="C51" s="1"/>
      <c r="D51" t="s">
        <v>5</v>
      </c>
      <c r="E51" t="s">
        <v>458</v>
      </c>
    </row>
    <row r="52" spans="1:5" ht="29" x14ac:dyDescent="0.35">
      <c r="A52" s="50" t="s">
        <v>126</v>
      </c>
      <c r="B52" s="1" t="s">
        <v>123</v>
      </c>
      <c r="C52" s="1"/>
      <c r="D52" t="s">
        <v>5</v>
      </c>
    </row>
    <row r="53" spans="1:5" ht="43.5" x14ac:dyDescent="0.35">
      <c r="A53" s="50" t="s">
        <v>124</v>
      </c>
      <c r="B53" s="1" t="s">
        <v>125</v>
      </c>
      <c r="C53" s="1"/>
      <c r="D53" t="s">
        <v>5</v>
      </c>
    </row>
    <row r="54" spans="1:5" ht="58" x14ac:dyDescent="0.35">
      <c r="A54" s="51" t="s">
        <v>283</v>
      </c>
      <c r="B54" s="1" t="s">
        <v>284</v>
      </c>
      <c r="C54" s="1"/>
      <c r="D54" t="s">
        <v>285</v>
      </c>
    </row>
    <row r="55" spans="1:5" ht="43.5" x14ac:dyDescent="0.35">
      <c r="A55" s="54" t="s">
        <v>129</v>
      </c>
      <c r="B55" s="1" t="s">
        <v>130</v>
      </c>
      <c r="C55" s="1"/>
      <c r="D55" t="s">
        <v>5</v>
      </c>
      <c r="E55" s="60" t="s">
        <v>458</v>
      </c>
    </row>
    <row r="56" spans="1:5" ht="43.5" x14ac:dyDescent="0.35">
      <c r="A56" s="54" t="s">
        <v>131</v>
      </c>
      <c r="B56" s="1" t="s">
        <v>132</v>
      </c>
      <c r="C56" s="1"/>
      <c r="D56" t="s">
        <v>5</v>
      </c>
      <c r="E56" s="60" t="s">
        <v>458</v>
      </c>
    </row>
    <row r="57" spans="1:5" ht="43.5" x14ac:dyDescent="0.35">
      <c r="A57" s="54" t="s">
        <v>133</v>
      </c>
      <c r="B57" s="1" t="s">
        <v>134</v>
      </c>
      <c r="C57" s="1"/>
      <c r="D57" t="s">
        <v>5</v>
      </c>
      <c r="E57" s="60" t="s">
        <v>458</v>
      </c>
    </row>
    <row r="58" spans="1:5" ht="43.5" x14ac:dyDescent="0.35">
      <c r="A58" s="54" t="s">
        <v>135</v>
      </c>
      <c r="B58" s="1" t="s">
        <v>136</v>
      </c>
      <c r="C58" s="1"/>
      <c r="D58" t="s">
        <v>5</v>
      </c>
      <c r="E58" s="60" t="s">
        <v>458</v>
      </c>
    </row>
    <row r="59" spans="1:5" ht="58" x14ac:dyDescent="0.35">
      <c r="A59" s="51" t="s">
        <v>286</v>
      </c>
      <c r="B59" s="1" t="s">
        <v>287</v>
      </c>
      <c r="C59" s="1"/>
      <c r="D59" t="s">
        <v>285</v>
      </c>
      <c r="E59" t="s">
        <v>137</v>
      </c>
    </row>
    <row r="60" spans="1:5" ht="58" x14ac:dyDescent="0.35">
      <c r="A60" s="51" t="s">
        <v>288</v>
      </c>
      <c r="B60" s="1" t="s">
        <v>287</v>
      </c>
      <c r="C60" s="1"/>
      <c r="D60" s="42" t="s">
        <v>285</v>
      </c>
      <c r="E60" t="s">
        <v>137</v>
      </c>
    </row>
    <row r="61" spans="1:5" ht="58" x14ac:dyDescent="0.35">
      <c r="A61" s="51" t="s">
        <v>289</v>
      </c>
      <c r="B61" s="1" t="s">
        <v>287</v>
      </c>
      <c r="C61" s="1"/>
      <c r="D61" s="42" t="s">
        <v>285</v>
      </c>
      <c r="E61" t="s">
        <v>137</v>
      </c>
    </row>
    <row r="62" spans="1:5" ht="58" x14ac:dyDescent="0.35">
      <c r="A62" s="51" t="s">
        <v>290</v>
      </c>
      <c r="B62" s="1" t="s">
        <v>287</v>
      </c>
      <c r="C62" s="1"/>
      <c r="D62" s="42" t="s">
        <v>285</v>
      </c>
      <c r="E62" t="s">
        <v>137</v>
      </c>
    </row>
    <row r="63" spans="1:5" ht="58" x14ac:dyDescent="0.35">
      <c r="A63" s="51" t="s">
        <v>291</v>
      </c>
      <c r="B63" s="1" t="s">
        <v>287</v>
      </c>
      <c r="C63" s="1"/>
      <c r="D63" s="42" t="s">
        <v>285</v>
      </c>
      <c r="E63" t="s">
        <v>137</v>
      </c>
    </row>
    <row r="64" spans="1:5" ht="58" x14ac:dyDescent="0.35">
      <c r="A64" s="51" t="s">
        <v>292</v>
      </c>
      <c r="B64" s="1" t="s">
        <v>287</v>
      </c>
      <c r="C64" s="1"/>
      <c r="D64" s="42" t="s">
        <v>285</v>
      </c>
      <c r="E64" t="s">
        <v>138</v>
      </c>
    </row>
    <row r="65" spans="1:5" ht="58" x14ac:dyDescent="0.35">
      <c r="A65" s="51" t="s">
        <v>293</v>
      </c>
      <c r="B65" s="1" t="s">
        <v>287</v>
      </c>
      <c r="C65" s="1"/>
      <c r="D65" s="42" t="s">
        <v>285</v>
      </c>
      <c r="E65" t="s">
        <v>138</v>
      </c>
    </row>
    <row r="66" spans="1:5" ht="58" x14ac:dyDescent="0.35">
      <c r="A66" s="50" t="s">
        <v>139</v>
      </c>
      <c r="B66" s="1" t="s">
        <v>143</v>
      </c>
      <c r="C66" s="1"/>
      <c r="D66" t="s">
        <v>5</v>
      </c>
      <c r="E66" t="s">
        <v>294</v>
      </c>
    </row>
    <row r="67" spans="1:5" ht="72.5" x14ac:dyDescent="0.35">
      <c r="A67" s="50" t="s">
        <v>140</v>
      </c>
      <c r="B67" s="1" t="s">
        <v>144</v>
      </c>
      <c r="C67" s="1"/>
      <c r="D67" t="s">
        <v>5</v>
      </c>
      <c r="E67" s="42" t="s">
        <v>294</v>
      </c>
    </row>
    <row r="68" spans="1:5" ht="58" x14ac:dyDescent="0.35">
      <c r="A68" s="50" t="s">
        <v>141</v>
      </c>
      <c r="B68" s="1" t="s">
        <v>145</v>
      </c>
      <c r="C68" s="1"/>
      <c r="D68" t="s">
        <v>5</v>
      </c>
      <c r="E68" s="42" t="s">
        <v>294</v>
      </c>
    </row>
    <row r="69" spans="1:5" ht="58" x14ac:dyDescent="0.35">
      <c r="A69" s="50" t="s">
        <v>142</v>
      </c>
      <c r="B69" s="1" t="s">
        <v>146</v>
      </c>
      <c r="C69" s="1"/>
      <c r="D69" t="s">
        <v>5</v>
      </c>
      <c r="E69" s="42" t="s">
        <v>294</v>
      </c>
    </row>
    <row r="70" spans="1:5" ht="58" x14ac:dyDescent="0.35">
      <c r="A70" s="51" t="s">
        <v>326</v>
      </c>
      <c r="B70" s="1" t="s">
        <v>287</v>
      </c>
      <c r="C70" s="1"/>
      <c r="D70" s="42" t="s">
        <v>285</v>
      </c>
      <c r="E70" t="s">
        <v>138</v>
      </c>
    </row>
    <row r="71" spans="1:5" ht="58" x14ac:dyDescent="0.35">
      <c r="A71" s="51" t="s">
        <v>295</v>
      </c>
      <c r="B71" s="1" t="s">
        <v>287</v>
      </c>
      <c r="C71" s="1"/>
      <c r="D71" t="s">
        <v>285</v>
      </c>
      <c r="E71" t="s">
        <v>138</v>
      </c>
    </row>
    <row r="72" spans="1:5" ht="58" x14ac:dyDescent="0.35">
      <c r="A72" s="51" t="s">
        <v>296</v>
      </c>
      <c r="B72" s="1" t="s">
        <v>287</v>
      </c>
      <c r="C72" s="1"/>
      <c r="D72" s="42" t="s">
        <v>285</v>
      </c>
      <c r="E72" t="s">
        <v>138</v>
      </c>
    </row>
    <row r="73" spans="1:5" ht="58" x14ac:dyDescent="0.35">
      <c r="A73" s="51" t="s">
        <v>297</v>
      </c>
      <c r="B73" s="1" t="s">
        <v>287</v>
      </c>
      <c r="C73" s="1"/>
      <c r="D73" s="42" t="s">
        <v>285</v>
      </c>
      <c r="E73" t="s">
        <v>138</v>
      </c>
    </row>
    <row r="74" spans="1:5" ht="58" x14ac:dyDescent="0.35">
      <c r="A74" s="51" t="s">
        <v>298</v>
      </c>
      <c r="B74" s="1" t="s">
        <v>287</v>
      </c>
      <c r="C74" s="1"/>
      <c r="D74" s="42" t="s">
        <v>285</v>
      </c>
      <c r="E74" t="s">
        <v>149</v>
      </c>
    </row>
    <row r="75" spans="1:5" ht="58" x14ac:dyDescent="0.35">
      <c r="A75" s="51" t="s">
        <v>299</v>
      </c>
      <c r="B75" s="1" t="s">
        <v>287</v>
      </c>
      <c r="C75" s="1"/>
      <c r="D75" s="42" t="s">
        <v>285</v>
      </c>
      <c r="E75" t="s">
        <v>149</v>
      </c>
    </row>
    <row r="76" spans="1:5" ht="58" x14ac:dyDescent="0.35">
      <c r="A76" s="51" t="s">
        <v>300</v>
      </c>
      <c r="B76" s="1" t="s">
        <v>287</v>
      </c>
      <c r="C76" s="1"/>
      <c r="D76" s="42" t="s">
        <v>285</v>
      </c>
      <c r="E76" t="s">
        <v>149</v>
      </c>
    </row>
    <row r="77" spans="1:5" ht="58" x14ac:dyDescent="0.35">
      <c r="A77" s="51" t="s">
        <v>301</v>
      </c>
      <c r="B77" s="1" t="s">
        <v>287</v>
      </c>
      <c r="C77" s="1"/>
      <c r="D77" s="42" t="s">
        <v>285</v>
      </c>
      <c r="E77" t="s">
        <v>149</v>
      </c>
    </row>
    <row r="78" spans="1:5" ht="58" x14ac:dyDescent="0.35">
      <c r="A78" s="54" t="s">
        <v>150</v>
      </c>
      <c r="B78" s="1" t="s">
        <v>153</v>
      </c>
      <c r="C78" s="1"/>
      <c r="D78" t="s">
        <v>5</v>
      </c>
      <c r="E78" s="60" t="s">
        <v>458</v>
      </c>
    </row>
    <row r="79" spans="1:5" x14ac:dyDescent="0.35">
      <c r="A79" s="54" t="s">
        <v>151</v>
      </c>
      <c r="B79" s="1" t="s">
        <v>154</v>
      </c>
      <c r="C79" s="1"/>
      <c r="D79" t="s">
        <v>5</v>
      </c>
      <c r="E79" s="60" t="s">
        <v>458</v>
      </c>
    </row>
    <row r="80" spans="1:5" x14ac:dyDescent="0.35">
      <c r="A80" s="54" t="s">
        <v>152</v>
      </c>
      <c r="B80" s="1" t="s">
        <v>154</v>
      </c>
      <c r="C80" s="1"/>
      <c r="D80" t="s">
        <v>5</v>
      </c>
      <c r="E80" s="60" t="s">
        <v>458</v>
      </c>
    </row>
    <row r="81" spans="1:5" ht="58" x14ac:dyDescent="0.35">
      <c r="A81" s="54" t="s">
        <v>121</v>
      </c>
      <c r="B81" s="1" t="s">
        <v>158</v>
      </c>
      <c r="C81" s="1"/>
      <c r="D81" t="s">
        <v>5</v>
      </c>
      <c r="E81" s="60" t="s">
        <v>458</v>
      </c>
    </row>
    <row r="82" spans="1:5" ht="58" x14ac:dyDescent="0.35">
      <c r="A82" s="54" t="s">
        <v>155</v>
      </c>
      <c r="B82" s="1" t="s">
        <v>159</v>
      </c>
      <c r="C82" s="1"/>
      <c r="D82" t="s">
        <v>5</v>
      </c>
      <c r="E82" s="60" t="s">
        <v>458</v>
      </c>
    </row>
    <row r="83" spans="1:5" ht="58" x14ac:dyDescent="0.35">
      <c r="A83" s="54" t="s">
        <v>156</v>
      </c>
      <c r="B83" s="1" t="s">
        <v>160</v>
      </c>
      <c r="C83" s="1"/>
      <c r="D83" t="s">
        <v>5</v>
      </c>
      <c r="E83" s="60" t="s">
        <v>458</v>
      </c>
    </row>
    <row r="84" spans="1:5" ht="58" x14ac:dyDescent="0.35">
      <c r="A84" s="54" t="s">
        <v>157</v>
      </c>
      <c r="B84" s="1" t="s">
        <v>161</v>
      </c>
      <c r="C84" s="1"/>
      <c r="D84" t="s">
        <v>5</v>
      </c>
      <c r="E84" s="60" t="s">
        <v>458</v>
      </c>
    </row>
    <row r="85" spans="1:5" ht="58" x14ac:dyDescent="0.35">
      <c r="A85" s="51" t="s">
        <v>302</v>
      </c>
      <c r="B85" s="1" t="s">
        <v>287</v>
      </c>
      <c r="C85" s="1"/>
      <c r="D85" s="42" t="s">
        <v>285</v>
      </c>
      <c r="E85" t="s">
        <v>162</v>
      </c>
    </row>
    <row r="86" spans="1:5" ht="58" x14ac:dyDescent="0.35">
      <c r="A86" s="51" t="s">
        <v>303</v>
      </c>
      <c r="B86" s="1" t="s">
        <v>287</v>
      </c>
      <c r="C86" s="1"/>
      <c r="D86" s="42" t="s">
        <v>285</v>
      </c>
      <c r="E86" t="s">
        <v>162</v>
      </c>
    </row>
    <row r="87" spans="1:5" ht="58" x14ac:dyDescent="0.35">
      <c r="A87" s="51" t="s">
        <v>304</v>
      </c>
      <c r="B87" s="1" t="s">
        <v>287</v>
      </c>
      <c r="C87" s="1"/>
      <c r="D87" s="42" t="s">
        <v>285</v>
      </c>
      <c r="E87" t="s">
        <v>162</v>
      </c>
    </row>
    <row r="88" spans="1:5" ht="72.5" x14ac:dyDescent="0.35">
      <c r="A88" s="54" t="s">
        <v>163</v>
      </c>
      <c r="B88" s="1" t="s">
        <v>219</v>
      </c>
      <c r="C88" s="1"/>
      <c r="D88" t="s">
        <v>120</v>
      </c>
    </row>
    <row r="89" spans="1:5" ht="58" x14ac:dyDescent="0.35">
      <c r="A89" s="54" t="s">
        <v>217</v>
      </c>
      <c r="B89" s="1" t="s">
        <v>216</v>
      </c>
      <c r="C89" s="1"/>
      <c r="D89" t="s">
        <v>120</v>
      </c>
      <c r="E89" t="s">
        <v>218</v>
      </c>
    </row>
    <row r="90" spans="1:5" x14ac:dyDescent="0.35">
      <c r="A90" s="54" t="s">
        <v>176</v>
      </c>
      <c r="B90" s="1" t="s">
        <v>177</v>
      </c>
      <c r="C90" s="1"/>
      <c r="D90" t="s">
        <v>5</v>
      </c>
    </row>
    <row r="91" spans="1:5" ht="72.5" x14ac:dyDescent="0.35">
      <c r="A91" s="54" t="s">
        <v>179</v>
      </c>
      <c r="B91" s="1" t="s">
        <v>180</v>
      </c>
      <c r="C91" s="1"/>
      <c r="D91" t="s">
        <v>120</v>
      </c>
    </row>
    <row r="92" spans="1:5" ht="72.5" x14ac:dyDescent="0.35">
      <c r="A92" s="54" t="s">
        <v>212</v>
      </c>
      <c r="B92" s="1" t="s">
        <v>220</v>
      </c>
      <c r="C92" s="1"/>
      <c r="D92" t="s">
        <v>120</v>
      </c>
    </row>
    <row r="93" spans="1:5" ht="87" x14ac:dyDescent="0.35">
      <c r="A93" s="54" t="s">
        <v>475</v>
      </c>
      <c r="B93" s="1" t="s">
        <v>213</v>
      </c>
      <c r="C93" s="1"/>
      <c r="D93" t="s">
        <v>120</v>
      </c>
    </row>
    <row r="94" spans="1:5" ht="87" x14ac:dyDescent="0.35">
      <c r="A94" s="54" t="s">
        <v>214</v>
      </c>
      <c r="B94" s="1" t="s">
        <v>215</v>
      </c>
      <c r="C94" s="1"/>
      <c r="D94" t="s">
        <v>58</v>
      </c>
    </row>
    <row r="95" spans="1:5" x14ac:dyDescent="0.35">
      <c r="A95" s="54" t="s">
        <v>222</v>
      </c>
      <c r="B95" s="1" t="s">
        <v>221</v>
      </c>
      <c r="C95" s="1"/>
      <c r="D95" t="s">
        <v>58</v>
      </c>
    </row>
    <row r="96" spans="1:5" ht="29" x14ac:dyDescent="0.35">
      <c r="A96" s="52" t="s">
        <v>282</v>
      </c>
      <c r="B96" s="1" t="s">
        <v>223</v>
      </c>
      <c r="C96" s="1"/>
      <c r="D96" t="s">
        <v>58</v>
      </c>
    </row>
    <row r="97" spans="1:4" ht="43.5" x14ac:dyDescent="0.35">
      <c r="A97" s="54" t="s">
        <v>224</v>
      </c>
      <c r="B97" s="22" t="s">
        <v>226</v>
      </c>
      <c r="C97" s="22"/>
      <c r="D97" t="s">
        <v>120</v>
      </c>
    </row>
    <row r="98" spans="1:4" ht="29" x14ac:dyDescent="0.35">
      <c r="A98" s="54" t="s">
        <v>227</v>
      </c>
      <c r="B98" s="22" t="s">
        <v>225</v>
      </c>
      <c r="C98" s="22"/>
      <c r="D98" t="s">
        <v>120</v>
      </c>
    </row>
    <row r="99" spans="1:4" ht="58" x14ac:dyDescent="0.35">
      <c r="A99" s="51" t="s">
        <v>305</v>
      </c>
      <c r="B99" s="1" t="s">
        <v>287</v>
      </c>
      <c r="C99" s="1"/>
      <c r="D99" s="42" t="s">
        <v>285</v>
      </c>
    </row>
    <row r="100" spans="1:4" ht="58" x14ac:dyDescent="0.35">
      <c r="A100" s="51" t="s">
        <v>306</v>
      </c>
      <c r="B100" s="1" t="s">
        <v>287</v>
      </c>
      <c r="C100" s="1"/>
      <c r="D100" s="42" t="s">
        <v>285</v>
      </c>
    </row>
    <row r="101" spans="1:4" ht="58" x14ac:dyDescent="0.35">
      <c r="A101" s="51" t="s">
        <v>307</v>
      </c>
      <c r="B101" s="1" t="s">
        <v>287</v>
      </c>
      <c r="C101" s="1"/>
      <c r="D101" s="42" t="s">
        <v>285</v>
      </c>
    </row>
    <row r="102" spans="1:4" ht="58" x14ac:dyDescent="0.35">
      <c r="A102" s="51" t="s">
        <v>308</v>
      </c>
      <c r="B102" s="1" t="s">
        <v>287</v>
      </c>
      <c r="C102" s="1"/>
      <c r="D102" s="42" t="s">
        <v>285</v>
      </c>
    </row>
    <row r="103" spans="1:4" ht="58" x14ac:dyDescent="0.35">
      <c r="A103" s="51" t="s">
        <v>309</v>
      </c>
      <c r="B103" s="1" t="s">
        <v>287</v>
      </c>
      <c r="C103" s="1"/>
      <c r="D103" s="42" t="s">
        <v>285</v>
      </c>
    </row>
    <row r="104" spans="1:4" ht="58" x14ac:dyDescent="0.35">
      <c r="A104" s="51" t="s">
        <v>310</v>
      </c>
      <c r="B104" s="1" t="s">
        <v>287</v>
      </c>
      <c r="C104" s="1"/>
      <c r="D104" s="42" t="s">
        <v>285</v>
      </c>
    </row>
    <row r="105" spans="1:4" ht="58" x14ac:dyDescent="0.35">
      <c r="A105" s="51" t="s">
        <v>311</v>
      </c>
      <c r="B105" s="1" t="s">
        <v>287</v>
      </c>
      <c r="C105" s="1"/>
      <c r="D105" s="42" t="s">
        <v>285</v>
      </c>
    </row>
    <row r="106" spans="1:4" ht="58" x14ac:dyDescent="0.35">
      <c r="A106" s="51" t="s">
        <v>312</v>
      </c>
      <c r="B106" s="1" t="s">
        <v>287</v>
      </c>
      <c r="C106" s="1"/>
      <c r="D106" s="42" t="s">
        <v>285</v>
      </c>
    </row>
    <row r="107" spans="1:4" ht="58" x14ac:dyDescent="0.35">
      <c r="A107" s="53" t="s">
        <v>313</v>
      </c>
      <c r="B107" s="1" t="s">
        <v>287</v>
      </c>
      <c r="C107" s="1"/>
      <c r="D107" s="42" t="s">
        <v>285</v>
      </c>
    </row>
    <row r="108" spans="1:4" ht="58" x14ac:dyDescent="0.35">
      <c r="A108" s="53" t="s">
        <v>314</v>
      </c>
      <c r="B108" s="1" t="s">
        <v>287</v>
      </c>
      <c r="C108" s="1"/>
      <c r="D108" s="42" t="s">
        <v>285</v>
      </c>
    </row>
    <row r="109" spans="1:4" ht="58" x14ac:dyDescent="0.35">
      <c r="A109" s="53" t="s">
        <v>315</v>
      </c>
      <c r="B109" s="1" t="s">
        <v>287</v>
      </c>
      <c r="C109" s="1"/>
      <c r="D109" s="42" t="s">
        <v>285</v>
      </c>
    </row>
    <row r="110" spans="1:4" ht="58" x14ac:dyDescent="0.35">
      <c r="A110" s="51" t="s">
        <v>316</v>
      </c>
      <c r="B110" s="1" t="s">
        <v>287</v>
      </c>
      <c r="C110" s="1"/>
      <c r="D110" s="42" t="s">
        <v>285</v>
      </c>
    </row>
    <row r="111" spans="1:4" ht="58" x14ac:dyDescent="0.35">
      <c r="A111" s="51" t="s">
        <v>317</v>
      </c>
      <c r="B111" s="1" t="s">
        <v>287</v>
      </c>
      <c r="C111" s="1"/>
      <c r="D111" s="42" t="s">
        <v>285</v>
      </c>
    </row>
    <row r="112" spans="1:4" ht="58" x14ac:dyDescent="0.35">
      <c r="A112" s="51" t="s">
        <v>318</v>
      </c>
      <c r="B112" s="1" t="s">
        <v>287</v>
      </c>
      <c r="C112" s="1"/>
      <c r="D112" s="42" t="s">
        <v>285</v>
      </c>
    </row>
    <row r="113" spans="1:5" ht="43.5" x14ac:dyDescent="0.35">
      <c r="A113" s="54" t="s">
        <v>230</v>
      </c>
      <c r="B113" s="1" t="s">
        <v>231</v>
      </c>
      <c r="C113" s="1"/>
      <c r="D113" t="s">
        <v>120</v>
      </c>
    </row>
    <row r="114" spans="1:5" ht="43.5" x14ac:dyDescent="0.35">
      <c r="A114" s="54" t="s">
        <v>232</v>
      </c>
      <c r="B114" s="1" t="s">
        <v>280</v>
      </c>
      <c r="C114" s="1"/>
      <c r="D114" t="s">
        <v>58</v>
      </c>
    </row>
    <row r="115" spans="1:5" x14ac:dyDescent="0.35">
      <c r="A115" s="54" t="s">
        <v>233</v>
      </c>
      <c r="B115" s="1" t="s">
        <v>234</v>
      </c>
      <c r="D115" t="s">
        <v>120</v>
      </c>
    </row>
    <row r="116" spans="1:5" x14ac:dyDescent="0.35">
      <c r="A116" s="54" t="s">
        <v>235</v>
      </c>
      <c r="B116" s="1" t="s">
        <v>236</v>
      </c>
      <c r="D116" t="s">
        <v>237</v>
      </c>
    </row>
    <row r="117" spans="1:5" x14ac:dyDescent="0.35">
      <c r="A117" s="54" t="s">
        <v>238</v>
      </c>
      <c r="B117" s="1" t="s">
        <v>430</v>
      </c>
      <c r="D117" t="s">
        <v>239</v>
      </c>
    </row>
    <row r="118" spans="1:5" ht="58" x14ac:dyDescent="0.35">
      <c r="A118" s="51" t="s">
        <v>327</v>
      </c>
      <c r="B118" s="1" t="s">
        <v>287</v>
      </c>
      <c r="C118" s="1"/>
      <c r="D118" s="42" t="s">
        <v>285</v>
      </c>
    </row>
    <row r="119" spans="1:5" ht="29" x14ac:dyDescent="0.35">
      <c r="A119" s="50" t="s">
        <v>240</v>
      </c>
      <c r="B119" s="1" t="s">
        <v>241</v>
      </c>
      <c r="D119" t="s">
        <v>5</v>
      </c>
      <c r="E119" s="42" t="s">
        <v>319</v>
      </c>
    </row>
    <row r="120" spans="1:5" ht="29" x14ac:dyDescent="0.35">
      <c r="A120" s="50" t="s">
        <v>243</v>
      </c>
      <c r="B120" s="44" t="s">
        <v>242</v>
      </c>
      <c r="C120" s="16"/>
      <c r="D120" t="s">
        <v>5</v>
      </c>
      <c r="E120" s="42" t="s">
        <v>319</v>
      </c>
    </row>
    <row r="121" spans="1:5" ht="58" x14ac:dyDescent="0.35">
      <c r="A121" s="51" t="s">
        <v>320</v>
      </c>
      <c r="B121" s="1" t="s">
        <v>287</v>
      </c>
      <c r="C121" s="1"/>
      <c r="D121" s="42" t="s">
        <v>285</v>
      </c>
      <c r="E121" s="42"/>
    </row>
    <row r="122" spans="1:5" ht="58" x14ac:dyDescent="0.35">
      <c r="A122" s="51" t="s">
        <v>321</v>
      </c>
      <c r="B122" s="1" t="s">
        <v>287</v>
      </c>
      <c r="C122" s="1"/>
      <c r="D122" s="42" t="s">
        <v>285</v>
      </c>
    </row>
    <row r="123" spans="1:5" ht="58" x14ac:dyDescent="0.35">
      <c r="A123" s="51" t="s">
        <v>322</v>
      </c>
      <c r="B123" s="1" t="s">
        <v>287</v>
      </c>
      <c r="C123" s="1"/>
      <c r="D123" s="42" t="s">
        <v>285</v>
      </c>
    </row>
    <row r="124" spans="1:5" ht="29" x14ac:dyDescent="0.35">
      <c r="A124" s="55" t="s">
        <v>245</v>
      </c>
      <c r="B124" s="1" t="s">
        <v>247</v>
      </c>
      <c r="D124" t="s">
        <v>58</v>
      </c>
    </row>
    <row r="125" spans="1:5" ht="43.5" x14ac:dyDescent="0.35">
      <c r="A125" s="55" t="s">
        <v>246</v>
      </c>
      <c r="B125" s="1" t="s">
        <v>248</v>
      </c>
      <c r="D125" s="60" t="s">
        <v>58</v>
      </c>
    </row>
    <row r="126" spans="1:5" ht="43.5" x14ac:dyDescent="0.35">
      <c r="A126" s="55" t="s">
        <v>249</v>
      </c>
      <c r="B126" s="1" t="s">
        <v>251</v>
      </c>
      <c r="D126" s="60" t="s">
        <v>58</v>
      </c>
    </row>
    <row r="127" spans="1:5" ht="43.5" x14ac:dyDescent="0.35">
      <c r="A127" s="55" t="s">
        <v>250</v>
      </c>
      <c r="B127" s="1" t="s">
        <v>252</v>
      </c>
      <c r="D127" s="60" t="s">
        <v>58</v>
      </c>
    </row>
    <row r="128" spans="1:5" ht="43.5" x14ac:dyDescent="0.35">
      <c r="A128" s="55" t="s">
        <v>376</v>
      </c>
      <c r="B128" s="1" t="s">
        <v>253</v>
      </c>
      <c r="D128" s="60" t="s">
        <v>58</v>
      </c>
    </row>
    <row r="129" spans="1:4" ht="29" x14ac:dyDescent="0.35">
      <c r="A129" s="55" t="s">
        <v>254</v>
      </c>
      <c r="B129" s="1" t="s">
        <v>255</v>
      </c>
      <c r="D129" t="s">
        <v>120</v>
      </c>
    </row>
    <row r="130" spans="1:4" x14ac:dyDescent="0.35">
      <c r="A130" s="55" t="s">
        <v>256</v>
      </c>
      <c r="D130" s="60" t="s">
        <v>120</v>
      </c>
    </row>
    <row r="131" spans="1:4" x14ac:dyDescent="0.35">
      <c r="A131" s="55" t="s">
        <v>257</v>
      </c>
      <c r="D131" s="60" t="s">
        <v>120</v>
      </c>
    </row>
    <row r="132" spans="1:4" ht="58" x14ac:dyDescent="0.35">
      <c r="A132" s="51" t="s">
        <v>323</v>
      </c>
      <c r="B132" s="1" t="s">
        <v>287</v>
      </c>
      <c r="C132" s="1"/>
      <c r="D132" s="42" t="s">
        <v>285</v>
      </c>
    </row>
    <row r="133" spans="1:4" ht="58" x14ac:dyDescent="0.35">
      <c r="A133" s="51" t="s">
        <v>324</v>
      </c>
      <c r="B133" s="1" t="s">
        <v>287</v>
      </c>
      <c r="C133" s="1"/>
      <c r="D133" s="42" t="s">
        <v>285</v>
      </c>
    </row>
    <row r="134" spans="1:4" ht="58" x14ac:dyDescent="0.35">
      <c r="A134" s="51" t="s">
        <v>325</v>
      </c>
      <c r="B134" s="1" t="s">
        <v>287</v>
      </c>
      <c r="C134" s="1"/>
      <c r="D134" s="42" t="s">
        <v>285</v>
      </c>
    </row>
    <row r="135" spans="1:4" ht="43.5" x14ac:dyDescent="0.35">
      <c r="A135" s="54" t="s">
        <v>281</v>
      </c>
      <c r="B135" s="1" t="s">
        <v>459</v>
      </c>
      <c r="D135" t="s">
        <v>58</v>
      </c>
    </row>
  </sheetData>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E7993-79AA-468D-8A0E-960BA76A07A5}">
  <dimension ref="A1:G134"/>
  <sheetViews>
    <sheetView tabSelected="1" zoomScale="120" zoomScaleNormal="120" workbookViewId="0">
      <selection activeCell="F130" sqref="F130"/>
    </sheetView>
  </sheetViews>
  <sheetFormatPr defaultColWidth="8.90625" defaultRowHeight="14.5" x14ac:dyDescent="0.35"/>
  <cols>
    <col min="1" max="1" width="25.1796875" style="60" customWidth="1"/>
    <col min="2" max="2" width="38.54296875" style="60" customWidth="1"/>
    <col min="3" max="3" width="18.1796875" style="60" customWidth="1"/>
    <col min="4" max="4" width="22.54296875" style="60" customWidth="1"/>
    <col min="5" max="6" width="8.90625" style="60"/>
    <col min="7" max="7" width="35.6328125" style="60" customWidth="1"/>
    <col min="8" max="16384" width="8.90625" style="60"/>
  </cols>
  <sheetData>
    <row r="1" spans="1:7" x14ac:dyDescent="0.35">
      <c r="A1" s="1" t="s">
        <v>114</v>
      </c>
      <c r="G1" s="60" t="s">
        <v>527</v>
      </c>
    </row>
    <row r="2" spans="1:7" x14ac:dyDescent="0.35">
      <c r="A2" s="1" t="s">
        <v>509</v>
      </c>
      <c r="B2" s="1" t="s">
        <v>508</v>
      </c>
      <c r="C2" s="60" t="s">
        <v>451</v>
      </c>
      <c r="D2" s="60" t="s">
        <v>455</v>
      </c>
      <c r="G2" s="69" t="s">
        <v>525</v>
      </c>
    </row>
    <row r="3" spans="1:7" x14ac:dyDescent="0.35">
      <c r="A3" s="54" t="s">
        <v>1</v>
      </c>
      <c r="B3" s="1" t="s">
        <v>2</v>
      </c>
      <c r="C3" s="60" t="s">
        <v>5</v>
      </c>
      <c r="D3" s="60" t="s">
        <v>474</v>
      </c>
      <c r="G3" s="68" t="s">
        <v>526</v>
      </c>
    </row>
    <row r="4" spans="1:7" ht="29" x14ac:dyDescent="0.35">
      <c r="A4" s="54" t="s">
        <v>3</v>
      </c>
      <c r="B4" s="1" t="s">
        <v>4</v>
      </c>
      <c r="C4" s="60" t="s">
        <v>5</v>
      </c>
      <c r="D4" s="60" t="s">
        <v>474</v>
      </c>
      <c r="G4" s="50" t="s">
        <v>528</v>
      </c>
    </row>
    <row r="5" spans="1:7" ht="29" x14ac:dyDescent="0.35">
      <c r="A5" s="54" t="s">
        <v>6</v>
      </c>
      <c r="B5" s="1" t="s">
        <v>7</v>
      </c>
      <c r="C5" s="60" t="s">
        <v>5</v>
      </c>
      <c r="D5" s="60" t="s">
        <v>474</v>
      </c>
      <c r="G5" s="51" t="s">
        <v>529</v>
      </c>
    </row>
    <row r="6" spans="1:7" x14ac:dyDescent="0.35">
      <c r="A6" s="54" t="s">
        <v>8</v>
      </c>
      <c r="B6" s="1" t="s">
        <v>9</v>
      </c>
      <c r="C6" s="60" t="s">
        <v>5</v>
      </c>
      <c r="D6" s="60" t="s">
        <v>474</v>
      </c>
    </row>
    <row r="7" spans="1:7" x14ac:dyDescent="0.35">
      <c r="A7" s="54" t="s">
        <v>11</v>
      </c>
      <c r="B7" s="1" t="s">
        <v>12</v>
      </c>
      <c r="C7" s="60" t="s">
        <v>5</v>
      </c>
      <c r="D7" s="60" t="s">
        <v>474</v>
      </c>
    </row>
    <row r="8" spans="1:7" x14ac:dyDescent="0.35">
      <c r="A8" s="54" t="s">
        <v>15</v>
      </c>
      <c r="B8" s="1" t="s">
        <v>16</v>
      </c>
      <c r="C8" s="60" t="s">
        <v>5</v>
      </c>
    </row>
    <row r="9" spans="1:7" x14ac:dyDescent="0.35">
      <c r="A9" s="54" t="s">
        <v>115</v>
      </c>
      <c r="B9" s="1" t="s">
        <v>68</v>
      </c>
      <c r="C9" s="60" t="s">
        <v>5</v>
      </c>
    </row>
    <row r="10" spans="1:7" x14ac:dyDescent="0.35">
      <c r="A10" s="55" t="s">
        <v>31</v>
      </c>
      <c r="B10" s="1" t="s">
        <v>32</v>
      </c>
      <c r="C10" s="60" t="s">
        <v>5</v>
      </c>
      <c r="D10" s="60" t="s">
        <v>471</v>
      </c>
    </row>
    <row r="11" spans="1:7" x14ac:dyDescent="0.35">
      <c r="A11" s="54" t="s">
        <v>35</v>
      </c>
      <c r="B11" s="1" t="s">
        <v>507</v>
      </c>
      <c r="C11" s="60" t="s">
        <v>5</v>
      </c>
      <c r="D11" s="60" t="s">
        <v>474</v>
      </c>
    </row>
    <row r="12" spans="1:7" x14ac:dyDescent="0.35">
      <c r="A12" s="54" t="s">
        <v>37</v>
      </c>
      <c r="B12" s="1" t="s">
        <v>38</v>
      </c>
      <c r="C12" s="60" t="s">
        <v>5</v>
      </c>
      <c r="D12" s="60" t="s">
        <v>474</v>
      </c>
    </row>
    <row r="13" spans="1:7" x14ac:dyDescent="0.35">
      <c r="A13" s="54" t="s">
        <v>43</v>
      </c>
      <c r="B13" s="1" t="s">
        <v>44</v>
      </c>
      <c r="C13" s="60" t="s">
        <v>5</v>
      </c>
    </row>
    <row r="14" spans="1:7" ht="14.4" customHeight="1" x14ac:dyDescent="0.35">
      <c r="A14" s="54" t="s">
        <v>46</v>
      </c>
      <c r="B14" s="1" t="s">
        <v>506</v>
      </c>
      <c r="C14" s="60" t="s">
        <v>5</v>
      </c>
      <c r="D14" s="60" t="s">
        <v>505</v>
      </c>
    </row>
    <row r="15" spans="1:7" x14ac:dyDescent="0.35">
      <c r="A15" s="54" t="s">
        <v>48</v>
      </c>
      <c r="B15" s="1" t="s">
        <v>49</v>
      </c>
      <c r="C15" s="60" t="s">
        <v>5</v>
      </c>
    </row>
    <row r="16" spans="1:7" x14ac:dyDescent="0.35">
      <c r="A16" s="54" t="s">
        <v>50</v>
      </c>
      <c r="B16" s="1" t="s">
        <v>51</v>
      </c>
      <c r="C16" s="60" t="s">
        <v>5</v>
      </c>
    </row>
    <row r="17" spans="1:5" ht="28.75" customHeight="1" x14ac:dyDescent="0.35">
      <c r="A17" s="54" t="s">
        <v>164</v>
      </c>
      <c r="B17" s="1" t="s">
        <v>554</v>
      </c>
      <c r="C17" s="60" t="s">
        <v>58</v>
      </c>
    </row>
    <row r="18" spans="1:5" ht="31.25" customHeight="1" x14ac:dyDescent="0.35">
      <c r="A18" s="54" t="s">
        <v>165</v>
      </c>
      <c r="B18" s="1" t="s">
        <v>555</v>
      </c>
      <c r="C18" s="60" t="s">
        <v>58</v>
      </c>
    </row>
    <row r="19" spans="1:5" ht="30" customHeight="1" x14ac:dyDescent="0.35">
      <c r="A19" s="54" t="s">
        <v>166</v>
      </c>
      <c r="B19" s="1" t="s">
        <v>556</v>
      </c>
      <c r="C19" s="60" t="s">
        <v>58</v>
      </c>
    </row>
    <row r="20" spans="1:5" ht="32.4" customHeight="1" x14ac:dyDescent="0.35">
      <c r="A20" s="54" t="s">
        <v>454</v>
      </c>
      <c r="B20" s="1" t="s">
        <v>549</v>
      </c>
      <c r="C20" s="60" t="s">
        <v>58</v>
      </c>
    </row>
    <row r="21" spans="1:5" ht="30.65" customHeight="1" x14ac:dyDescent="0.35">
      <c r="A21" s="54" t="s">
        <v>127</v>
      </c>
      <c r="B21" s="1" t="s">
        <v>550</v>
      </c>
      <c r="C21" s="60" t="s">
        <v>58</v>
      </c>
    </row>
    <row r="22" spans="1:5" ht="28.75" customHeight="1" x14ac:dyDescent="0.35">
      <c r="A22" s="54" t="s">
        <v>128</v>
      </c>
      <c r="B22" s="1" t="s">
        <v>551</v>
      </c>
      <c r="C22" s="60" t="s">
        <v>58</v>
      </c>
    </row>
    <row r="23" spans="1:5" ht="33" customHeight="1" x14ac:dyDescent="0.35">
      <c r="A23" s="54" t="s">
        <v>167</v>
      </c>
      <c r="B23" s="1" t="s">
        <v>552</v>
      </c>
      <c r="C23" s="60" t="s">
        <v>58</v>
      </c>
    </row>
    <row r="24" spans="1:5" ht="31.75" customHeight="1" x14ac:dyDescent="0.35">
      <c r="A24" s="54" t="s">
        <v>168</v>
      </c>
      <c r="B24" s="1" t="s">
        <v>557</v>
      </c>
      <c r="C24" s="60" t="s">
        <v>58</v>
      </c>
    </row>
    <row r="25" spans="1:5" ht="31.25" customHeight="1" x14ac:dyDescent="0.35">
      <c r="A25" s="54" t="s">
        <v>169</v>
      </c>
      <c r="B25" s="1" t="s">
        <v>558</v>
      </c>
      <c r="C25" s="60" t="s">
        <v>58</v>
      </c>
    </row>
    <row r="26" spans="1:5" ht="31.25" customHeight="1" x14ac:dyDescent="0.35">
      <c r="A26" s="54" t="s">
        <v>147</v>
      </c>
      <c r="B26" s="1" t="s">
        <v>559</v>
      </c>
      <c r="C26" s="60" t="s">
        <v>58</v>
      </c>
    </row>
    <row r="27" spans="1:5" ht="28.75" customHeight="1" x14ac:dyDescent="0.35">
      <c r="A27" s="54" t="s">
        <v>148</v>
      </c>
      <c r="B27" s="1" t="s">
        <v>553</v>
      </c>
      <c r="C27" s="60" t="s">
        <v>58</v>
      </c>
    </row>
    <row r="28" spans="1:5" ht="29.4" customHeight="1" x14ac:dyDescent="0.35">
      <c r="A28" s="54" t="s">
        <v>170</v>
      </c>
      <c r="B28" s="1" t="s">
        <v>560</v>
      </c>
      <c r="C28" s="60" t="s">
        <v>58</v>
      </c>
    </row>
    <row r="29" spans="1:5" ht="33.65" customHeight="1" x14ac:dyDescent="0.35">
      <c r="A29" s="54" t="s">
        <v>171</v>
      </c>
      <c r="B29" s="1" t="s">
        <v>561</v>
      </c>
      <c r="C29" s="60" t="s">
        <v>58</v>
      </c>
    </row>
    <row r="30" spans="1:5" x14ac:dyDescent="0.35">
      <c r="A30" s="54" t="s">
        <v>59</v>
      </c>
      <c r="B30" s="1" t="s">
        <v>60</v>
      </c>
      <c r="C30" s="60" t="s">
        <v>5</v>
      </c>
      <c r="D30" s="60" t="s">
        <v>456</v>
      </c>
      <c r="E30" s="62"/>
    </row>
    <row r="31" spans="1:5" x14ac:dyDescent="0.35">
      <c r="A31" s="54" t="s">
        <v>61</v>
      </c>
      <c r="B31" s="1" t="s">
        <v>62</v>
      </c>
      <c r="C31" s="60" t="s">
        <v>5</v>
      </c>
      <c r="D31" s="60" t="s">
        <v>504</v>
      </c>
    </row>
    <row r="32" spans="1:5" x14ac:dyDescent="0.35">
      <c r="A32" s="54" t="s">
        <v>63</v>
      </c>
      <c r="B32" s="1" t="s">
        <v>64</v>
      </c>
      <c r="C32" s="60" t="s">
        <v>5</v>
      </c>
      <c r="D32" s="60" t="s">
        <v>504</v>
      </c>
    </row>
    <row r="33" spans="1:4" x14ac:dyDescent="0.35">
      <c r="A33" s="54" t="s">
        <v>111</v>
      </c>
      <c r="B33" s="1" t="s">
        <v>112</v>
      </c>
      <c r="C33" s="60" t="s">
        <v>113</v>
      </c>
      <c r="D33" s="60" t="s">
        <v>504</v>
      </c>
    </row>
    <row r="34" spans="1:4" x14ac:dyDescent="0.35">
      <c r="A34" s="54" t="s">
        <v>210</v>
      </c>
      <c r="B34" s="1" t="s">
        <v>211</v>
      </c>
      <c r="C34" s="60" t="s">
        <v>5</v>
      </c>
      <c r="D34" s="60" t="s">
        <v>457</v>
      </c>
    </row>
    <row r="35" spans="1:4" x14ac:dyDescent="0.35">
      <c r="A35" s="54" t="s">
        <v>116</v>
      </c>
      <c r="B35" s="1" t="s">
        <v>69</v>
      </c>
      <c r="C35" s="60" t="s">
        <v>5</v>
      </c>
      <c r="D35" s="60" t="s">
        <v>474</v>
      </c>
    </row>
    <row r="36" spans="1:4" x14ac:dyDescent="0.35">
      <c r="A36" s="54" t="s">
        <v>117</v>
      </c>
      <c r="B36" s="1" t="s">
        <v>70</v>
      </c>
      <c r="C36" s="60" t="s">
        <v>5</v>
      </c>
      <c r="D36" s="60" t="s">
        <v>474</v>
      </c>
    </row>
    <row r="37" spans="1:4" ht="29.4" customHeight="1" x14ac:dyDescent="0.35">
      <c r="A37" s="54" t="s">
        <v>118</v>
      </c>
      <c r="B37" s="1" t="s">
        <v>503</v>
      </c>
      <c r="C37" s="60" t="s">
        <v>120</v>
      </c>
    </row>
    <row r="38" spans="1:4" ht="31.25" customHeight="1" x14ac:dyDescent="0.35">
      <c r="A38" s="54" t="s">
        <v>129</v>
      </c>
      <c r="B38" s="1" t="s">
        <v>502</v>
      </c>
      <c r="C38" s="60" t="s">
        <v>5</v>
      </c>
      <c r="D38" s="60" t="s">
        <v>458</v>
      </c>
    </row>
    <row r="39" spans="1:4" ht="28.25" customHeight="1" x14ac:dyDescent="0.35">
      <c r="A39" s="54" t="s">
        <v>131</v>
      </c>
      <c r="B39" s="1" t="s">
        <v>501</v>
      </c>
      <c r="C39" s="60" t="s">
        <v>5</v>
      </c>
      <c r="D39" s="60" t="s">
        <v>458</v>
      </c>
    </row>
    <row r="40" spans="1:4" ht="33" customHeight="1" x14ac:dyDescent="0.35">
      <c r="A40" s="54" t="s">
        <v>133</v>
      </c>
      <c r="B40" s="1" t="s">
        <v>500</v>
      </c>
      <c r="C40" s="60" t="s">
        <v>5</v>
      </c>
      <c r="D40" s="60" t="s">
        <v>458</v>
      </c>
    </row>
    <row r="41" spans="1:4" ht="29.4" customHeight="1" x14ac:dyDescent="0.35">
      <c r="A41" s="54" t="s">
        <v>135</v>
      </c>
      <c r="B41" s="1" t="s">
        <v>499</v>
      </c>
      <c r="C41" s="60" t="s">
        <v>5</v>
      </c>
      <c r="D41" s="60" t="s">
        <v>458</v>
      </c>
    </row>
    <row r="42" spans="1:4" ht="33" customHeight="1" x14ac:dyDescent="0.35">
      <c r="A42" s="54" t="s">
        <v>150</v>
      </c>
      <c r="B42" s="1" t="s">
        <v>498</v>
      </c>
      <c r="C42" s="60" t="s">
        <v>5</v>
      </c>
      <c r="D42" s="60" t="s">
        <v>458</v>
      </c>
    </row>
    <row r="43" spans="1:4" ht="19.75" customHeight="1" x14ac:dyDescent="0.35">
      <c r="A43" s="54" t="s">
        <v>151</v>
      </c>
      <c r="B43" s="1" t="s">
        <v>497</v>
      </c>
      <c r="C43" s="60" t="s">
        <v>5</v>
      </c>
      <c r="D43" s="60" t="s">
        <v>458</v>
      </c>
    </row>
    <row r="44" spans="1:4" ht="15.65" customHeight="1" x14ac:dyDescent="0.35">
      <c r="A44" s="54" t="s">
        <v>152</v>
      </c>
      <c r="B44" s="1" t="s">
        <v>497</v>
      </c>
      <c r="C44" s="60" t="s">
        <v>5</v>
      </c>
      <c r="D44" s="60" t="s">
        <v>458</v>
      </c>
    </row>
    <row r="45" spans="1:4" ht="30" customHeight="1" x14ac:dyDescent="0.35">
      <c r="A45" s="54" t="s">
        <v>121</v>
      </c>
      <c r="B45" s="1" t="s">
        <v>544</v>
      </c>
      <c r="C45" s="60" t="s">
        <v>5</v>
      </c>
      <c r="D45" s="60" t="s">
        <v>458</v>
      </c>
    </row>
    <row r="46" spans="1:4" ht="30.65" customHeight="1" x14ac:dyDescent="0.35">
      <c r="A46" s="54" t="s">
        <v>155</v>
      </c>
      <c r="B46" s="1" t="s">
        <v>496</v>
      </c>
      <c r="C46" s="60" t="s">
        <v>5</v>
      </c>
      <c r="D46" s="60" t="s">
        <v>458</v>
      </c>
    </row>
    <row r="47" spans="1:4" ht="29.4" customHeight="1" x14ac:dyDescent="0.35">
      <c r="A47" s="54" t="s">
        <v>156</v>
      </c>
      <c r="B47" s="1" t="s">
        <v>495</v>
      </c>
      <c r="C47" s="60" t="s">
        <v>5</v>
      </c>
      <c r="D47" s="60" t="s">
        <v>458</v>
      </c>
    </row>
    <row r="48" spans="1:4" ht="28.25" customHeight="1" x14ac:dyDescent="0.35">
      <c r="A48" s="54" t="s">
        <v>157</v>
      </c>
      <c r="B48" s="1" t="s">
        <v>494</v>
      </c>
      <c r="C48" s="60" t="s">
        <v>5</v>
      </c>
      <c r="D48" s="60" t="s">
        <v>458</v>
      </c>
    </row>
    <row r="49" spans="1:4" ht="43.75" customHeight="1" x14ac:dyDescent="0.35">
      <c r="A49" s="54" t="s">
        <v>163</v>
      </c>
      <c r="B49" s="1" t="s">
        <v>493</v>
      </c>
      <c r="C49" s="60" t="s">
        <v>120</v>
      </c>
    </row>
    <row r="50" spans="1:4" x14ac:dyDescent="0.35">
      <c r="A50" s="54" t="s">
        <v>217</v>
      </c>
      <c r="B50" s="1" t="s">
        <v>492</v>
      </c>
      <c r="C50" s="60" t="s">
        <v>120</v>
      </c>
      <c r="D50" s="60" t="s">
        <v>218</v>
      </c>
    </row>
    <row r="51" spans="1:4" x14ac:dyDescent="0.35">
      <c r="A51" s="54" t="s">
        <v>176</v>
      </c>
      <c r="B51" s="1" t="s">
        <v>177</v>
      </c>
      <c r="C51" s="60" t="s">
        <v>5</v>
      </c>
      <c r="D51" s="60" t="s">
        <v>471</v>
      </c>
    </row>
    <row r="52" spans="1:4" ht="33" customHeight="1" x14ac:dyDescent="0.35">
      <c r="A52" s="54" t="s">
        <v>179</v>
      </c>
      <c r="B52" s="1" t="s">
        <v>491</v>
      </c>
      <c r="C52" s="60" t="s">
        <v>120</v>
      </c>
    </row>
    <row r="53" spans="1:4" ht="31.75" customHeight="1" x14ac:dyDescent="0.35">
      <c r="A53" s="54" t="s">
        <v>212</v>
      </c>
      <c r="B53" s="1" t="s">
        <v>490</v>
      </c>
      <c r="C53" s="60" t="s">
        <v>120</v>
      </c>
    </row>
    <row r="54" spans="1:4" ht="35.4" customHeight="1" x14ac:dyDescent="0.35">
      <c r="A54" s="54" t="s">
        <v>228</v>
      </c>
      <c r="B54" s="1" t="s">
        <v>489</v>
      </c>
      <c r="C54" s="60" t="s">
        <v>120</v>
      </c>
    </row>
    <row r="55" spans="1:4" ht="31.75" customHeight="1" x14ac:dyDescent="0.35">
      <c r="A55" s="54" t="s">
        <v>214</v>
      </c>
      <c r="B55" s="1" t="s">
        <v>488</v>
      </c>
      <c r="C55" s="60" t="s">
        <v>58</v>
      </c>
    </row>
    <row r="56" spans="1:4" ht="19.75" customHeight="1" x14ac:dyDescent="0.35">
      <c r="A56" s="54" t="s">
        <v>222</v>
      </c>
      <c r="B56" s="1" t="s">
        <v>221</v>
      </c>
      <c r="C56" s="60" t="s">
        <v>58</v>
      </c>
    </row>
    <row r="57" spans="1:4" ht="20.399999999999999" customHeight="1" x14ac:dyDescent="0.35">
      <c r="A57" s="54" t="s">
        <v>224</v>
      </c>
      <c r="B57" s="22" t="s">
        <v>487</v>
      </c>
      <c r="C57" s="60" t="s">
        <v>120</v>
      </c>
    </row>
    <row r="58" spans="1:4" ht="17.399999999999999" customHeight="1" x14ac:dyDescent="0.35">
      <c r="A58" s="54" t="s">
        <v>227</v>
      </c>
      <c r="B58" s="22" t="s">
        <v>486</v>
      </c>
      <c r="C58" s="60" t="s">
        <v>120</v>
      </c>
    </row>
    <row r="59" spans="1:4" ht="29.4" customHeight="1" x14ac:dyDescent="0.35">
      <c r="A59" s="54" t="s">
        <v>230</v>
      </c>
      <c r="B59" s="1" t="s">
        <v>485</v>
      </c>
      <c r="C59" s="60" t="s">
        <v>120</v>
      </c>
    </row>
    <row r="60" spans="1:4" ht="28.75" customHeight="1" x14ac:dyDescent="0.35">
      <c r="A60" s="54" t="s">
        <v>232</v>
      </c>
      <c r="B60" s="1" t="s">
        <v>484</v>
      </c>
      <c r="C60" s="60" t="s">
        <v>58</v>
      </c>
    </row>
    <row r="61" spans="1:4" x14ac:dyDescent="0.35">
      <c r="A61" s="54" t="s">
        <v>233</v>
      </c>
      <c r="B61" s="1" t="s">
        <v>483</v>
      </c>
      <c r="C61" s="60" t="s">
        <v>120</v>
      </c>
    </row>
    <row r="62" spans="1:4" x14ac:dyDescent="0.35">
      <c r="A62" s="54" t="s">
        <v>235</v>
      </c>
      <c r="B62" s="1" t="s">
        <v>482</v>
      </c>
      <c r="C62" s="60" t="s">
        <v>237</v>
      </c>
    </row>
    <row r="63" spans="1:4" x14ac:dyDescent="0.35">
      <c r="A63" s="54" t="s">
        <v>238</v>
      </c>
      <c r="B63" s="1" t="s">
        <v>430</v>
      </c>
      <c r="C63" s="60" t="s">
        <v>239</v>
      </c>
    </row>
    <row r="64" spans="1:4" ht="16.25" customHeight="1" x14ac:dyDescent="0.35">
      <c r="A64" s="55" t="s">
        <v>245</v>
      </c>
      <c r="B64" s="1" t="s">
        <v>247</v>
      </c>
      <c r="C64" s="60" t="s">
        <v>58</v>
      </c>
    </row>
    <row r="65" spans="1:4" ht="33.65" customHeight="1" x14ac:dyDescent="0.35">
      <c r="A65" s="55" t="s">
        <v>246</v>
      </c>
      <c r="B65" s="1" t="s">
        <v>248</v>
      </c>
      <c r="C65" s="60" t="s">
        <v>58</v>
      </c>
    </row>
    <row r="66" spans="1:4" ht="27.65" customHeight="1" x14ac:dyDescent="0.35">
      <c r="A66" s="55" t="s">
        <v>249</v>
      </c>
      <c r="B66" s="1" t="s">
        <v>251</v>
      </c>
      <c r="C66" s="60" t="s">
        <v>58</v>
      </c>
    </row>
    <row r="67" spans="1:4" ht="29.4" customHeight="1" x14ac:dyDescent="0.35">
      <c r="A67" s="55" t="s">
        <v>250</v>
      </c>
      <c r="B67" s="1" t="s">
        <v>252</v>
      </c>
      <c r="C67" s="60" t="s">
        <v>58</v>
      </c>
    </row>
    <row r="68" spans="1:4" ht="28.25" customHeight="1" x14ac:dyDescent="0.35">
      <c r="A68" s="55" t="s">
        <v>376</v>
      </c>
      <c r="B68" s="1" t="s">
        <v>253</v>
      </c>
      <c r="C68" s="60" t="s">
        <v>58</v>
      </c>
    </row>
    <row r="69" spans="1:4" ht="15" customHeight="1" x14ac:dyDescent="0.35">
      <c r="A69" s="55" t="s">
        <v>254</v>
      </c>
      <c r="B69" s="1" t="s">
        <v>481</v>
      </c>
      <c r="C69" s="60" t="s">
        <v>120</v>
      </c>
    </row>
    <row r="70" spans="1:4" x14ac:dyDescent="0.35">
      <c r="A70" s="55" t="s">
        <v>256</v>
      </c>
      <c r="B70" s="1"/>
      <c r="C70" s="60" t="s">
        <v>120</v>
      </c>
    </row>
    <row r="71" spans="1:4" x14ac:dyDescent="0.35">
      <c r="A71" s="55" t="s">
        <v>257</v>
      </c>
      <c r="B71" s="1"/>
      <c r="C71" s="60" t="s">
        <v>120</v>
      </c>
    </row>
    <row r="72" spans="1:4" ht="30.65" customHeight="1" x14ac:dyDescent="0.35">
      <c r="A72" s="54" t="s">
        <v>281</v>
      </c>
      <c r="B72" s="1" t="s">
        <v>459</v>
      </c>
      <c r="C72" s="60" t="s">
        <v>58</v>
      </c>
    </row>
    <row r="73" spans="1:4" ht="16.75" customHeight="1" x14ac:dyDescent="0.35">
      <c r="A73" s="54" t="s">
        <v>530</v>
      </c>
      <c r="B73" s="1" t="s">
        <v>223</v>
      </c>
      <c r="C73" s="60" t="s">
        <v>58</v>
      </c>
    </row>
    <row r="74" spans="1:4" ht="15.65" customHeight="1" x14ac:dyDescent="0.35">
      <c r="A74" s="49" t="s">
        <v>67</v>
      </c>
      <c r="B74" s="1" t="s">
        <v>10</v>
      </c>
      <c r="C74" s="60" t="s">
        <v>5</v>
      </c>
      <c r="D74" s="60" t="s">
        <v>474</v>
      </c>
    </row>
    <row r="75" spans="1:4" x14ac:dyDescent="0.35">
      <c r="A75" s="49" t="s">
        <v>13</v>
      </c>
      <c r="B75" s="1" t="s">
        <v>14</v>
      </c>
      <c r="C75" s="60" t="s">
        <v>5</v>
      </c>
      <c r="D75" s="60" t="s">
        <v>471</v>
      </c>
    </row>
    <row r="76" spans="1:4" x14ac:dyDescent="0.35">
      <c r="A76" s="49" t="s">
        <v>17</v>
      </c>
      <c r="B76" s="1" t="s">
        <v>18</v>
      </c>
      <c r="C76" s="60" t="s">
        <v>5</v>
      </c>
      <c r="D76" s="60" t="s">
        <v>473</v>
      </c>
    </row>
    <row r="77" spans="1:4" x14ac:dyDescent="0.35">
      <c r="A77" s="49" t="s">
        <v>21</v>
      </c>
      <c r="B77" s="1" t="s">
        <v>19</v>
      </c>
      <c r="C77" s="60" t="s">
        <v>5</v>
      </c>
      <c r="D77" s="60" t="s">
        <v>471</v>
      </c>
    </row>
    <row r="78" spans="1:4" x14ac:dyDescent="0.35">
      <c r="A78" s="49" t="s">
        <v>22</v>
      </c>
      <c r="B78" s="1" t="s">
        <v>20</v>
      </c>
      <c r="C78" s="60" t="s">
        <v>5</v>
      </c>
      <c r="D78" s="60" t="s">
        <v>471</v>
      </c>
    </row>
    <row r="79" spans="1:4" x14ac:dyDescent="0.35">
      <c r="A79" s="49" t="s">
        <v>23</v>
      </c>
      <c r="B79" s="1" t="s">
        <v>24</v>
      </c>
      <c r="C79" s="60" t="s">
        <v>5</v>
      </c>
      <c r="D79" s="60" t="s">
        <v>471</v>
      </c>
    </row>
    <row r="80" spans="1:4" x14ac:dyDescent="0.35">
      <c r="A80" s="49" t="s">
        <v>25</v>
      </c>
      <c r="B80" s="1" t="s">
        <v>26</v>
      </c>
      <c r="C80" s="60" t="s">
        <v>5</v>
      </c>
      <c r="D80" s="60" t="s">
        <v>471</v>
      </c>
    </row>
    <row r="81" spans="1:4" x14ac:dyDescent="0.35">
      <c r="A81" s="49" t="s">
        <v>27</v>
      </c>
      <c r="B81" s="1" t="s">
        <v>29</v>
      </c>
      <c r="C81" s="60" t="s">
        <v>5</v>
      </c>
      <c r="D81" s="60" t="s">
        <v>471</v>
      </c>
    </row>
    <row r="82" spans="1:4" x14ac:dyDescent="0.35">
      <c r="A82" s="49" t="s">
        <v>28</v>
      </c>
      <c r="B82" s="1" t="s">
        <v>30</v>
      </c>
      <c r="C82" s="60" t="s">
        <v>5</v>
      </c>
      <c r="D82" s="60" t="s">
        <v>471</v>
      </c>
    </row>
    <row r="83" spans="1:4" x14ac:dyDescent="0.35">
      <c r="A83" s="49" t="s">
        <v>33</v>
      </c>
      <c r="B83" s="1" t="s">
        <v>34</v>
      </c>
      <c r="C83" s="60" t="s">
        <v>5</v>
      </c>
      <c r="D83" s="60" t="s">
        <v>471</v>
      </c>
    </row>
    <row r="84" spans="1:4" x14ac:dyDescent="0.35">
      <c r="A84" s="49" t="s">
        <v>39</v>
      </c>
      <c r="B84" s="1" t="s">
        <v>40</v>
      </c>
      <c r="C84" s="60" t="s">
        <v>5</v>
      </c>
      <c r="D84" s="60" t="s">
        <v>472</v>
      </c>
    </row>
    <row r="85" spans="1:4" x14ac:dyDescent="0.35">
      <c r="A85" s="49" t="s">
        <v>41</v>
      </c>
      <c r="B85" s="1" t="s">
        <v>42</v>
      </c>
      <c r="C85" s="60" t="s">
        <v>5</v>
      </c>
      <c r="D85" s="60" t="s">
        <v>472</v>
      </c>
    </row>
    <row r="86" spans="1:4" x14ac:dyDescent="0.35">
      <c r="A86" s="49" t="s">
        <v>52</v>
      </c>
      <c r="B86" s="1" t="s">
        <v>53</v>
      </c>
      <c r="C86" s="60" t="s">
        <v>5</v>
      </c>
      <c r="D86" s="60" t="s">
        <v>471</v>
      </c>
    </row>
    <row r="87" spans="1:4" ht="44.4" customHeight="1" x14ac:dyDescent="0.35">
      <c r="A87" s="50" t="s">
        <v>460</v>
      </c>
      <c r="B87" s="1" t="s">
        <v>461</v>
      </c>
      <c r="C87" s="60" t="s">
        <v>5</v>
      </c>
    </row>
    <row r="88" spans="1:4" ht="46.25" customHeight="1" x14ac:dyDescent="0.35">
      <c r="A88" s="50" t="s">
        <v>124</v>
      </c>
      <c r="B88" s="1" t="s">
        <v>462</v>
      </c>
      <c r="C88" s="60" t="s">
        <v>5</v>
      </c>
    </row>
    <row r="89" spans="1:4" ht="43.5" x14ac:dyDescent="0.35">
      <c r="A89" s="50" t="s">
        <v>480</v>
      </c>
      <c r="B89" s="1" t="s">
        <v>463</v>
      </c>
      <c r="C89" s="60" t="s">
        <v>5</v>
      </c>
      <c r="D89" s="60" t="s">
        <v>294</v>
      </c>
    </row>
    <row r="90" spans="1:4" ht="49.75" customHeight="1" x14ac:dyDescent="0.35">
      <c r="A90" s="50" t="s">
        <v>464</v>
      </c>
      <c r="B90" s="1" t="s">
        <v>465</v>
      </c>
      <c r="C90" s="60" t="s">
        <v>5</v>
      </c>
      <c r="D90" s="60" t="s">
        <v>294</v>
      </c>
    </row>
    <row r="91" spans="1:4" ht="29" x14ac:dyDescent="0.35">
      <c r="A91" s="50" t="s">
        <v>479</v>
      </c>
      <c r="B91" s="1" t="s">
        <v>145</v>
      </c>
      <c r="C91" s="60" t="s">
        <v>5</v>
      </c>
      <c r="D91" s="60" t="s">
        <v>294</v>
      </c>
    </row>
    <row r="92" spans="1:4" ht="30.65" customHeight="1" x14ac:dyDescent="0.35">
      <c r="A92" s="50" t="s">
        <v>466</v>
      </c>
      <c r="B92" s="1" t="s">
        <v>146</v>
      </c>
      <c r="C92" s="60" t="s">
        <v>5</v>
      </c>
      <c r="D92" s="60" t="s">
        <v>294</v>
      </c>
    </row>
    <row r="93" spans="1:4" ht="29" x14ac:dyDescent="0.35">
      <c r="A93" s="50" t="s">
        <v>467</v>
      </c>
      <c r="B93" s="1" t="s">
        <v>468</v>
      </c>
      <c r="C93" s="60" t="s">
        <v>5</v>
      </c>
      <c r="D93" s="60" t="s">
        <v>319</v>
      </c>
    </row>
    <row r="94" spans="1:4" ht="43.5" x14ac:dyDescent="0.35">
      <c r="A94" s="50" t="s">
        <v>469</v>
      </c>
      <c r="B94" s="1" t="s">
        <v>470</v>
      </c>
      <c r="C94" s="60" t="s">
        <v>5</v>
      </c>
      <c r="D94" s="60" t="s">
        <v>319</v>
      </c>
    </row>
    <row r="95" spans="1:4" ht="29" x14ac:dyDescent="0.35">
      <c r="A95" s="51" t="s">
        <v>564</v>
      </c>
      <c r="B95" s="1" t="s">
        <v>562</v>
      </c>
      <c r="C95" s="60" t="s">
        <v>563</v>
      </c>
    </row>
    <row r="96" spans="1:4" ht="29" x14ac:dyDescent="0.35">
      <c r="A96" s="51" t="s">
        <v>565</v>
      </c>
      <c r="B96" s="1" t="s">
        <v>562</v>
      </c>
      <c r="C96" s="60" t="s">
        <v>563</v>
      </c>
      <c r="D96" s="60" t="s">
        <v>137</v>
      </c>
    </row>
    <row r="97" spans="1:4" ht="29" x14ac:dyDescent="0.35">
      <c r="A97" s="51" t="s">
        <v>566</v>
      </c>
      <c r="B97" s="1" t="s">
        <v>562</v>
      </c>
      <c r="C97" s="60" t="s">
        <v>563</v>
      </c>
      <c r="D97" s="60" t="s">
        <v>137</v>
      </c>
    </row>
    <row r="98" spans="1:4" ht="29" x14ac:dyDescent="0.35">
      <c r="A98" s="51" t="s">
        <v>567</v>
      </c>
      <c r="B98" s="1" t="s">
        <v>562</v>
      </c>
      <c r="C98" s="60" t="s">
        <v>563</v>
      </c>
      <c r="D98" s="60" t="s">
        <v>137</v>
      </c>
    </row>
    <row r="99" spans="1:4" ht="29" x14ac:dyDescent="0.35">
      <c r="A99" s="51" t="s">
        <v>568</v>
      </c>
      <c r="B99" s="1" t="s">
        <v>562</v>
      </c>
      <c r="C99" s="60" t="s">
        <v>563</v>
      </c>
      <c r="D99" s="60" t="s">
        <v>137</v>
      </c>
    </row>
    <row r="100" spans="1:4" ht="29" x14ac:dyDescent="0.35">
      <c r="A100" s="51" t="s">
        <v>569</v>
      </c>
      <c r="B100" s="1" t="s">
        <v>562</v>
      </c>
      <c r="C100" s="60" t="s">
        <v>563</v>
      </c>
      <c r="D100" s="60" t="s">
        <v>137</v>
      </c>
    </row>
    <row r="101" spans="1:4" ht="29" x14ac:dyDescent="0.35">
      <c r="A101" s="51" t="s">
        <v>570</v>
      </c>
      <c r="B101" s="1" t="s">
        <v>562</v>
      </c>
      <c r="C101" s="60" t="s">
        <v>563</v>
      </c>
      <c r="D101" s="60" t="s">
        <v>138</v>
      </c>
    </row>
    <row r="102" spans="1:4" ht="29" x14ac:dyDescent="0.35">
      <c r="A102" s="51" t="s">
        <v>571</v>
      </c>
      <c r="B102" s="1" t="s">
        <v>562</v>
      </c>
      <c r="C102" s="60" t="s">
        <v>563</v>
      </c>
      <c r="D102" s="60" t="s">
        <v>138</v>
      </c>
    </row>
    <row r="103" spans="1:4" ht="29" x14ac:dyDescent="0.35">
      <c r="A103" s="51" t="s">
        <v>572</v>
      </c>
      <c r="B103" s="1" t="s">
        <v>562</v>
      </c>
      <c r="C103" s="60" t="s">
        <v>563</v>
      </c>
      <c r="D103" s="60" t="s">
        <v>138</v>
      </c>
    </row>
    <row r="104" spans="1:4" ht="29" x14ac:dyDescent="0.35">
      <c r="A104" s="51" t="s">
        <v>573</v>
      </c>
      <c r="B104" s="1" t="s">
        <v>562</v>
      </c>
      <c r="C104" s="60" t="s">
        <v>563</v>
      </c>
      <c r="D104" s="60" t="s">
        <v>138</v>
      </c>
    </row>
    <row r="105" spans="1:4" ht="29" x14ac:dyDescent="0.35">
      <c r="A105" s="51" t="s">
        <v>574</v>
      </c>
      <c r="B105" s="1" t="s">
        <v>562</v>
      </c>
      <c r="C105" s="60" t="s">
        <v>563</v>
      </c>
      <c r="D105" s="60" t="s">
        <v>138</v>
      </c>
    </row>
    <row r="106" spans="1:4" ht="29" x14ac:dyDescent="0.35">
      <c r="A106" s="51" t="s">
        <v>575</v>
      </c>
      <c r="B106" s="1" t="s">
        <v>562</v>
      </c>
      <c r="C106" s="60" t="s">
        <v>563</v>
      </c>
      <c r="D106" s="60" t="s">
        <v>138</v>
      </c>
    </row>
    <row r="107" spans="1:4" ht="29" x14ac:dyDescent="0.35">
      <c r="A107" s="51" t="s">
        <v>576</v>
      </c>
      <c r="B107" s="1" t="s">
        <v>562</v>
      </c>
      <c r="C107" s="60" t="s">
        <v>563</v>
      </c>
      <c r="D107" s="60" t="s">
        <v>149</v>
      </c>
    </row>
    <row r="108" spans="1:4" ht="29" x14ac:dyDescent="0.35">
      <c r="A108" s="51" t="s">
        <v>577</v>
      </c>
      <c r="B108" s="1" t="s">
        <v>562</v>
      </c>
      <c r="C108" s="60" t="s">
        <v>563</v>
      </c>
      <c r="D108" s="60" t="s">
        <v>149</v>
      </c>
    </row>
    <row r="109" spans="1:4" ht="29" x14ac:dyDescent="0.35">
      <c r="A109" s="51" t="s">
        <v>578</v>
      </c>
      <c r="B109" s="1" t="s">
        <v>562</v>
      </c>
      <c r="C109" s="60" t="s">
        <v>563</v>
      </c>
      <c r="D109" s="60" t="s">
        <v>149</v>
      </c>
    </row>
    <row r="110" spans="1:4" ht="29" x14ac:dyDescent="0.35">
      <c r="A110" s="51" t="s">
        <v>579</v>
      </c>
      <c r="B110" s="1" t="s">
        <v>562</v>
      </c>
      <c r="C110" s="60" t="s">
        <v>563</v>
      </c>
      <c r="D110" s="60" t="s">
        <v>149</v>
      </c>
    </row>
    <row r="111" spans="1:4" ht="29" x14ac:dyDescent="0.35">
      <c r="A111" s="51" t="s">
        <v>580</v>
      </c>
      <c r="B111" s="1" t="s">
        <v>562</v>
      </c>
      <c r="C111" s="60" t="s">
        <v>563</v>
      </c>
      <c r="D111" s="60" t="s">
        <v>162</v>
      </c>
    </row>
    <row r="112" spans="1:4" ht="29" x14ac:dyDescent="0.35">
      <c r="A112" s="51" t="s">
        <v>581</v>
      </c>
      <c r="B112" s="1" t="s">
        <v>562</v>
      </c>
      <c r="C112" s="60" t="s">
        <v>563</v>
      </c>
      <c r="D112" s="60" t="s">
        <v>162</v>
      </c>
    </row>
    <row r="113" spans="1:4" ht="29" x14ac:dyDescent="0.35">
      <c r="A113" s="51" t="s">
        <v>582</v>
      </c>
      <c r="B113" s="1" t="s">
        <v>562</v>
      </c>
      <c r="C113" s="60" t="s">
        <v>563</v>
      </c>
      <c r="D113" s="60" t="s">
        <v>162</v>
      </c>
    </row>
    <row r="114" spans="1:4" ht="29" x14ac:dyDescent="0.35">
      <c r="A114" s="51" t="s">
        <v>583</v>
      </c>
      <c r="B114" s="1" t="s">
        <v>562</v>
      </c>
      <c r="C114" s="60" t="s">
        <v>563</v>
      </c>
    </row>
    <row r="115" spans="1:4" ht="29" x14ac:dyDescent="0.35">
      <c r="A115" s="51" t="s">
        <v>584</v>
      </c>
      <c r="B115" s="1" t="s">
        <v>562</v>
      </c>
      <c r="C115" s="60" t="s">
        <v>563</v>
      </c>
    </row>
    <row r="116" spans="1:4" ht="29" x14ac:dyDescent="0.35">
      <c r="A116" s="51" t="s">
        <v>585</v>
      </c>
      <c r="B116" s="1" t="s">
        <v>562</v>
      </c>
      <c r="C116" s="60" t="s">
        <v>563</v>
      </c>
    </row>
    <row r="117" spans="1:4" ht="29" x14ac:dyDescent="0.35">
      <c r="A117" s="51" t="s">
        <v>586</v>
      </c>
      <c r="B117" s="1" t="s">
        <v>562</v>
      </c>
      <c r="C117" s="60" t="s">
        <v>563</v>
      </c>
    </row>
    <row r="118" spans="1:4" ht="29" x14ac:dyDescent="0.35">
      <c r="A118" s="51" t="s">
        <v>587</v>
      </c>
      <c r="B118" s="1" t="s">
        <v>562</v>
      </c>
      <c r="C118" s="60" t="s">
        <v>563</v>
      </c>
    </row>
    <row r="119" spans="1:4" ht="29" x14ac:dyDescent="0.35">
      <c r="A119" s="51" t="s">
        <v>588</v>
      </c>
      <c r="B119" s="1" t="s">
        <v>562</v>
      </c>
      <c r="C119" s="60" t="s">
        <v>563</v>
      </c>
    </row>
    <row r="120" spans="1:4" ht="29" x14ac:dyDescent="0.35">
      <c r="A120" s="51" t="s">
        <v>589</v>
      </c>
      <c r="B120" s="1" t="s">
        <v>562</v>
      </c>
      <c r="C120" s="60" t="s">
        <v>563</v>
      </c>
    </row>
    <row r="121" spans="1:4" ht="29" x14ac:dyDescent="0.35">
      <c r="A121" s="51" t="s">
        <v>590</v>
      </c>
      <c r="B121" s="1" t="s">
        <v>562</v>
      </c>
      <c r="C121" s="60" t="s">
        <v>563</v>
      </c>
    </row>
    <row r="122" spans="1:4" ht="29" x14ac:dyDescent="0.35">
      <c r="A122" s="53" t="s">
        <v>591</v>
      </c>
      <c r="B122" s="1" t="s">
        <v>562</v>
      </c>
      <c r="C122" s="60" t="s">
        <v>563</v>
      </c>
    </row>
    <row r="123" spans="1:4" ht="29" x14ac:dyDescent="0.35">
      <c r="A123" s="53" t="s">
        <v>592</v>
      </c>
      <c r="B123" s="1" t="s">
        <v>562</v>
      </c>
      <c r="C123" s="60" t="s">
        <v>563</v>
      </c>
    </row>
    <row r="124" spans="1:4" ht="29" x14ac:dyDescent="0.35">
      <c r="A124" s="53" t="s">
        <v>593</v>
      </c>
      <c r="B124" s="1" t="s">
        <v>562</v>
      </c>
      <c r="C124" s="60" t="s">
        <v>563</v>
      </c>
    </row>
    <row r="125" spans="1:4" ht="29" x14ac:dyDescent="0.35">
      <c r="A125" s="51" t="s">
        <v>594</v>
      </c>
      <c r="B125" s="1" t="s">
        <v>562</v>
      </c>
      <c r="C125" s="60" t="s">
        <v>563</v>
      </c>
    </row>
    <row r="126" spans="1:4" ht="29" x14ac:dyDescent="0.35">
      <c r="A126" s="51" t="s">
        <v>595</v>
      </c>
      <c r="B126" s="1" t="s">
        <v>562</v>
      </c>
      <c r="C126" s="60" t="s">
        <v>563</v>
      </c>
    </row>
    <row r="127" spans="1:4" ht="29" x14ac:dyDescent="0.35">
      <c r="A127" s="51" t="s">
        <v>596</v>
      </c>
      <c r="B127" s="1" t="s">
        <v>562</v>
      </c>
      <c r="C127" s="60" t="s">
        <v>563</v>
      </c>
    </row>
    <row r="128" spans="1:4" ht="29" x14ac:dyDescent="0.35">
      <c r="A128" s="51" t="s">
        <v>597</v>
      </c>
      <c r="B128" s="1" t="s">
        <v>562</v>
      </c>
      <c r="C128" s="60" t="s">
        <v>563</v>
      </c>
    </row>
    <row r="129" spans="1:3" ht="29" x14ac:dyDescent="0.35">
      <c r="A129" s="51" t="s">
        <v>598</v>
      </c>
      <c r="B129" s="1" t="s">
        <v>562</v>
      </c>
      <c r="C129" s="60" t="s">
        <v>563</v>
      </c>
    </row>
    <row r="130" spans="1:3" ht="29" x14ac:dyDescent="0.35">
      <c r="A130" s="51" t="s">
        <v>599</v>
      </c>
      <c r="B130" s="1" t="s">
        <v>562</v>
      </c>
      <c r="C130" s="60" t="s">
        <v>563</v>
      </c>
    </row>
    <row r="131" spans="1:3" ht="29" x14ac:dyDescent="0.35">
      <c r="A131" s="51" t="s">
        <v>600</v>
      </c>
      <c r="B131" s="1" t="s">
        <v>562</v>
      </c>
      <c r="C131" s="60" t="s">
        <v>563</v>
      </c>
    </row>
    <row r="132" spans="1:3" ht="29" x14ac:dyDescent="0.35">
      <c r="A132" s="51" t="s">
        <v>601</v>
      </c>
      <c r="B132" s="1" t="s">
        <v>562</v>
      </c>
      <c r="C132" s="60" t="s">
        <v>563</v>
      </c>
    </row>
    <row r="133" spans="1:3" ht="29" x14ac:dyDescent="0.35">
      <c r="A133" s="51" t="s">
        <v>602</v>
      </c>
      <c r="B133" s="1" t="s">
        <v>562</v>
      </c>
      <c r="C133" s="60" t="s">
        <v>563</v>
      </c>
    </row>
    <row r="134" spans="1:3" ht="29" x14ac:dyDescent="0.35">
      <c r="A134" s="51" t="s">
        <v>603</v>
      </c>
      <c r="B134" s="1" t="s">
        <v>562</v>
      </c>
      <c r="C134" s="60" t="s">
        <v>563</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88"/>
  <sheetViews>
    <sheetView topLeftCell="AU1" workbookViewId="0">
      <selection activeCell="AW22" sqref="AW22"/>
    </sheetView>
  </sheetViews>
  <sheetFormatPr defaultRowHeight="14.5" x14ac:dyDescent="0.35"/>
  <cols>
    <col min="53" max="53" width="8.90625" style="43"/>
    <col min="58" max="58" width="8.90625" style="43"/>
  </cols>
  <sheetData>
    <row r="1" spans="1:72" s="43" customFormat="1" x14ac:dyDescent="0.35">
      <c r="A1" s="43" t="s">
        <v>510</v>
      </c>
    </row>
    <row r="2" spans="1:72" s="1" customFormat="1" ht="43.5" x14ac:dyDescent="0.35">
      <c r="A2" s="12" t="str">
        <f>'Indiv. Surfactant Key'!A8</f>
        <v>AlfSodSalt</v>
      </c>
      <c r="B2" s="12" t="str">
        <f>'Indiv. Surfactant Key'!A39</f>
        <v>C10G2</v>
      </c>
      <c r="C2" s="12" t="str">
        <f>'Indiv. Surfactant Key'!A40</f>
        <v>C12G2</v>
      </c>
      <c r="D2" s="12" t="str">
        <f>'Indiv. Surfactant Key'!A62</f>
        <v>C12G3</v>
      </c>
      <c r="E2" s="12" t="str">
        <f>'Indiv. Surfactant Key'!A47</f>
        <v>C6G1</v>
      </c>
      <c r="F2" s="12" t="str">
        <f>'Indiv. Surfactant Key'!A45</f>
        <v>C6G2</v>
      </c>
      <c r="G2" s="12" t="str">
        <f>'Indiv. Surfactant Key'!A48</f>
        <v>C7G1</v>
      </c>
      <c r="H2" s="12" t="str">
        <f>'Indiv. Surfactant Key'!A41</f>
        <v>C8G1</v>
      </c>
      <c r="I2" s="12" t="str">
        <f>'Indiv. Surfactant Key'!A38</f>
        <v>C8G2</v>
      </c>
      <c r="J2" s="12" t="str">
        <f>'Indiv. Surfactant Key'!A42</f>
        <v>C8SG2</v>
      </c>
      <c r="K2" s="12" t="str">
        <f>'Indiv. Surfactant Key'!A46</f>
        <v>C9G2</v>
      </c>
      <c r="L2" s="12" t="str">
        <f>'Indiv. Surfactant Key'!A14</f>
        <v>Cap</v>
      </c>
      <c r="M2" s="12" t="str">
        <f>'Indiv. Surfactant Key'!A37</f>
        <v>CL_C8G3</v>
      </c>
      <c r="N2" s="12" t="str">
        <f>'Indiv. Surfactant Key'!A54</f>
        <v>CL_MD2012-16</v>
      </c>
      <c r="O2" s="12" t="str">
        <f>'Indiv. Surfactant Key'!A49</f>
        <v>CL_MD2062-121</v>
      </c>
      <c r="P2" s="12" t="str">
        <f>'Indiv. Surfactant Key'!A50</f>
        <v>CL_MD2062-124</v>
      </c>
      <c r="Q2" s="12" t="str">
        <f>'Indiv. Surfactant Key'!A58</f>
        <v>CL_MD2062-148</v>
      </c>
      <c r="R2" s="12" t="str">
        <f>'Indiv. Surfactant Key'!A57</f>
        <v>CL_MD2062-57</v>
      </c>
      <c r="S2" s="12" t="str">
        <f>'Indiv. Surfactant Key'!A53</f>
        <v>CL_MD2086-97</v>
      </c>
      <c r="T2" s="12" t="str">
        <f>'Indiv. Surfactant Key'!A59</f>
        <v>CL_MD2102-54</v>
      </c>
      <c r="U2" s="12" t="str">
        <f>'Indiv. Surfactant Key'!A69</f>
        <v>CL_MD2102-90</v>
      </c>
      <c r="V2" s="12" t="str">
        <f>'Indiv. Surfactant Key'!A70</f>
        <v>CL_MD2102-112</v>
      </c>
      <c r="W2" s="12" t="str">
        <f>'Indiv. Surfactant Key'!A71</f>
        <v>CL_MD2102-118</v>
      </c>
      <c r="X2" s="12" t="str">
        <f>'Indiv. Surfactant Key'!A52</f>
        <v>CL_MDAPS</v>
      </c>
      <c r="Y2" s="12" t="str">
        <f>'Indiv. Surfactant Key'!A13</f>
        <v>CTAB</v>
      </c>
      <c r="Z2" s="12" t="str">
        <f>'Indiv. Surfactant Key'!A43</f>
        <v>Cymal</v>
      </c>
      <c r="AA2" s="12" t="str">
        <f>'Indiv. Surfactant Key'!A44</f>
        <v>iC8G2</v>
      </c>
      <c r="AB2" s="12" t="str">
        <f>'Indiv. Surfactant Key'!A9</f>
        <v>Mys</v>
      </c>
      <c r="AC2" s="12" t="str">
        <f>'Indiv. Surfactant Key'!A55</f>
        <v>NRL_CB-1-123</v>
      </c>
      <c r="AD2" s="12" t="str">
        <f>'Indiv. Surfactant Key'!A64</f>
        <v>NRL_LBII43</v>
      </c>
      <c r="AE2" s="12" t="str">
        <f>'Indiv. Surfactant Key'!A18</f>
        <v>NRL_N10358-106</v>
      </c>
      <c r="AF2" s="12" t="str">
        <f>'Indiv. Surfactant Key'!A17</f>
        <v>NRL_N10358-107</v>
      </c>
      <c r="AG2" s="12" t="str">
        <f>'Indiv. Surfactant Key'!A19</f>
        <v>NRL_N10358-135</v>
      </c>
      <c r="AH2" s="12" t="str">
        <f>'Indiv. Surfactant Key'!A25</f>
        <v>NRL_N10358-161</v>
      </c>
      <c r="AI2" s="51" t="str">
        <f>'Indiv. Surfactant Key'!A22</f>
        <v>NRL_N10358-174</v>
      </c>
      <c r="AJ2" s="1" t="str">
        <f>'Indiv. Surfactant Key'!A66</f>
        <v>NRL_N10478-227</v>
      </c>
      <c r="AK2" s="1" t="str">
        <f>'Indiv. Surfactant Key'!A67</f>
        <v>NRL_N10478-233</v>
      </c>
      <c r="AL2" s="1" t="str">
        <f>'Indiv. Surfactant Key'!A68</f>
        <v>NRL_N10478-240</v>
      </c>
      <c r="AM2" s="51" t="str">
        <f>'Indiv. Surfactant Key'!A36</f>
        <v>T15-S-12</v>
      </c>
      <c r="AN2" s="51" t="str">
        <f>'Indiv. Surfactant Key'!A4</f>
        <v>T15-S-7</v>
      </c>
      <c r="AO2" s="51" t="str">
        <f>'Indiv. Surfactant Key'!A35</f>
        <v>T15-S-9</v>
      </c>
      <c r="AP2" s="51" t="str">
        <f>'Indiv. Surfactant Key'!A3</f>
        <v>TMN6</v>
      </c>
      <c r="AQ2" s="51" t="str">
        <f>'Indiv. Surfactant Key'!A12</f>
        <v>TrX100</v>
      </c>
      <c r="AR2" s="51" t="str">
        <f>'Indiv. Surfactant Key'!A6</f>
        <v>TrX114</v>
      </c>
      <c r="AS2" s="51" t="str">
        <f>'Indiv. Surfactant Key'!A5</f>
        <v>TrX45</v>
      </c>
      <c r="AT2" s="12" t="str">
        <f>'Indiv. Surfactant Key'!A51</f>
        <v>TrGR-5M</v>
      </c>
      <c r="AU2" s="12" t="str">
        <f>'Indiv. Surfactant Key'!A7</f>
        <v>T4</v>
      </c>
      <c r="AV2" s="12" t="str">
        <f>'Indiv. Surfactant Key'!A16</f>
        <v>PFOA</v>
      </c>
      <c r="AW2" s="12" t="str">
        <f>'Indiv. Surfactant Key'!A11</f>
        <v>SDS</v>
      </c>
      <c r="AX2" s="51" t="str">
        <f>'Indiv. Surfactant Key'!A30</f>
        <v>Gel6185</v>
      </c>
      <c r="AY2" s="51" t="str">
        <f>'Indiv. Surfactant Key'!A34</f>
        <v>Gel6492.6</v>
      </c>
      <c r="AZ2" s="51" t="str">
        <f>'Indiv. Surfactant Key'!A31</f>
        <v>G215</v>
      </c>
      <c r="BA2" s="51" t="str">
        <f>'Indiv. Surfactant Key'!A32</f>
        <v>G225</v>
      </c>
      <c r="BB2" s="51" t="str">
        <f>'Indiv. Surfactant Key'!A33</f>
        <v>G600</v>
      </c>
      <c r="BC2" s="51" t="str">
        <f>'Indiv. Surfactant Key'!A15</f>
        <v>L77</v>
      </c>
      <c r="BD2" s="51" t="str">
        <f>'Indiv. Surfactant Key'!A20</f>
        <v>NRL_N10477-12</v>
      </c>
      <c r="BE2" s="51" t="str">
        <f>'Indiv. Surfactant Key'!A21</f>
        <v>NRL_N10358-176</v>
      </c>
      <c r="BF2" s="51" t="str">
        <f>'Indiv. Surfactant Key'!A23</f>
        <v>NRL_N10358-169</v>
      </c>
      <c r="BG2" s="1" t="str">
        <f>'Indiv. Surfactant Key'!A24</f>
        <v>NRL_N10477-01</v>
      </c>
      <c r="BH2" s="51" t="str">
        <f>'Indiv. Surfactant Key'!A26</f>
        <v>NRL_N10477-09</v>
      </c>
      <c r="BI2" s="12" t="str">
        <f>'Indiv. Surfactant Key'!A27</f>
        <v>NRL_N10477-07</v>
      </c>
      <c r="BJ2" s="51" t="str">
        <f>'Indiv. Surfactant Key'!A28</f>
        <v>NRL_N10477-03</v>
      </c>
      <c r="BK2" s="1" t="str">
        <f>'Indiv. Surfactant Key'!A29</f>
        <v>NRL_N10477-05</v>
      </c>
      <c r="BL2" s="1" t="str">
        <f>'Indiv. Surfactant Key'!A56</f>
        <v>NRL_N10477-189</v>
      </c>
      <c r="BM2" s="1" t="str">
        <f>'Indiv. Surfactant Key'!A60</f>
        <v>NRL_N10478-198</v>
      </c>
      <c r="BN2" s="1" t="str">
        <f>'Indiv. Surfactant Key'!A61</f>
        <v>C10G3</v>
      </c>
      <c r="BO2" s="1" t="str">
        <f>'Indiv. Surfactant Key'!A63</f>
        <v>NRL_N10478-40</v>
      </c>
      <c r="BP2" s="1" t="str">
        <f>'Indiv. Surfactant Key'!A65</f>
        <v>NRL_CB_DTBTS_SB</v>
      </c>
      <c r="BQ2" s="51" t="str">
        <f>'Indiv. Surfactant Key'!A72</f>
        <v>NRL_CB-1-192</v>
      </c>
      <c r="BR2" s="51" t="str">
        <f>'Indiv. Surfactant Key'!A10</f>
        <v>D502W</v>
      </c>
      <c r="BS2" s="1" t="str">
        <f>'Indiv. Surfactant Key'!A73</f>
        <v>NRL_N10478-81</v>
      </c>
      <c r="BT2" s="12" t="s">
        <v>444</v>
      </c>
    </row>
    <row r="3" spans="1:72" ht="16" x14ac:dyDescent="0.45">
      <c r="A3" s="42" t="s">
        <v>446</v>
      </c>
      <c r="B3" s="42" t="s">
        <v>328</v>
      </c>
      <c r="C3" s="42" t="s">
        <v>329</v>
      </c>
      <c r="D3" s="42" t="s">
        <v>330</v>
      </c>
      <c r="E3" s="42" t="s">
        <v>331</v>
      </c>
      <c r="F3" s="42" t="s">
        <v>332</v>
      </c>
      <c r="G3" s="42" t="s">
        <v>333</v>
      </c>
      <c r="H3" s="42" t="s">
        <v>334</v>
      </c>
      <c r="I3" s="42" t="s">
        <v>335</v>
      </c>
      <c r="J3" s="42" t="s">
        <v>336</v>
      </c>
      <c r="K3" s="42" t="s">
        <v>337</v>
      </c>
      <c r="L3" s="42" t="s">
        <v>338</v>
      </c>
      <c r="M3" s="42" t="s">
        <v>339</v>
      </c>
      <c r="N3" s="42" t="s">
        <v>340</v>
      </c>
      <c r="O3" s="42" t="s">
        <v>341</v>
      </c>
      <c r="P3" s="42" t="s">
        <v>342</v>
      </c>
      <c r="Q3" s="42" t="s">
        <v>343</v>
      </c>
      <c r="R3" s="42" t="s">
        <v>344</v>
      </c>
      <c r="S3" s="42" t="s">
        <v>345</v>
      </c>
      <c r="T3" s="42" t="s">
        <v>346</v>
      </c>
      <c r="U3" s="3" t="s">
        <v>347</v>
      </c>
      <c r="V3" s="42" t="s">
        <v>348</v>
      </c>
      <c r="W3" s="42" t="s">
        <v>349</v>
      </c>
      <c r="X3" s="42" t="s">
        <v>350</v>
      </c>
      <c r="Y3" s="42" t="s">
        <v>351</v>
      </c>
      <c r="Z3" s="42" t="s">
        <v>352</v>
      </c>
      <c r="AA3" s="42" t="s">
        <v>353</v>
      </c>
      <c r="AB3" s="42" t="s">
        <v>354</v>
      </c>
      <c r="AC3" s="42" t="s">
        <v>355</v>
      </c>
      <c r="AD3" s="42" t="s">
        <v>356</v>
      </c>
      <c r="AE3" s="42" t="s">
        <v>362</v>
      </c>
      <c r="AF3" s="42" t="s">
        <v>363</v>
      </c>
      <c r="AG3" s="42" t="s">
        <v>364</v>
      </c>
      <c r="AH3" s="42" t="s">
        <v>365</v>
      </c>
      <c r="AI3" s="43" t="s">
        <v>366</v>
      </c>
      <c r="AJ3" t="s">
        <v>374</v>
      </c>
      <c r="AK3" t="s">
        <v>375</v>
      </c>
      <c r="AL3" t="s">
        <v>377</v>
      </c>
      <c r="AM3" s="57" t="s">
        <v>378</v>
      </c>
      <c r="AN3" s="57" t="s">
        <v>380</v>
      </c>
      <c r="AO3" s="58" t="s">
        <v>382</v>
      </c>
      <c r="AP3" t="s">
        <v>384</v>
      </c>
      <c r="AQ3" t="s">
        <v>385</v>
      </c>
      <c r="AR3" t="s">
        <v>387</v>
      </c>
      <c r="AS3" t="s">
        <v>389</v>
      </c>
      <c r="AT3" s="60" t="s">
        <v>390</v>
      </c>
      <c r="AU3" s="60" t="s">
        <v>391</v>
      </c>
      <c r="AV3" s="43" t="s">
        <v>392</v>
      </c>
      <c r="AW3" s="43" t="s">
        <v>393</v>
      </c>
      <c r="AX3" s="43" t="s">
        <v>394</v>
      </c>
      <c r="AY3" s="43" t="s">
        <v>398</v>
      </c>
      <c r="AZ3" s="43" t="s">
        <v>334</v>
      </c>
      <c r="BA3" s="43" t="s">
        <v>334</v>
      </c>
      <c r="BB3" s="43" t="s">
        <v>447</v>
      </c>
      <c r="BC3" s="43" t="s">
        <v>409</v>
      </c>
      <c r="BD3" s="43" t="s">
        <v>411</v>
      </c>
      <c r="BE3" s="43" t="s">
        <v>415</v>
      </c>
      <c r="BF3" s="43" t="s">
        <v>418</v>
      </c>
      <c r="BG3" t="s">
        <v>366</v>
      </c>
      <c r="BH3" s="43" t="s">
        <v>478</v>
      </c>
      <c r="BI3" s="43" t="s">
        <v>427</v>
      </c>
      <c r="BJ3" s="43" t="s">
        <v>427</v>
      </c>
      <c r="BK3" s="43" t="s">
        <v>369</v>
      </c>
      <c r="BL3" s="43" t="s">
        <v>428</v>
      </c>
      <c r="BM3" s="43" t="s">
        <v>342</v>
      </c>
      <c r="BN3" t="s">
        <v>429</v>
      </c>
      <c r="BO3" s="43" t="s">
        <v>340</v>
      </c>
      <c r="BP3" s="43" t="s">
        <v>431</v>
      </c>
      <c r="BQ3" s="61" t="s">
        <v>432</v>
      </c>
      <c r="BR3" s="43" t="s">
        <v>438</v>
      </c>
      <c r="BS3" s="43" t="s">
        <v>531</v>
      </c>
      <c r="BT3" s="59" t="s">
        <v>445</v>
      </c>
    </row>
    <row r="4" spans="1:72" x14ac:dyDescent="0.35">
      <c r="AD4" s="42" t="s">
        <v>357</v>
      </c>
      <c r="AI4" s="43" t="s">
        <v>367</v>
      </c>
      <c r="AM4" s="58" t="s">
        <v>379</v>
      </c>
      <c r="AN4" s="57" t="s">
        <v>381</v>
      </c>
      <c r="AO4" t="s">
        <v>383</v>
      </c>
      <c r="AQ4" t="s">
        <v>386</v>
      </c>
      <c r="AR4" t="s">
        <v>388</v>
      </c>
      <c r="AS4" s="60" t="s">
        <v>453</v>
      </c>
      <c r="AX4" s="43" t="s">
        <v>395</v>
      </c>
      <c r="AY4" s="43" t="s">
        <v>399</v>
      </c>
      <c r="AZ4" s="43" t="s">
        <v>401</v>
      </c>
      <c r="BA4" s="43" t="s">
        <v>401</v>
      </c>
      <c r="BB4" s="43" t="s">
        <v>403</v>
      </c>
      <c r="BC4" s="43" t="s">
        <v>410</v>
      </c>
      <c r="BD4" s="43" t="s">
        <v>412</v>
      </c>
      <c r="BE4" s="43" t="s">
        <v>416</v>
      </c>
      <c r="BF4" s="43" t="s">
        <v>419</v>
      </c>
      <c r="BH4" s="43" t="s">
        <v>426</v>
      </c>
      <c r="BJ4" t="s">
        <v>415</v>
      </c>
      <c r="BK4" s="43" t="s">
        <v>370</v>
      </c>
      <c r="BQ4" s="61" t="s">
        <v>433</v>
      </c>
      <c r="BR4" s="43" t="s">
        <v>439</v>
      </c>
    </row>
    <row r="5" spans="1:72" x14ac:dyDescent="0.35">
      <c r="AD5" s="42" t="s">
        <v>358</v>
      </c>
      <c r="AI5" s="43" t="s">
        <v>368</v>
      </c>
      <c r="AJ5" s="43"/>
      <c r="AK5" s="43"/>
      <c r="AL5" s="43"/>
      <c r="AM5" s="43"/>
      <c r="AN5" s="43"/>
      <c r="AO5" s="43"/>
      <c r="AP5" s="43"/>
      <c r="AQ5" s="43"/>
      <c r="AR5" s="43"/>
      <c r="AS5" s="43"/>
      <c r="AT5" s="43"/>
      <c r="AU5" s="43"/>
      <c r="AV5" s="43"/>
      <c r="AW5" s="43"/>
      <c r="AX5" s="43" t="s">
        <v>396</v>
      </c>
      <c r="AY5" s="43" t="s">
        <v>400</v>
      </c>
      <c r="AZ5" s="43" t="s">
        <v>402</v>
      </c>
      <c r="BA5" s="43" t="s">
        <v>402</v>
      </c>
      <c r="BB5" s="43" t="s">
        <v>404</v>
      </c>
      <c r="BC5" s="43" t="s">
        <v>398</v>
      </c>
      <c r="BD5" s="43" t="s">
        <v>413</v>
      </c>
      <c r="BE5" s="43" t="s">
        <v>417</v>
      </c>
      <c r="BF5" s="43" t="s">
        <v>420</v>
      </c>
      <c r="BQ5" s="61" t="s">
        <v>434</v>
      </c>
      <c r="BR5" s="43" t="s">
        <v>440</v>
      </c>
    </row>
    <row r="6" spans="1:72" x14ac:dyDescent="0.35">
      <c r="AD6" s="42" t="s">
        <v>359</v>
      </c>
      <c r="AI6" s="43" t="s">
        <v>369</v>
      </c>
      <c r="AJ6" s="43"/>
      <c r="AK6" s="43"/>
      <c r="AL6" s="43"/>
      <c r="AM6" s="43"/>
      <c r="AN6" s="43"/>
      <c r="AO6" s="43"/>
      <c r="AP6" s="43"/>
      <c r="AQ6" s="43"/>
      <c r="AR6" s="43"/>
      <c r="AS6" s="43"/>
      <c r="AT6" s="43"/>
      <c r="AU6" s="43"/>
      <c r="AV6" s="43"/>
      <c r="AW6" s="43"/>
      <c r="AX6" s="43" t="s">
        <v>397</v>
      </c>
      <c r="AY6" s="43" t="s">
        <v>356</v>
      </c>
      <c r="AZ6" s="43" t="s">
        <v>335</v>
      </c>
      <c r="BA6" s="43" t="s">
        <v>335</v>
      </c>
      <c r="BB6" s="43" t="s">
        <v>405</v>
      </c>
      <c r="BC6" s="43" t="s">
        <v>399</v>
      </c>
      <c r="BD6" s="43" t="s">
        <v>414</v>
      </c>
      <c r="BE6" s="43" t="s">
        <v>366</v>
      </c>
      <c r="BF6" s="43" t="s">
        <v>421</v>
      </c>
      <c r="BQ6" s="61" t="s">
        <v>435</v>
      </c>
      <c r="BR6" s="43" t="s">
        <v>441</v>
      </c>
    </row>
    <row r="7" spans="1:72" x14ac:dyDescent="0.35">
      <c r="AD7" s="42" t="s">
        <v>360</v>
      </c>
      <c r="AI7" s="43" t="s">
        <v>370</v>
      </c>
      <c r="AJ7" s="43"/>
      <c r="AK7" s="43"/>
      <c r="AL7" s="43"/>
      <c r="AM7" s="43"/>
      <c r="AN7" s="43"/>
      <c r="AO7" s="43"/>
      <c r="AP7" s="43"/>
      <c r="AQ7" s="43"/>
      <c r="AR7" s="43"/>
      <c r="AS7" s="43"/>
      <c r="AT7" s="43"/>
      <c r="AU7" s="43"/>
      <c r="AV7" s="43"/>
      <c r="AW7" s="43"/>
      <c r="AZ7" s="43" t="s">
        <v>337</v>
      </c>
      <c r="BA7" s="43" t="s">
        <v>337</v>
      </c>
      <c r="BB7" s="43" t="s">
        <v>406</v>
      </c>
      <c r="BC7" s="43" t="s">
        <v>400</v>
      </c>
      <c r="BF7" s="43" t="s">
        <v>422</v>
      </c>
      <c r="BQ7" s="61" t="s">
        <v>436</v>
      </c>
      <c r="BR7" s="43" t="s">
        <v>442</v>
      </c>
    </row>
    <row r="8" spans="1:72" x14ac:dyDescent="0.35">
      <c r="AD8" s="42" t="s">
        <v>361</v>
      </c>
      <c r="AI8" s="43" t="s">
        <v>371</v>
      </c>
      <c r="AZ8" s="43" t="s">
        <v>328</v>
      </c>
      <c r="BA8" s="43" t="s">
        <v>328</v>
      </c>
      <c r="BB8" s="43" t="s">
        <v>407</v>
      </c>
      <c r="BC8" s="43" t="s">
        <v>356</v>
      </c>
      <c r="BF8" s="43" t="s">
        <v>423</v>
      </c>
      <c r="BQ8" s="61" t="s">
        <v>437</v>
      </c>
      <c r="BR8" s="43" t="s">
        <v>443</v>
      </c>
    </row>
    <row r="9" spans="1:72" x14ac:dyDescent="0.35">
      <c r="AI9" s="43" t="s">
        <v>372</v>
      </c>
      <c r="BB9" s="43" t="s">
        <v>408</v>
      </c>
      <c r="BC9" s="43" t="s">
        <v>357</v>
      </c>
      <c r="BF9" s="43" t="s">
        <v>424</v>
      </c>
      <c r="BR9" s="43" t="s">
        <v>397</v>
      </c>
    </row>
    <row r="10" spans="1:72" x14ac:dyDescent="0.35">
      <c r="AI10" s="43" t="s">
        <v>373</v>
      </c>
      <c r="BB10" s="43" t="s">
        <v>448</v>
      </c>
      <c r="BC10" s="43" t="s">
        <v>358</v>
      </c>
      <c r="BF10" s="43" t="s">
        <v>425</v>
      </c>
    </row>
    <row r="11" spans="1:72" x14ac:dyDescent="0.35">
      <c r="AI11" s="43"/>
      <c r="BB11" s="43" t="s">
        <v>328</v>
      </c>
      <c r="BC11" s="43" t="s">
        <v>359</v>
      </c>
      <c r="BF11" s="43" t="s">
        <v>536</v>
      </c>
    </row>
    <row r="12" spans="1:72" x14ac:dyDescent="0.35">
      <c r="BB12" s="43" t="s">
        <v>532</v>
      </c>
      <c r="BC12" s="43"/>
      <c r="BF12" s="43" t="s">
        <v>537</v>
      </c>
    </row>
    <row r="13" spans="1:72" x14ac:dyDescent="0.35">
      <c r="BB13" s="43" t="s">
        <v>329</v>
      </c>
      <c r="BC13" s="43"/>
      <c r="BF13" s="43" t="s">
        <v>538</v>
      </c>
    </row>
    <row r="14" spans="1:72" x14ac:dyDescent="0.35">
      <c r="BB14" s="43" t="s">
        <v>533</v>
      </c>
      <c r="BC14" s="43"/>
      <c r="BF14" s="43" t="s">
        <v>539</v>
      </c>
    </row>
    <row r="15" spans="1:72" x14ac:dyDescent="0.35">
      <c r="BB15" s="43" t="s">
        <v>535</v>
      </c>
      <c r="BC15" s="43"/>
      <c r="BF15" s="43" t="s">
        <v>540</v>
      </c>
    </row>
    <row r="16" spans="1:72" x14ac:dyDescent="0.35">
      <c r="BB16" s="43" t="s">
        <v>534</v>
      </c>
      <c r="BF16" s="43" t="s">
        <v>541</v>
      </c>
    </row>
    <row r="17" spans="1:58" x14ac:dyDescent="0.35">
      <c r="A17" s="60"/>
      <c r="BF17" s="43" t="s">
        <v>542</v>
      </c>
    </row>
    <row r="18" spans="1:58" x14ac:dyDescent="0.35">
      <c r="A18" s="60"/>
      <c r="BF18" s="43" t="s">
        <v>543</v>
      </c>
    </row>
    <row r="19" spans="1:58" x14ac:dyDescent="0.35">
      <c r="A19" s="60"/>
    </row>
    <row r="20" spans="1:58" x14ac:dyDescent="0.35">
      <c r="A20" s="60"/>
    </row>
    <row r="21" spans="1:58" x14ac:dyDescent="0.35">
      <c r="A21" s="60"/>
    </row>
    <row r="22" spans="1:58" x14ac:dyDescent="0.35">
      <c r="A22" s="60"/>
    </row>
    <row r="23" spans="1:58" x14ac:dyDescent="0.35">
      <c r="A23" s="60"/>
    </row>
    <row r="24" spans="1:58" x14ac:dyDescent="0.35">
      <c r="A24" s="60"/>
    </row>
    <row r="25" spans="1:58" x14ac:dyDescent="0.35">
      <c r="A25" s="60"/>
    </row>
    <row r="26" spans="1:58" x14ac:dyDescent="0.35">
      <c r="A26" s="60"/>
    </row>
    <row r="27" spans="1:58" x14ac:dyDescent="0.35">
      <c r="A27" s="60"/>
    </row>
    <row r="28" spans="1:58" x14ac:dyDescent="0.35">
      <c r="A28" s="60"/>
    </row>
    <row r="29" spans="1:58" x14ac:dyDescent="0.35">
      <c r="A29" s="60"/>
    </row>
    <row r="30" spans="1:58" x14ac:dyDescent="0.35">
      <c r="A30" s="60"/>
    </row>
    <row r="31" spans="1:58" x14ac:dyDescent="0.35">
      <c r="A31" s="60"/>
    </row>
    <row r="32" spans="1:58" x14ac:dyDescent="0.35">
      <c r="A32" s="60"/>
    </row>
    <row r="33" spans="1:1" x14ac:dyDescent="0.35">
      <c r="A33" s="60"/>
    </row>
    <row r="34" spans="1:1" x14ac:dyDescent="0.35">
      <c r="A34" s="60"/>
    </row>
    <row r="35" spans="1:1" x14ac:dyDescent="0.35">
      <c r="A35" s="60"/>
    </row>
    <row r="36" spans="1:1" x14ac:dyDescent="0.35">
      <c r="A36" s="60"/>
    </row>
    <row r="37" spans="1:1" x14ac:dyDescent="0.35">
      <c r="A37" s="60"/>
    </row>
    <row r="38" spans="1:1" x14ac:dyDescent="0.35">
      <c r="A38" s="60"/>
    </row>
    <row r="39" spans="1:1" x14ac:dyDescent="0.35">
      <c r="A39" s="60"/>
    </row>
    <row r="40" spans="1:1" x14ac:dyDescent="0.35">
      <c r="A40" s="60"/>
    </row>
    <row r="41" spans="1:1" x14ac:dyDescent="0.35">
      <c r="A41" s="60"/>
    </row>
    <row r="42" spans="1:1" x14ac:dyDescent="0.35">
      <c r="A42" s="60"/>
    </row>
    <row r="43" spans="1:1" x14ac:dyDescent="0.35">
      <c r="A43" s="60"/>
    </row>
    <row r="44" spans="1:1" x14ac:dyDescent="0.35">
      <c r="A44" s="60"/>
    </row>
    <row r="45" spans="1:1" x14ac:dyDescent="0.35">
      <c r="A45" s="60"/>
    </row>
    <row r="46" spans="1:1" x14ac:dyDescent="0.35">
      <c r="A46" s="60"/>
    </row>
    <row r="47" spans="1:1" x14ac:dyDescent="0.35">
      <c r="A47" s="60"/>
    </row>
    <row r="48" spans="1:1" x14ac:dyDescent="0.35">
      <c r="A48" s="60"/>
    </row>
    <row r="49" spans="1:1" x14ac:dyDescent="0.35">
      <c r="A49" s="60"/>
    </row>
    <row r="50" spans="1:1" x14ac:dyDescent="0.35">
      <c r="A50" s="60"/>
    </row>
    <row r="51" spans="1:1" x14ac:dyDescent="0.35">
      <c r="A51" s="60"/>
    </row>
    <row r="52" spans="1:1" x14ac:dyDescent="0.35">
      <c r="A52" s="60"/>
    </row>
    <row r="53" spans="1:1" x14ac:dyDescent="0.35">
      <c r="A53" s="60"/>
    </row>
    <row r="54" spans="1:1" x14ac:dyDescent="0.35">
      <c r="A54" s="60"/>
    </row>
    <row r="55" spans="1:1" x14ac:dyDescent="0.35">
      <c r="A55" s="60"/>
    </row>
    <row r="56" spans="1:1" x14ac:dyDescent="0.35">
      <c r="A56" s="60"/>
    </row>
    <row r="57" spans="1:1" x14ac:dyDescent="0.35">
      <c r="A57" s="60"/>
    </row>
    <row r="58" spans="1:1" x14ac:dyDescent="0.35">
      <c r="A58" s="60"/>
    </row>
    <row r="59" spans="1:1" x14ac:dyDescent="0.35">
      <c r="A59" s="60"/>
    </row>
    <row r="60" spans="1:1" x14ac:dyDescent="0.35">
      <c r="A60" s="60"/>
    </row>
    <row r="61" spans="1:1" x14ac:dyDescent="0.35">
      <c r="A61" s="60"/>
    </row>
    <row r="62" spans="1:1" x14ac:dyDescent="0.35">
      <c r="A62" s="60"/>
    </row>
    <row r="63" spans="1:1" x14ac:dyDescent="0.35">
      <c r="A63" s="60"/>
    </row>
    <row r="64" spans="1:1" x14ac:dyDescent="0.35">
      <c r="A64" s="60"/>
    </row>
    <row r="65" spans="1:1" x14ac:dyDescent="0.35">
      <c r="A65" s="60"/>
    </row>
    <row r="66" spans="1:1" x14ac:dyDescent="0.35">
      <c r="A66" s="60"/>
    </row>
    <row r="67" spans="1:1" x14ac:dyDescent="0.35">
      <c r="A67" s="60"/>
    </row>
    <row r="68" spans="1:1" x14ac:dyDescent="0.35">
      <c r="A68" s="60"/>
    </row>
    <row r="69" spans="1:1" x14ac:dyDescent="0.35">
      <c r="A69" s="43"/>
    </row>
    <row r="70" spans="1:1" x14ac:dyDescent="0.35">
      <c r="A70" s="43"/>
    </row>
    <row r="71" spans="1:1" x14ac:dyDescent="0.35">
      <c r="A71" s="43"/>
    </row>
    <row r="72" spans="1:1" x14ac:dyDescent="0.35">
      <c r="A72" s="60"/>
    </row>
    <row r="73" spans="1:1" x14ac:dyDescent="0.35">
      <c r="A73" s="60"/>
    </row>
    <row r="74" spans="1:1" x14ac:dyDescent="0.35">
      <c r="A74" s="43"/>
    </row>
    <row r="75" spans="1:1" x14ac:dyDescent="0.35">
      <c r="A75" s="60"/>
    </row>
    <row r="76" spans="1:1" x14ac:dyDescent="0.35">
      <c r="A76" s="60"/>
    </row>
    <row r="77" spans="1:1" x14ac:dyDescent="0.35">
      <c r="A77" s="60"/>
    </row>
    <row r="78" spans="1:1" x14ac:dyDescent="0.35">
      <c r="A78" s="60"/>
    </row>
    <row r="79" spans="1:1" x14ac:dyDescent="0.35">
      <c r="A79" s="60"/>
    </row>
    <row r="80" spans="1:1" x14ac:dyDescent="0.35">
      <c r="A80" s="60"/>
    </row>
    <row r="81" spans="1:1" x14ac:dyDescent="0.35">
      <c r="A81" s="60"/>
    </row>
    <row r="82" spans="1:1" x14ac:dyDescent="0.35">
      <c r="A82" s="60"/>
    </row>
    <row r="83" spans="1:1" x14ac:dyDescent="0.35">
      <c r="A83" s="60"/>
    </row>
    <row r="84" spans="1:1" x14ac:dyDescent="0.35">
      <c r="A84" s="60"/>
    </row>
    <row r="85" spans="1:1" x14ac:dyDescent="0.35">
      <c r="A85" s="60"/>
    </row>
    <row r="86" spans="1:1" x14ac:dyDescent="0.35">
      <c r="A86" s="60"/>
    </row>
    <row r="87" spans="1:1" x14ac:dyDescent="0.35">
      <c r="A87" s="60"/>
    </row>
    <row r="88" spans="1:1" x14ac:dyDescent="0.35">
      <c r="A88" s="6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1"/>
  <sheetViews>
    <sheetView workbookViewId="0">
      <selection activeCell="A4" sqref="A4:A80"/>
    </sheetView>
  </sheetViews>
  <sheetFormatPr defaultRowHeight="14.5" x14ac:dyDescent="0.35"/>
  <cols>
    <col min="2" max="2" width="28.54296875" customWidth="1"/>
    <col min="3" max="3" width="35.36328125" customWidth="1"/>
  </cols>
  <sheetData>
    <row r="1" spans="1:3" x14ac:dyDescent="0.35">
      <c r="A1" t="s">
        <v>0</v>
      </c>
    </row>
    <row r="2" spans="1:3" x14ac:dyDescent="0.35">
      <c r="A2" t="s">
        <v>65</v>
      </c>
    </row>
    <row r="3" spans="1:3" x14ac:dyDescent="0.35">
      <c r="C3" t="s">
        <v>511</v>
      </c>
    </row>
    <row r="4" spans="1:3" x14ac:dyDescent="0.35">
      <c r="A4" t="str">
        <f>'Indiv. Surfactant Key'!A3&amp;"_G215_3_2"</f>
        <v>TMN6_G215_3_2</v>
      </c>
      <c r="C4" t="s">
        <v>66</v>
      </c>
    </row>
    <row r="5" spans="1:3" x14ac:dyDescent="0.35">
      <c r="A5" t="str">
        <f>'Indiv. Surfactant Key'!A4&amp;"_G215_3_2"</f>
        <v>T15-S-7_G215_3_2</v>
      </c>
    </row>
    <row r="6" spans="1:3" x14ac:dyDescent="0.35">
      <c r="A6" t="str">
        <f>'Individual Surfactant Key'!A5&amp;"_G215_3_2"</f>
        <v>TrX45_G215_3_2</v>
      </c>
    </row>
    <row r="7" spans="1:3" x14ac:dyDescent="0.35">
      <c r="A7" t="str">
        <f>'Indiv. Surfactant Key'!A6&amp;"_G215_3_2"</f>
        <v>TrX114_G215_3_2</v>
      </c>
    </row>
    <row r="8" spans="1:3" x14ac:dyDescent="0.35">
      <c r="A8" t="str">
        <f>'Indiv. Surfactant Key'!A74&amp;"_G215_3_2"</f>
        <v>LinSucSulf_G215_3_2</v>
      </c>
    </row>
    <row r="9" spans="1:3" x14ac:dyDescent="0.35">
      <c r="A9" t="str">
        <f>'Indiv. Surfactant Key'!A7&amp;"_G215_3_2"</f>
        <v>T4_G215_3_2</v>
      </c>
    </row>
    <row r="10" spans="1:3" x14ac:dyDescent="0.35">
      <c r="A10" t="str">
        <f>'Indiv. Surfactant Key'!A75&amp;"_G215_3_2"</f>
        <v>TrCG-425_G215_3_2</v>
      </c>
    </row>
    <row r="11" spans="1:3" x14ac:dyDescent="0.35">
      <c r="A11" t="str">
        <f>'Indiv. Surfactant Key'!A8&amp;"_G215_3_2"</f>
        <v>AlfSodSalt_G215_3_2</v>
      </c>
    </row>
    <row r="12" spans="1:3" x14ac:dyDescent="0.35">
      <c r="A12" t="str">
        <f>'Indiv. Surfactant Key'!A76&amp;"_G215_3_2"</f>
        <v>AlphaFoam_G215_3_2</v>
      </c>
    </row>
    <row r="13" spans="1:3" x14ac:dyDescent="0.35">
      <c r="A13" t="str">
        <f>'Indiv. Surfactant Key'!A9&amp;"_G215_3_2"</f>
        <v>Mys_G215_3_2</v>
      </c>
    </row>
    <row r="14" spans="1:3" x14ac:dyDescent="0.35">
      <c r="A14" t="str">
        <f>'Indiv. Surfactant Key'!A77&amp;"_G215_3_2"</f>
        <v>D5575_G215_3_2</v>
      </c>
    </row>
    <row r="15" spans="1:3" x14ac:dyDescent="0.35">
      <c r="A15" t="str">
        <f>'Indiv. Surfactant Key'!A78&amp;"_G215_3_2"</f>
        <v>D5244_G215_3_2</v>
      </c>
    </row>
    <row r="16" spans="1:3" x14ac:dyDescent="0.35">
      <c r="A16" t="str">
        <f>'Indiv. Surfactant Key'!A79&amp;"_G215_3_2"</f>
        <v>D193_G215_3_2</v>
      </c>
    </row>
    <row r="17" spans="1:1" x14ac:dyDescent="0.35">
      <c r="A17" t="str">
        <f>'Indiv. Surfactant Key'!A80&amp;"_G215_3_2"</f>
        <v>D501W_G215_3_2</v>
      </c>
    </row>
    <row r="18" spans="1:1" x14ac:dyDescent="0.35">
      <c r="A18" t="str">
        <f>'Indiv. Surfactant Key'!A81&amp;"_G215_3_2"</f>
        <v>D198_G215_3_2</v>
      </c>
    </row>
    <row r="19" spans="1:1" x14ac:dyDescent="0.35">
      <c r="A19" t="str">
        <f>'Indiv. Surfactant Key'!A82&amp;"_G215_3_2"</f>
        <v>D5604_G215_3_2</v>
      </c>
    </row>
    <row r="20" spans="1:1" x14ac:dyDescent="0.35">
      <c r="A20" t="str">
        <f>'Indiv. Surfactant Key'!A10&amp;"_G215_3_2"</f>
        <v>D502W_G215_3_2</v>
      </c>
    </row>
    <row r="21" spans="1:1" x14ac:dyDescent="0.35">
      <c r="A21" t="str">
        <f>'Indiv. Surfactant Key'!A83&amp;"_G215_3_2"</f>
        <v>D5098_G215_3_2</v>
      </c>
    </row>
    <row r="22" spans="1:1" x14ac:dyDescent="0.35">
      <c r="A22" t="str">
        <f>'Indiv. Surfactant Key'!A11&amp;"_G215_3_2"</f>
        <v>SDS_G215_3_2</v>
      </c>
    </row>
    <row r="23" spans="1:1" x14ac:dyDescent="0.35">
      <c r="A23" t="str">
        <f>'Indiv. Surfactant Key'!A12&amp;"_G215_3_2"</f>
        <v>TrX100_G215_3_2</v>
      </c>
    </row>
    <row r="24" spans="1:1" x14ac:dyDescent="0.35">
      <c r="A24" t="str">
        <f>'Indiv. Surfactant Key'!A84&amp;"_G215_3_2"</f>
        <v>Silphos_G215_3_2</v>
      </c>
    </row>
    <row r="25" spans="1:1" x14ac:dyDescent="0.35">
      <c r="A25" t="str">
        <f>'Indiv. Surfactant Key'!A15&amp;"_G215_3_2"</f>
        <v>L77_G215_3_2</v>
      </c>
    </row>
    <row r="26" spans="1:1" x14ac:dyDescent="0.35">
      <c r="A26" t="str">
        <f>'Indiv. Surfactant Key'!A10&amp;"_TrX100_3_2"</f>
        <v>D502W_TrX100_3_2</v>
      </c>
    </row>
    <row r="27" spans="1:1" x14ac:dyDescent="0.35">
      <c r="A27" t="str">
        <f>'Indiv. Surfactant Key'!A86&amp;"_G215_3_2"</f>
        <v>D67_G215_3_2</v>
      </c>
    </row>
    <row r="28" spans="1:1" x14ac:dyDescent="0.35">
      <c r="A28" t="str">
        <f>'Indiv. Surfactant Key'!A10&amp;"_G215_2_3"</f>
        <v>D502W_G215_2_3</v>
      </c>
    </row>
    <row r="29" spans="1:1" x14ac:dyDescent="0.35">
      <c r="A29" t="str">
        <f>'Indiv. Surfactant Key'!A10&amp;"_G225_2_3"</f>
        <v>D502W_G225_2_3</v>
      </c>
    </row>
    <row r="30" spans="1:1" x14ac:dyDescent="0.35">
      <c r="A30" t="str">
        <f>'Indiv. Surfactant Key'!A10&amp;"_G600_2_3"</f>
        <v>D502W_G600_2_3</v>
      </c>
    </row>
    <row r="31" spans="1:1" x14ac:dyDescent="0.35">
      <c r="A31" t="str">
        <f>'Indiv. Surfactant Key'!A34&amp;"_G215_3_2"</f>
        <v>Gel6492.6_G215_3_2</v>
      </c>
    </row>
    <row r="32" spans="1:1" x14ac:dyDescent="0.35">
      <c r="A32" t="str">
        <f>'Indiv. Surfactant Key'!A35&amp;"_G215_3_2"</f>
        <v>T15-S-9_G215_3_2</v>
      </c>
    </row>
    <row r="33" spans="1:10" x14ac:dyDescent="0.35">
      <c r="A33" t="str">
        <f>'Indiv. Surfactant Key'!A36&amp;"_G215_3_2"</f>
        <v>T15-S-12_G215_3_2</v>
      </c>
    </row>
    <row r="34" spans="1:10" x14ac:dyDescent="0.35">
      <c r="A34" t="str">
        <f>'Indiv. Surfactant Key'!A15&amp;"_G225_2_3"</f>
        <v>L77_G225_2_3</v>
      </c>
    </row>
    <row r="35" spans="1:10" x14ac:dyDescent="0.35">
      <c r="A35" t="str">
        <f>'Indiv. Surfactant Key'!A86&amp;"_G225_2_3"</f>
        <v>D67_G225_2_3</v>
      </c>
    </row>
    <row r="36" spans="1:10" x14ac:dyDescent="0.35">
      <c r="A36" t="str">
        <f>'Indiv. Surfactant Key'!A10&amp;"_"&amp;'Indiv. Surfactant Key'!A45&amp;"_1_1"</f>
        <v>D502W_C6G2_1_1</v>
      </c>
      <c r="J36" s="1"/>
    </row>
    <row r="37" spans="1:10" x14ac:dyDescent="0.35">
      <c r="A37" t="str">
        <f>'Indiv. Surfactant Key'!A30&amp;"_G215_3_2"</f>
        <v>Gel6185_G215_3_2</v>
      </c>
    </row>
    <row r="38" spans="1:10" ht="31.25" customHeight="1" x14ac:dyDescent="0.35">
      <c r="A38" s="3" t="str">
        <f>'Indiv. Surfactant Key'!A14&amp;"_DGBE"</f>
        <v>Cap_DGBE</v>
      </c>
      <c r="C38" s="1" t="s">
        <v>45</v>
      </c>
      <c r="D38" s="1"/>
      <c r="E38" s="3"/>
      <c r="F38" s="3"/>
      <c r="G38" s="4"/>
    </row>
    <row r="39" spans="1:10" ht="33" customHeight="1" x14ac:dyDescent="0.35">
      <c r="A39" s="3" t="str">
        <f>'Indiv. Surfactant Key'!A32&amp;"_DGBE"</f>
        <v>G225_DGBE</v>
      </c>
      <c r="C39" s="1" t="s">
        <v>54</v>
      </c>
    </row>
    <row r="40" spans="1:10" ht="31.5" customHeight="1" x14ac:dyDescent="0.35">
      <c r="A40" s="3" t="str">
        <f>'Indiv. Surfactant Key'!A33&amp;"_DGBE"</f>
        <v>G600_DGBE</v>
      </c>
      <c r="B40" s="60"/>
      <c r="C40" s="1" t="s">
        <v>55</v>
      </c>
    </row>
    <row r="41" spans="1:10" ht="32.15" customHeight="1" x14ac:dyDescent="0.35">
      <c r="A41" s="3" t="str">
        <f>'Indiv. Surfactant Key'!A31&amp;"_DGBE"</f>
        <v>G215_DGBE</v>
      </c>
      <c r="C41" s="1" t="s">
        <v>56</v>
      </c>
    </row>
    <row r="42" spans="1:10" ht="35.75" customHeight="1" x14ac:dyDescent="0.35">
      <c r="A42" t="str">
        <f>'Indiv. Surfactant Key'!A30&amp;"_DGBE"</f>
        <v>Gel6185_DGBE</v>
      </c>
      <c r="C42" s="1" t="s">
        <v>57</v>
      </c>
    </row>
    <row r="43" spans="1:10" x14ac:dyDescent="0.35">
      <c r="A43" t="str">
        <f>'Indiv. Surfactant Key'!A53&amp;"_G225_2_3"</f>
        <v>CL_MD2086-97_G225_2_3</v>
      </c>
    </row>
    <row r="44" spans="1:10" x14ac:dyDescent="0.35">
      <c r="A44" t="str">
        <f>'Indiv. Surfactant Key'!A54&amp;"_G225_2_3"</f>
        <v>CL_MD2012-16_G225_2_3</v>
      </c>
    </row>
    <row r="45" spans="1:10" x14ac:dyDescent="0.35">
      <c r="A45" t="str">
        <f>'Indiv. Surfactant Key'!A55&amp;"_G225_2_3"</f>
        <v>NRL_CB-1-123_G225_2_3</v>
      </c>
    </row>
    <row r="46" spans="1:10" x14ac:dyDescent="0.35">
      <c r="A46" t="str">
        <f>'Indiv. Surfactant Key'!A59&amp;"_G225_2_3"</f>
        <v>CL_MD2102-54_G225_2_3</v>
      </c>
    </row>
    <row r="47" spans="1:10" x14ac:dyDescent="0.35">
      <c r="A47" s="42" t="str">
        <f>'Indiv. Surfactant Key'!A64&amp;"_G225_2_3"</f>
        <v>NRL_LBII43_G225_2_3</v>
      </c>
    </row>
    <row r="48" spans="1:10" x14ac:dyDescent="0.35">
      <c r="A48" s="42" t="str">
        <f>'Indiv. Surfactant Key'!A65&amp;"_G225_2_3"</f>
        <v>NRL_CB_DTBTS_SB_G225_2_3</v>
      </c>
    </row>
    <row r="49" spans="1:1" x14ac:dyDescent="0.35">
      <c r="A49" s="42" t="str">
        <f>'Indiv. Surfactant Key'!A67&amp;"_G225_2_3"</f>
        <v>NRL_N10478-233_G225_2_3</v>
      </c>
    </row>
    <row r="50" spans="1:1" x14ac:dyDescent="0.35">
      <c r="A50" t="str">
        <f>'Indiv. Surfactant Key'!A14&amp;"_"&amp;'Indiv. Surfactant Key'!A12&amp;"_3_2"</f>
        <v>Cap_TrX100_3_2</v>
      </c>
    </row>
    <row r="51" spans="1:1" x14ac:dyDescent="0.35">
      <c r="A51" s="42" t="str">
        <f>'Indiv. Surfactant Key'!A14&amp;"_G225_3_2"</f>
        <v>Cap_G225_3_2</v>
      </c>
    </row>
    <row r="52" spans="1:1" x14ac:dyDescent="0.35">
      <c r="A52" s="42" t="str">
        <f>'Indiv. Surfactant Key'!A57&amp;"_G225_2_3"</f>
        <v>CL_MD2062-57_G225_2_3</v>
      </c>
    </row>
    <row r="53" spans="1:1" x14ac:dyDescent="0.35">
      <c r="A53" s="42" t="str">
        <f>'Indiv. Surfactant Key'!A29&amp;"_G225_2_3"</f>
        <v>NRL_N10477-05_G225_2_3</v>
      </c>
    </row>
    <row r="54" spans="1:1" x14ac:dyDescent="0.35">
      <c r="A54" s="42" t="str">
        <f>'Indiv. Surfactant Key'!A10&amp;"_"&amp;'Individual Surfactant Key'!A84&amp;"_1_1"</f>
        <v>D502W_C7G1_1_1</v>
      </c>
    </row>
    <row r="55" spans="1:1" x14ac:dyDescent="0.35">
      <c r="A55" s="42" t="str">
        <f>'Individual Surfactant Key'!A19&amp;"_"&amp;'Indiv. Surfactant Key'!A48&amp;"_1_1"</f>
        <v>D502W_C7G1_1_1</v>
      </c>
    </row>
    <row r="56" spans="1:1" x14ac:dyDescent="0.35">
      <c r="A56" s="42" t="str">
        <f>'Indiv. Surfactant Key'!A10&amp;"_"&amp;'Indiv. Surfactant Key'!A41&amp;"_1_1"</f>
        <v>D502W_C8G1_1_1</v>
      </c>
    </row>
    <row r="57" spans="1:1" x14ac:dyDescent="0.35">
      <c r="A57" s="42" t="str">
        <f>'Indiv. Surfactant Key'!A10&amp;"_"&amp;'Indiv. Surfactant Key'!A46&amp;"_1_1"</f>
        <v>D502W_C9G2_1_1</v>
      </c>
    </row>
    <row r="58" spans="1:1" x14ac:dyDescent="0.35">
      <c r="A58" s="42" t="str">
        <f>'Indiv. Surfactant Key'!A10&amp;"_"&amp;'Indiv. Surfactant Key'!A39&amp;"_1_1"</f>
        <v>D502W_C10G2_1_1</v>
      </c>
    </row>
    <row r="59" spans="1:1" x14ac:dyDescent="0.35">
      <c r="A59" s="42" t="str">
        <f>'Indiv. Surfactant Key'!A10&amp;"_"&amp;'Indiv. Surfactant Key'!A40&amp;"_1_1"</f>
        <v>D502W_C12G2_1_1</v>
      </c>
    </row>
    <row r="60" spans="1:1" x14ac:dyDescent="0.35">
      <c r="A60" s="42" t="str">
        <f>'Indiv. Surfactant Key'!A10&amp;"_"&amp;'Indiv. Surfactant Key'!A38&amp;"_1_1"</f>
        <v>D502W_C8G2_1_1</v>
      </c>
    </row>
    <row r="61" spans="1:1" x14ac:dyDescent="0.35">
      <c r="A61" s="42" t="str">
        <f>'Indiv. Surfactant Key'!A10&amp;"_"&amp;'Indiv. Surfactant Key'!A44&amp;"_1_1"</f>
        <v>D502W_iC8G2_1_1</v>
      </c>
    </row>
    <row r="62" spans="1:1" x14ac:dyDescent="0.35">
      <c r="A62" s="42" t="str">
        <f>'Indiv. Surfactant Key'!A10&amp;"_"&amp;'Indiv. Surfactant Key'!A43&amp;"_1_1"</f>
        <v>D502W_Cymal_1_1</v>
      </c>
    </row>
    <row r="63" spans="1:1" x14ac:dyDescent="0.35">
      <c r="A63" s="42" t="str">
        <f>'Indiv. Surfactant Key'!A10&amp;"_"&amp;'Indiv. Surfactant Key'!A42&amp;"_1_1"</f>
        <v>D502W_C8SG2_1_1</v>
      </c>
    </row>
    <row r="64" spans="1:1" x14ac:dyDescent="0.35">
      <c r="A64" t="str">
        <f>'Indiv. Surfactant Key'!A69&amp;"_G225_2_3"</f>
        <v>CL_MD2102-90_G225_2_3</v>
      </c>
    </row>
    <row r="65" spans="1:1" x14ac:dyDescent="0.35">
      <c r="A65" s="60" t="str">
        <f>'Indiv. Surfactant Key'!A71&amp;"_G225_2_3"</f>
        <v>CL_MD2102-118_G225_2_3</v>
      </c>
    </row>
    <row r="66" spans="1:1" x14ac:dyDescent="0.35">
      <c r="A66" s="42" t="str">
        <f>'Indiv. Surfactant Key'!A14&amp;"_"&amp;'Indiv. Surfactant Key'!A51&amp;"_3_2"</f>
        <v>Cap_TrGR-5M_3_2</v>
      </c>
    </row>
    <row r="67" spans="1:1" x14ac:dyDescent="0.35">
      <c r="A67" s="42" t="str">
        <f>'Indiv. Surfactant Key'!A60&amp;"_G225_1_5"</f>
        <v>NRL_N10478-198_G225_1_5</v>
      </c>
    </row>
    <row r="68" spans="1:1" x14ac:dyDescent="0.35">
      <c r="A68" s="42" t="str">
        <f>'Indiv. Surfactant Key'!A22&amp;"_G225_2_3"</f>
        <v>NRL_N10358-174_G225_2_3</v>
      </c>
    </row>
    <row r="69" spans="1:1" x14ac:dyDescent="0.35">
      <c r="A69" s="42" t="str">
        <f>'Indiv. Surfactant Key'!A21&amp;"_G225_2_3"</f>
        <v>NRL_N10358-176_G225_2_3</v>
      </c>
    </row>
    <row r="70" spans="1:1" x14ac:dyDescent="0.35">
      <c r="A70" s="42" t="str">
        <f>'Indiv. Surfactant Key'!A24&amp;"_G225_2_3"</f>
        <v>NRL_N10477-01_G225_2_3</v>
      </c>
    </row>
    <row r="71" spans="1:1" x14ac:dyDescent="0.35">
      <c r="A71" s="42" t="str">
        <f>'Indiv. Surfactant Key'!A28&amp;"_G225_2_3"</f>
        <v>NRL_N10477-03_G225_2_3</v>
      </c>
    </row>
    <row r="72" spans="1:1" x14ac:dyDescent="0.35">
      <c r="A72" s="42" t="str">
        <f>'Indiv. Surfactant Key'!A26&amp;"_G225_2_3"</f>
        <v>NRL_N10477-09_G225_2_3</v>
      </c>
    </row>
    <row r="73" spans="1:1" x14ac:dyDescent="0.35">
      <c r="A73" s="42" t="str">
        <f>'Indiv. Surfactant Key'!A27&amp;"_G225_2_3"</f>
        <v>NRL_N10477-07_G225_2_3</v>
      </c>
    </row>
    <row r="74" spans="1:1" x14ac:dyDescent="0.35">
      <c r="A74" s="42" t="str">
        <f>'Indiv. Surfactant Key'!A20&amp;"_G225_2_3"</f>
        <v>NRL_N10477-12_G225_2_3</v>
      </c>
    </row>
    <row r="75" spans="1:1" x14ac:dyDescent="0.35">
      <c r="A75" s="42" t="str">
        <f>'Indiv. Surfactant Key'!A65&amp;"_G225_1_15"</f>
        <v>NRL_CB_DTBTS_SB_G225_1_15</v>
      </c>
    </row>
    <row r="76" spans="1:1" x14ac:dyDescent="0.35">
      <c r="A76" s="43" t="str">
        <f>'Individual Surfactant Key'!A130&amp;"_G225_2_3"</f>
        <v>CL_MD2102-112_G225_2_3</v>
      </c>
    </row>
    <row r="77" spans="1:1" x14ac:dyDescent="0.35">
      <c r="A77" s="42" t="str">
        <f>'Indiv. Surfactant Key'!A50&amp;"_G225_1_4.6"</f>
        <v>CL_MD2062-124_G225_1_4.6</v>
      </c>
    </row>
    <row r="78" spans="1:1" x14ac:dyDescent="0.35">
      <c r="A78" s="42" t="str">
        <f>'Indiv. Surfactant Key'!A56&amp;"_G225_1_6"</f>
        <v>NRL_N10477-189_G225_1_6</v>
      </c>
    </row>
    <row r="79" spans="1:1" x14ac:dyDescent="0.35">
      <c r="A79" s="42" t="str">
        <f>'Indiv. Surfactant Key'!A73&amp;"_G225_1_2.6"</f>
        <v>NRL_N10478-81_G225_1_2.6</v>
      </c>
    </row>
    <row r="80" spans="1:1" x14ac:dyDescent="0.35">
      <c r="A80" s="42" t="str">
        <f>'Indiv. Surfactant Key'!A72&amp;"_G225_2_3"</f>
        <v>NRL_CB-1-192_G225_2_3</v>
      </c>
    </row>
    <row r="81" spans="1:1" x14ac:dyDescent="0.35">
      <c r="A81" s="4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98"/>
  <sheetViews>
    <sheetView topLeftCell="A181" zoomScale="160" zoomScaleNormal="160" workbookViewId="0">
      <selection activeCell="D192" sqref="D192"/>
    </sheetView>
  </sheetViews>
  <sheetFormatPr defaultRowHeight="14.5" x14ac:dyDescent="0.35"/>
  <cols>
    <col min="1" max="1" width="38.36328125" customWidth="1"/>
  </cols>
  <sheetData>
    <row r="1" spans="1:1" x14ac:dyDescent="0.35">
      <c r="A1" t="s">
        <v>77</v>
      </c>
    </row>
    <row r="2" spans="1:1" x14ac:dyDescent="0.35">
      <c r="A2" t="s">
        <v>78</v>
      </c>
    </row>
    <row r="4" spans="1:1" x14ac:dyDescent="0.35">
      <c r="A4" t="str">
        <f>'Indiv. Surfactant Key'!A14&amp;"_"&amp;'Indiv. Surfactant Key'!A12&amp;"_DGBE_0.3_0.2_0.5"</f>
        <v>Cap_TrX100_DGBE_0.3_0.2_0.5</v>
      </c>
    </row>
    <row r="5" spans="1:1" x14ac:dyDescent="0.35">
      <c r="A5" s="13" t="str">
        <f>'Indiv. Surfactant Key'!A12&amp;"_DGBE_0.5_0.5"</f>
        <v>TrX100_DGBE_0.5_0.5</v>
      </c>
    </row>
    <row r="6" spans="1:1" x14ac:dyDescent="0.35">
      <c r="A6" t="str">
        <f>'Indiv. Surfactant Key'!A14&amp;"_DGBE_0.5_0.5"</f>
        <v>Cap_DGBE_0.5_0.5</v>
      </c>
    </row>
    <row r="7" spans="1:1" x14ac:dyDescent="0.35">
      <c r="A7" t="s">
        <v>79</v>
      </c>
    </row>
    <row r="8" spans="1:1" x14ac:dyDescent="0.35">
      <c r="A8" t="str">
        <f>'Indiv. Surfactant Key'!A14&amp;"_G215_DGBE_0.3_0.2_0.5"</f>
        <v>Cap_G215_DGBE_0.3_0.2_0.5</v>
      </c>
    </row>
    <row r="9" spans="1:1" x14ac:dyDescent="0.35">
      <c r="A9" t="str">
        <f>'Indiv. Surfactant Key'!A14&amp;"_"&amp;'Indiv. Surfactant Key'!A12&amp;"_DGBE_0.15_0.05_0.5"</f>
        <v>Cap_TrX100_DGBE_0.15_0.05_0.5</v>
      </c>
    </row>
    <row r="10" spans="1:1" x14ac:dyDescent="0.35">
      <c r="A10" t="str">
        <f>'Indiv. Surfactant Key'!A87&amp;"_3"</f>
        <v>Buckeye 3%_3</v>
      </c>
    </row>
    <row r="11" spans="1:1" x14ac:dyDescent="0.35">
      <c r="A11" t="str">
        <f>'Indiv. Surfactant Key'!A88&amp;"_6"</f>
        <v>RF6_6</v>
      </c>
    </row>
    <row r="12" spans="1:1" x14ac:dyDescent="0.35">
      <c r="A12" t="str">
        <f>'Indiv. Surfactant Key'!A11&amp;"_1"</f>
        <v>SDS_1</v>
      </c>
    </row>
    <row r="13" spans="1:1" x14ac:dyDescent="0.35">
      <c r="A13" t="str">
        <f>'Indiv. Surfactant Key'!A14&amp;"_"&amp;'Indiv. Surfactant Key'!A12&amp;"_DGBE_0.6_0.2_0.5"</f>
        <v>Cap_TrX100_DGBE_0.6_0.2_0.5</v>
      </c>
    </row>
    <row r="14" spans="1:1" x14ac:dyDescent="0.35">
      <c r="A14" t="str">
        <f>'Indiv. Surfactant Key'!A14&amp;"_"&amp;'Indiv. Surfactant Key'!A12&amp;"_DGBE_0.6_0.4_0.5"</f>
        <v>Cap_TrX100_DGBE_0.6_0.4_0.5</v>
      </c>
    </row>
    <row r="15" spans="1:1" x14ac:dyDescent="0.35">
      <c r="A15" t="str">
        <f>'Indiv. Surfactant Key'!A14&amp;"_"&amp;'Indiv. Surfactant Key'!A12&amp;"_DGBE_1.2_0.8_0.5"</f>
        <v>Cap_TrX100_DGBE_1.2_0.8_0.5</v>
      </c>
    </row>
    <row r="16" spans="1:1" x14ac:dyDescent="0.35">
      <c r="A16" t="str">
        <f>'Indiv. Surfactant Key'!A14&amp;"_"&amp;'Indiv. Surfactant Key'!A12&amp;"_DGBE_0.3_0.2_1"</f>
        <v>Cap_TrX100_DGBE_0.3_0.2_1</v>
      </c>
    </row>
    <row r="17" spans="1:1" x14ac:dyDescent="0.35">
      <c r="A17" t="str">
        <f>'Indiv. Surfactant Key'!A85&amp;"_G215_DGBE_0.14_0.09_0.5"</f>
        <v>Silsurf_G215_DGBE_0.14_0.09_0.5</v>
      </c>
    </row>
    <row r="18" spans="1:1" x14ac:dyDescent="0.35">
      <c r="A18" t="str">
        <f>'Indiv. Surfactant Key'!A84&amp;"_G215_DGBE_0.3_0.2_0.5"</f>
        <v>Silphos_G215_DGBE_0.3_0.2_0.5</v>
      </c>
    </row>
    <row r="19" spans="1:1" x14ac:dyDescent="0.35">
      <c r="A19" t="str">
        <f>'Indiv. Surfactant Key'!A3&amp;"_G215_DGBE_0.3_0.2_0.5"</f>
        <v>TMN6_G215_DGBE_0.3_0.2_0.5</v>
      </c>
    </row>
    <row r="20" spans="1:1" x14ac:dyDescent="0.35">
      <c r="A20" t="str">
        <f>'Indiv. Surfactant Key'!A4&amp;"_G215_DGBE_0.03_0.02_0.5"</f>
        <v>T15-S-7_G215_DGBE_0.03_0.02_0.5</v>
      </c>
    </row>
    <row r="21" spans="1:1" s="11" customFormat="1" x14ac:dyDescent="0.35">
      <c r="A21" t="str">
        <f>'Indiv. Surfactant Key'!A5&amp;"_G215_DGBE_0.022_0.015_0.5"</f>
        <v>TrX45_G215_DGBE_0.022_0.015_0.5</v>
      </c>
    </row>
    <row r="22" spans="1:1" x14ac:dyDescent="0.35">
      <c r="A22" t="str">
        <f>'Indiv. Surfactant Key'!A6&amp;"_G215_DGBE_0.04_0.027_0.5"</f>
        <v>TrX114_G215_DGBE_0.04_0.027_0.5</v>
      </c>
    </row>
    <row r="23" spans="1:1" x14ac:dyDescent="0.35">
      <c r="A23" t="str">
        <f>'Indiv. Surfactant Key'!A74&amp;"_G215_DGBE_0.24_0.16_0.5"</f>
        <v>LinSucSulf_G215_DGBE_0.24_0.16_0.5</v>
      </c>
    </row>
    <row r="24" spans="1:1" x14ac:dyDescent="0.35">
      <c r="A24" t="str">
        <f>'Indiv. Surfactant Key'!A7&amp;"_G215_DGBE_0.56_0.37_0.5"</f>
        <v>T4_G215_DGBE_0.56_0.37_0.5</v>
      </c>
    </row>
    <row r="25" spans="1:1" x14ac:dyDescent="0.35">
      <c r="A25" t="str">
        <f>'Indiv. Surfactant Key'!A75&amp;"_G215_DGBE_0.13_0.09_0.5"</f>
        <v>TrCG-425_G215_DGBE_0.13_0.09_0.5</v>
      </c>
    </row>
    <row r="26" spans="1:1" x14ac:dyDescent="0.35">
      <c r="A26" t="str">
        <f>'Indiv. Surfactant Key'!A8&amp;"_G215_DGBE_0.56_0.37_0.5"</f>
        <v>AlfSodSalt_G215_DGBE_0.56_0.37_0.5</v>
      </c>
    </row>
    <row r="27" spans="1:1" x14ac:dyDescent="0.35">
      <c r="A27" t="str">
        <f>'Indiv. Surfactant Key'!A76&amp;"_G215_DGBE_0.52_0.35_0.5"</f>
        <v>AlphaFoam_G215_DGBE_0.52_0.35_0.5</v>
      </c>
    </row>
    <row r="28" spans="1:1" x14ac:dyDescent="0.35">
      <c r="A28" t="str">
        <f>'Indiv. Surfactant Key'!A9&amp;"_G215_DGBE_0.068_0.045_0.5"</f>
        <v>Mys_G215_DGBE_0.068_0.045_0.5</v>
      </c>
    </row>
    <row r="29" spans="1:1" x14ac:dyDescent="0.35">
      <c r="A29" t="str">
        <f>'Indiv. Surfactant Key'!A77&amp;"_G215_DGBE_0.3_0.2_0.5"</f>
        <v>D5575_G215_DGBE_0.3_0.2_0.5</v>
      </c>
    </row>
    <row r="30" spans="1:1" x14ac:dyDescent="0.35">
      <c r="A30" t="str">
        <f>'Indiv. Surfactant Key'!A78&amp;"_G215_DGBE_0.3_0.2_0.5"</f>
        <v>D5244_G215_DGBE_0.3_0.2_0.5</v>
      </c>
    </row>
    <row r="31" spans="1:1" x14ac:dyDescent="0.35">
      <c r="A31" t="str">
        <f>'Indiv. Surfactant Key'!A79&amp;"_G215_DGBE_0.12_0.08_0.5"</f>
        <v>D193_G215_DGBE_0.12_0.08_0.5</v>
      </c>
    </row>
    <row r="32" spans="1:1" x14ac:dyDescent="0.35">
      <c r="A32" t="str">
        <f>'Indiv. Surfactant Key'!A80&amp;"_G215_DGBE_0.04_0.027_0.5"</f>
        <v>D501W_G215_DGBE_0.04_0.027_0.5</v>
      </c>
    </row>
    <row r="33" spans="1:1" x14ac:dyDescent="0.35">
      <c r="A33" t="str">
        <f>'Indiv. Surfactant Key'!A10&amp;"_G215_DGBE_0.075_0.05_0.5"</f>
        <v>D502W_G215_DGBE_0.075_0.05_0.5</v>
      </c>
    </row>
    <row r="34" spans="1:1" x14ac:dyDescent="0.35">
      <c r="A34" t="str">
        <f>'Indiv. Surfactant Key'!A83&amp;"_G215_DGBE_0.14_0.09_0.5"</f>
        <v>D5098_G215_DGBE_0.14_0.09_0.5</v>
      </c>
    </row>
    <row r="35" spans="1:1" x14ac:dyDescent="0.35">
      <c r="A35" t="str">
        <f>'Indiv. Surfactant Key'!A15&amp;"_G215_DGBE_0.11_0.08_0.5"</f>
        <v>L77_G215_DGBE_0.11_0.08_0.5</v>
      </c>
    </row>
    <row r="36" spans="1:1" x14ac:dyDescent="0.35">
      <c r="A36" t="str">
        <f>'Indiv. Surfactant Key'!A86&amp;"_G215_DGBE_0.06_0.04_0.5"</f>
        <v>D67_G215_DGBE_0.06_0.04_0.5</v>
      </c>
    </row>
    <row r="37" spans="1:1" x14ac:dyDescent="0.35">
      <c r="A37" t="str">
        <f>'Indiv. Surfactant Key'!A10&amp;"_G225_DGBE_0.2_0.3_0.5"</f>
        <v>D502W_G225_DGBE_0.2_0.3_0.5</v>
      </c>
    </row>
    <row r="38" spans="1:1" x14ac:dyDescent="0.35">
      <c r="A38" t="str">
        <f>'Indiv. Surfactant Key'!A10&amp;"_G225_0.2_0.3"</f>
        <v>D502W_G225_0.2_0.3</v>
      </c>
    </row>
    <row r="39" spans="1:1" s="11" customFormat="1" x14ac:dyDescent="0.35">
      <c r="A39" t="str">
        <f>'Indiv. Surfactant Key'!A21&amp;"_G225_DGBE_0.2_0.3_0.5"</f>
        <v>NRL_N10358-176_G225_DGBE_0.2_0.3_0.5</v>
      </c>
    </row>
    <row r="40" spans="1:1" s="11" customFormat="1" x14ac:dyDescent="0.35">
      <c r="A40" t="str">
        <f>'Indiv. Surfactant Key'!A22&amp;"_G225_DGBE_0.2_0.3_0.5"</f>
        <v>NRL_N10358-174_G225_DGBE_0.2_0.3_0.5</v>
      </c>
    </row>
    <row r="41" spans="1:1" x14ac:dyDescent="0.35">
      <c r="A41" t="s">
        <v>80</v>
      </c>
    </row>
    <row r="42" spans="1:1" x14ac:dyDescent="0.35">
      <c r="A42" t="str">
        <f>'Indiv. Surfactant Key'!A80&amp;"_0.5"</f>
        <v>D501W_0.5</v>
      </c>
    </row>
    <row r="43" spans="1:1" x14ac:dyDescent="0.35">
      <c r="A43" t="str">
        <f>'Indiv. Surfactant Key'!A86&amp;"_0.5"</f>
        <v>D67_0.5</v>
      </c>
    </row>
    <row r="44" spans="1:1" x14ac:dyDescent="0.35">
      <c r="A44" t="str">
        <f>'Indiv. Surfactant Key'!A14&amp;"_0.5"</f>
        <v>Cap_0.5</v>
      </c>
    </row>
    <row r="45" spans="1:1" x14ac:dyDescent="0.35">
      <c r="A45" t="str">
        <f>'Indiv. Surfactant Key'!A30&amp;"_G215_DGBE_0.06_0.04_0.5"</f>
        <v>Gel6185_G215_DGBE_0.06_0.04_0.5</v>
      </c>
    </row>
    <row r="46" spans="1:1" x14ac:dyDescent="0.35">
      <c r="A46" t="str">
        <f>'Indiv. Surfactant Key'!A95&amp;"_G225_DGBE_0.2_0.3_0.5"</f>
        <v>ComSor181360_G225_DGBE_0.2_0.3_0.5</v>
      </c>
    </row>
    <row r="47" spans="1:1" x14ac:dyDescent="0.35">
      <c r="A47" t="str">
        <f>'Indiv. Surfactant Key'!A95&amp;"_DGBE_0.5_0.5"</f>
        <v>ComSor181360_DGBE_0.5_0.5</v>
      </c>
    </row>
    <row r="48" spans="1:1" x14ac:dyDescent="0.35">
      <c r="A48" t="str">
        <f>'Indiv. Surfactant Key'!A10&amp;"_"&amp;'Indiv. Surfactant Key'!A38&amp;"_DGBE_0.2_0.19_0.5"</f>
        <v>D502W_C8G2_DGBE_0.2_0.19_0.5</v>
      </c>
    </row>
    <row r="49" spans="1:1" x14ac:dyDescent="0.35">
      <c r="A49" s="60" t="str">
        <f>'Indiv. Surfactant Key'!A10&amp;"_"&amp;'Indiv. Surfactant Key'!A39&amp;"_DGBE_0.2_0.19_0.5"</f>
        <v>D502W_C10G2_DGBE_0.2_0.19_0.5</v>
      </c>
    </row>
    <row r="50" spans="1:1" s="43" customFormat="1" x14ac:dyDescent="0.35">
      <c r="A50" s="60" t="str">
        <f>'Indiv. Surfactant Key'!A10&amp;"_"&amp;'Indiv. Surfactant Key'!A40&amp;"_DGBE_0.2_0.19_0.5"</f>
        <v>D502W_C12G2_DGBE_0.2_0.19_0.5</v>
      </c>
    </row>
    <row r="51" spans="1:1" s="43" customFormat="1" x14ac:dyDescent="0.35">
      <c r="A51" s="60" t="str">
        <f>'Indiv. Surfactant Key'!A10&amp;"_"&amp;'Indiv. Surfactant Key'!A41&amp;"_DGBE_0.2_0.19_0.5"</f>
        <v>D502W_C8G1_DGBE_0.2_0.19_0.5</v>
      </c>
    </row>
    <row r="52" spans="1:1" x14ac:dyDescent="0.35">
      <c r="A52" t="str">
        <f>'Indiv. Surfactant Key'!A15&amp;"_0.5"</f>
        <v>L77_0.5</v>
      </c>
    </row>
    <row r="53" spans="1:1" x14ac:dyDescent="0.35">
      <c r="A53" t="str">
        <f>'Indiv. Surfactant Key'!A30&amp;"_0.5"</f>
        <v>Gel6185_0.5</v>
      </c>
    </row>
    <row r="54" spans="1:1" x14ac:dyDescent="0.35">
      <c r="A54" s="43" t="str">
        <f>'Indiv. Surfactant Key'!A10&amp;"_0.5"</f>
        <v>D502W_0.5</v>
      </c>
    </row>
    <row r="55" spans="1:1" x14ac:dyDescent="0.35">
      <c r="A55" t="str">
        <f>'Indiv. Surfactant Key'!A79&amp;"_0.5"</f>
        <v>D193_0.5</v>
      </c>
    </row>
    <row r="56" spans="1:1" x14ac:dyDescent="0.35">
      <c r="A56" t="s">
        <v>81</v>
      </c>
    </row>
    <row r="57" spans="1:1" x14ac:dyDescent="0.35">
      <c r="A57" t="str">
        <f>'Indiv. Surfactant Key'!A96</f>
        <v>ComSor_EXP-20-C10628-A</v>
      </c>
    </row>
    <row r="58" spans="1:1" x14ac:dyDescent="0.35">
      <c r="A58" s="60" t="str">
        <f>'Indiv. Surfactant Key'!A97</f>
        <v>ComSor_EXP-20-C10628-B</v>
      </c>
    </row>
    <row r="59" spans="1:1" x14ac:dyDescent="0.35">
      <c r="A59" s="60" t="str">
        <f>'Indiv. Surfactant Key'!A98</f>
        <v>ComSor_EXP-20-C10628-C</v>
      </c>
    </row>
    <row r="60" spans="1:1" x14ac:dyDescent="0.35">
      <c r="A60" s="60" t="str">
        <f>'Indiv. Surfactant Key'!A99</f>
        <v>ComSor_EXP-20-C10628-D</v>
      </c>
    </row>
    <row r="61" spans="1:1" x14ac:dyDescent="0.35">
      <c r="A61" s="60" t="str">
        <f>'Indiv. Surfactant Key'!A100</f>
        <v>ComSor_EXP-20-C10628-E</v>
      </c>
    </row>
    <row r="62" spans="1:1" x14ac:dyDescent="0.35">
      <c r="A62" s="60" t="str">
        <f>'Indiv. Surfactant Key'!A102</f>
        <v>ComSor_EXP-21-2</v>
      </c>
    </row>
    <row r="63" spans="1:1" x14ac:dyDescent="0.35">
      <c r="A63" s="60" t="str">
        <f>'Indiv. Surfactant Key'!A101</f>
        <v>ComSor_EXP-21-1</v>
      </c>
    </row>
    <row r="64" spans="1:1" x14ac:dyDescent="0.35">
      <c r="A64" s="60" t="str">
        <f>'Indiv. Surfactant Key'!A89</f>
        <v>Avio®F3 Green KHC</v>
      </c>
    </row>
    <row r="65" spans="1:1" x14ac:dyDescent="0.35">
      <c r="A65" s="60" t="str">
        <f>'Indiv. Surfactant Key'!A90</f>
        <v>JetFoam 3%</v>
      </c>
    </row>
    <row r="66" spans="1:1" x14ac:dyDescent="0.35">
      <c r="A66" s="60" t="str">
        <f>'Indiv. Surfactant Key'!A91</f>
        <v>Solberg® Rehealing RF3 3%</v>
      </c>
    </row>
    <row r="67" spans="1:1" x14ac:dyDescent="0.35">
      <c r="A67" s="60" t="str">
        <f>'Indiv. Surfactant Key'!A92</f>
        <v>FomtecEnviroUSP 3%</v>
      </c>
    </row>
    <row r="68" spans="1:1" x14ac:dyDescent="0.35">
      <c r="A68" t="str">
        <f>'Indiv. Surfactant Key'!A103</f>
        <v>ComSor_EXP-21-3</v>
      </c>
    </row>
    <row r="69" spans="1:1" x14ac:dyDescent="0.35">
      <c r="A69" s="60" t="str">
        <f>'Indiv. Surfactant Key'!A104</f>
        <v>ComSor_EXP-21-5</v>
      </c>
    </row>
    <row r="70" spans="1:1" x14ac:dyDescent="0.35">
      <c r="A70" s="60" t="str">
        <f>'Indiv. Surfactant Key'!A105</f>
        <v>ComSor_EXP-21-6</v>
      </c>
    </row>
    <row r="71" spans="1:1" x14ac:dyDescent="0.35">
      <c r="A71" s="60" t="str">
        <f>'Indiv. Surfactant Key'!A106</f>
        <v>ComSor_EXP-21-7</v>
      </c>
    </row>
    <row r="72" spans="1:1" x14ac:dyDescent="0.35">
      <c r="A72" t="str">
        <f>'Indiv. Surfactant Key'!A10&amp;"_DGBE_0.1_0.5"</f>
        <v>D502W_DGBE_0.1_0.5</v>
      </c>
    </row>
    <row r="73" spans="1:1" x14ac:dyDescent="0.35">
      <c r="A73" t="str">
        <f>'Indiv. Surfactant Key'!A14&amp;"_0.225"</f>
        <v>Cap_0.225</v>
      </c>
    </row>
    <row r="74" spans="1:1" x14ac:dyDescent="0.35">
      <c r="A74" t="str">
        <f>'Indiv. Surfactant Key'!A14&amp;"_DGBE_0.225_0.5"</f>
        <v>Cap_DGBE_0.225_0.5</v>
      </c>
    </row>
    <row r="75" spans="1:1" x14ac:dyDescent="0.35">
      <c r="A75" t="str">
        <f>'Indiv. Surfactant Key'!A79&amp;"_G215_DGBE_0.3_0.2_0.5"</f>
        <v>D193_G215_DGBE_0.3_0.2_0.5</v>
      </c>
    </row>
    <row r="76" spans="1:1" x14ac:dyDescent="0.35">
      <c r="A76" t="str">
        <f>'Indiv. Surfactant Key'!A12&amp;"_0.5"</f>
        <v>TrX100_0.5</v>
      </c>
    </row>
    <row r="77" spans="1:1" x14ac:dyDescent="0.35">
      <c r="A77" t="str">
        <f>'Indiv. Surfactant Key'!A10&amp;"_0.1"</f>
        <v>D502W_0.1</v>
      </c>
    </row>
    <row r="78" spans="1:1" x14ac:dyDescent="0.35">
      <c r="A78" t="str">
        <f>'Indiv. Surfactant Key'!A4&amp;"_0.05"</f>
        <v>T15-S-7_0.05</v>
      </c>
    </row>
    <row r="79" spans="1:1" x14ac:dyDescent="0.35">
      <c r="A79" t="str">
        <f>'Indiv. Surfactant Key'!A3&amp;"_0.4"</f>
        <v>TMN6_0.4</v>
      </c>
    </row>
    <row r="80" spans="1:1" x14ac:dyDescent="0.35">
      <c r="A80" t="str">
        <f>'Indiv. Surfactant Key'!A76&amp;"_1.3"</f>
        <v>AlphaFoam_1.3</v>
      </c>
    </row>
    <row r="81" spans="1:1" x14ac:dyDescent="0.35">
      <c r="A81" t="str">
        <f>'Indiv. Surfactant Key'!A84&amp;"_0.3"</f>
        <v>Silphos_0.3</v>
      </c>
    </row>
    <row r="82" spans="1:1" x14ac:dyDescent="0.35">
      <c r="A82" t="str">
        <f>'Indiv. Surfactant Key'!A85&amp;"_0.014"</f>
        <v>Silsurf_0.014</v>
      </c>
    </row>
    <row r="83" spans="1:1" x14ac:dyDescent="0.35">
      <c r="A83" t="str">
        <f>'Indiv. Surfactant Key'!A10&amp;"_"&amp;'Indiv. Surfactant Key'!A12&amp;"_DGBE_0.1_0.08_0.5"</f>
        <v>D502W_TrX100_DGBE_0.1_0.08_0.5</v>
      </c>
    </row>
    <row r="84" spans="1:1" x14ac:dyDescent="0.35">
      <c r="A84" t="str">
        <f>'Indiv. Surfactant Key'!A10&amp;"_G215_DGBE_0.05_0.075_0.5"</f>
        <v>D502W_G215_DGBE_0.05_0.075_0.5</v>
      </c>
    </row>
    <row r="85" spans="1:1" x14ac:dyDescent="0.35">
      <c r="A85" t="str">
        <f>'Indiv. Surfactant Key'!A10&amp;"_G225_DGBE_0.5_0.5_0.5"</f>
        <v>D502W_G225_DGBE_0.5_0.5_0.5</v>
      </c>
    </row>
    <row r="86" spans="1:1" x14ac:dyDescent="0.35">
      <c r="A86" t="str">
        <f>'Indiv. Surfactant Key'!A10&amp;"_G215_DGBE_0.5_0.5_0.5"</f>
        <v>D502W_G215_DGBE_0.5_0.5_0.5</v>
      </c>
    </row>
    <row r="87" spans="1:1" x14ac:dyDescent="0.35">
      <c r="A87" t="str">
        <f>'Indiv. Surfactant Key'!A10&amp;"_G215_DGBE_0.2_0.3_0.5"</f>
        <v>D502W_G215_DGBE_0.2_0.3_0.5</v>
      </c>
    </row>
    <row r="88" spans="1:1" x14ac:dyDescent="0.35">
      <c r="A88" t="str">
        <f>'Indiv. Surfactant Key'!A10&amp;"_G600_DGBE_0.25_0.25_0.5"</f>
        <v>D502W_G600_DGBE_0.25_0.25_0.5</v>
      </c>
    </row>
    <row r="89" spans="1:1" x14ac:dyDescent="0.35">
      <c r="A89" t="str">
        <f>'Indiv. Surfactant Key'!A10&amp;"_G600_DGBE_0.2_0.3_0.5"</f>
        <v>D502W_G600_DGBE_0.2_0.3_0.5</v>
      </c>
    </row>
    <row r="90" spans="1:1" x14ac:dyDescent="0.35">
      <c r="A90" t="str">
        <f>'Indiv. Surfactant Key'!A10&amp;"_G225_DGBE_0.25_0.25_0.5"</f>
        <v>D502W_G225_DGBE_0.25_0.25_0.5</v>
      </c>
    </row>
    <row r="91" spans="1:1" x14ac:dyDescent="0.35">
      <c r="A91" t="str">
        <f>'Indiv. Surfactant Key'!A10&amp;"_G215_DGBE_0.25_0.25_0.5"</f>
        <v>D502W_G215_DGBE_0.25_0.25_0.5</v>
      </c>
    </row>
    <row r="92" spans="1:1" x14ac:dyDescent="0.35">
      <c r="A92" t="str">
        <f>'Indiv. Surfactant Key'!A26&amp;"_G225_DGBE_0.2_0.3_0.5"</f>
        <v>NRL_N10477-09_G225_DGBE_0.2_0.3_0.5</v>
      </c>
    </row>
    <row r="93" spans="1:1" x14ac:dyDescent="0.35">
      <c r="A93" t="str">
        <f>'Indiv. Surfactant Key'!A12&amp;"_G215_DGBE_0.06_0.04_0.5"</f>
        <v>TrX100_G215_DGBE_0.06_0.04_0.5</v>
      </c>
    </row>
    <row r="94" spans="1:1" x14ac:dyDescent="0.35">
      <c r="A94" t="str">
        <f>'Indiv. Surfactant Key'!A34&amp;"_G215_DGBE_0.06_0.04_0.5"</f>
        <v>Gel6492.6_G215_DGBE_0.06_0.04_0.5</v>
      </c>
    </row>
    <row r="95" spans="1:1" x14ac:dyDescent="0.35">
      <c r="A95" t="str">
        <f>'Indiv. Surfactant Key'!A11&amp;"_G215_DGBE_0.22_0.15_0.5"</f>
        <v>SDS_G215_DGBE_0.22_0.15_0.5</v>
      </c>
    </row>
    <row r="96" spans="1:1" x14ac:dyDescent="0.35">
      <c r="A96" t="str">
        <f>'Indiv. Surfactant Key'!A20&amp;"_G225_DGBE_0.2_0.3_0.5"</f>
        <v>NRL_N10477-12_G225_DGBE_0.2_0.3_0.5</v>
      </c>
    </row>
    <row r="97" spans="1:1" x14ac:dyDescent="0.35">
      <c r="A97" t="str">
        <f>'Indiv. Surfactant Key'!A27&amp;"_G225_DGBE_0.2_0.3_0.5"</f>
        <v>NRL_N10477-07_G225_DGBE_0.2_0.3_0.5</v>
      </c>
    </row>
    <row r="98" spans="1:1" x14ac:dyDescent="0.35">
      <c r="A98" t="str">
        <f>'Indiv. Surfactant Key'!A107</f>
        <v>ComSor1830503</v>
      </c>
    </row>
    <row r="99" spans="1:1" x14ac:dyDescent="0.35">
      <c r="A99" s="60" t="str">
        <f>'Indiv. Surfactant Key'!A108</f>
        <v>ComSor_26990-95B</v>
      </c>
    </row>
    <row r="100" spans="1:1" s="43" customFormat="1" x14ac:dyDescent="0.35">
      <c r="A100" s="60" t="str">
        <f>'Indiv. Surfactant Key'!A109</f>
        <v>ComSor_26990-95C</v>
      </c>
    </row>
    <row r="101" spans="1:1" x14ac:dyDescent="0.35">
      <c r="A101" s="60" t="str">
        <f>'Indiv. Surfactant Key'!A110</f>
        <v>ComSor_26990-95D</v>
      </c>
    </row>
    <row r="102" spans="1:1" x14ac:dyDescent="0.35">
      <c r="A102" t="str">
        <f>'Indiv. Surfactant Key'!A10&amp;"_"&amp;'Indiv. Surfactant Key'!A42&amp;"_DGBE_0.2_0.19_0.5"</f>
        <v>D502W_C8SG2_DGBE_0.2_0.19_0.5</v>
      </c>
    </row>
    <row r="103" spans="1:1" x14ac:dyDescent="0.35">
      <c r="A103" s="60" t="str">
        <f>'Indiv. Surfactant Key'!A10&amp;"_"&amp;'Indiv. Surfactant Key'!A43&amp;"_DGBE_0.2_0.19_0.5"</f>
        <v>D502W_Cymal_DGBE_0.2_0.19_0.5</v>
      </c>
    </row>
    <row r="104" spans="1:1" x14ac:dyDescent="0.35">
      <c r="A104" s="60" t="str">
        <f>'Indiv. Surfactant Key'!A10&amp;"_"&amp;'Indiv. Surfactant Key'!A44&amp;"_DGBE_0.2_0.19_0.5"</f>
        <v>D502W_iC8G2_DGBE_0.2_0.19_0.5</v>
      </c>
    </row>
    <row r="105" spans="1:1" x14ac:dyDescent="0.35">
      <c r="A105" s="60" t="str">
        <f>'Indiv. Surfactant Key'!A10&amp;"_"&amp;'Indiv. Surfactant Key'!A45&amp;"_DGBE_0.2_0.19_0.5"</f>
        <v>D502W_C6G2_DGBE_0.2_0.19_0.5</v>
      </c>
    </row>
    <row r="106" spans="1:1" x14ac:dyDescent="0.35">
      <c r="A106" s="60" t="str">
        <f>'Indiv. Surfactant Key'!A10&amp;"_"&amp;'Indiv. Surfactant Key'!A46&amp;"_DGBE_0.2_0.19_0.5"</f>
        <v>D502W_C9G2_DGBE_0.2_0.19_0.5</v>
      </c>
    </row>
    <row r="107" spans="1:1" x14ac:dyDescent="0.35">
      <c r="A107" s="60" t="str">
        <f>'Indiv. Surfactant Key'!A10&amp;"_"&amp;'Indiv. Surfactant Key'!A47&amp;"_DGBE_0.2_0.19_0.5"</f>
        <v>D502W_C6G1_DGBE_0.2_0.19_0.5</v>
      </c>
    </row>
    <row r="108" spans="1:1" x14ac:dyDescent="0.35">
      <c r="A108" s="60" t="str">
        <f>'Indiv. Surfactant Key'!A10&amp;"_"&amp;'Indiv. Surfactant Key'!A48&amp;"_DGBE_0.2_0.19_0.5"</f>
        <v>D502W_C7G1_DGBE_0.2_0.19_0.5</v>
      </c>
    </row>
    <row r="109" spans="1:1" x14ac:dyDescent="0.35">
      <c r="A109" t="s">
        <v>97</v>
      </c>
    </row>
    <row r="110" spans="1:1" x14ac:dyDescent="0.35">
      <c r="A110" t="str">
        <f>'Indiv. Surfactant Key'!A111</f>
        <v>ComSor_EXP-21-CH1035-B</v>
      </c>
    </row>
    <row r="111" spans="1:1" x14ac:dyDescent="0.35">
      <c r="A111" t="s">
        <v>172</v>
      </c>
    </row>
    <row r="112" spans="1:1" x14ac:dyDescent="0.35">
      <c r="A112" t="s">
        <v>173</v>
      </c>
    </row>
    <row r="113" spans="1:1" x14ac:dyDescent="0.35">
      <c r="A113" t="str">
        <f>'Indiv. Surfactant Key'!A10&amp;"_DGBE_0.5_0.5"</f>
        <v>D502W_DGBE_0.5_0.5</v>
      </c>
    </row>
    <row r="114" spans="1:1" x14ac:dyDescent="0.35">
      <c r="A114" t="str">
        <f>'Indiv. Surfactant Key'!A35&amp;"_G215_DGBE_0.03_0.02_0.5"</f>
        <v>T15-S-9_G215_DGBE_0.03_0.02_0.5</v>
      </c>
    </row>
    <row r="115" spans="1:1" x14ac:dyDescent="0.35">
      <c r="A115" s="60" t="str">
        <f>'Indiv. Surfactant Key'!A36&amp;"_G215_DGBE_0.03_0.02_0.5"</f>
        <v>T15-S-12_G215_DGBE_0.03_0.02_0.5</v>
      </c>
    </row>
    <row r="116" spans="1:1" s="43" customFormat="1" x14ac:dyDescent="0.35">
      <c r="A116" s="43" t="str">
        <f>'Indiv. Surfactant Key'!A29&amp;"_G215_DGBE_0.2_0.3_0.5"</f>
        <v>NRL_N10477-05_G215_DGBE_0.2_0.3_0.5</v>
      </c>
    </row>
    <row r="117" spans="1:1" x14ac:dyDescent="0.35">
      <c r="A117" t="str">
        <f>'Indiv. Surfactant Key'!A112</f>
        <v>ComSor_EXP-21-CH1035-A</v>
      </c>
    </row>
    <row r="118" spans="1:1" x14ac:dyDescent="0.35">
      <c r="A118" s="60" t="str">
        <f>'Indiv. Surfactant Key'!A113</f>
        <v>ComSor_EXP-21-CH1035-C</v>
      </c>
    </row>
    <row r="119" spans="1:1" x14ac:dyDescent="0.35">
      <c r="A119" t="str">
        <f>'Indiv. Surfactant Key'!A14&amp;"_"&amp;'Indiv. Surfactant Key'!A51&amp;"_DGBE_0.3_0.2_0.5"</f>
        <v>Cap_TrGR-5M_DGBE_0.3_0.2_0.5</v>
      </c>
    </row>
    <row r="120" spans="1:1" x14ac:dyDescent="0.35">
      <c r="A120" t="str">
        <f>'Indiv. Surfactant Key'!A28&amp;"_G225_DGBE_0.2_0.3_0.5"</f>
        <v>NRL_N10477-03_G225_DGBE_0.2_0.3_0.5</v>
      </c>
    </row>
    <row r="121" spans="1:1" x14ac:dyDescent="0.35">
      <c r="A121" t="str">
        <f>'Indiv. Surfactant Key'!A24&amp;"_G225_DGBE_0.2_0.3_0.5"</f>
        <v>NRL_N10477-01_G225_DGBE_0.2_0.3_0.5</v>
      </c>
    </row>
    <row r="122" spans="1:1" x14ac:dyDescent="0.35">
      <c r="A122" t="str">
        <f>'Indiv. Surfactant Key'!A10&amp;"_G215_DGBE_0.3_0.2_0.5"</f>
        <v>D502W_G215_DGBE_0.3_0.2_0.5</v>
      </c>
    </row>
    <row r="123" spans="1:1" x14ac:dyDescent="0.35">
      <c r="A123" t="str">
        <f>'Indiv. Surfactant Key'!A10&amp;"_G225_DGBE_0.17_0.33_0.5"</f>
        <v>D502W_G225_DGBE_0.17_0.33_0.5</v>
      </c>
    </row>
    <row r="124" spans="1:1" x14ac:dyDescent="0.35">
      <c r="A124" t="str">
        <f>'Indiv. Surfactant Key'!A10&amp;"_G225_DGBE_0.12_0.38_0.5"</f>
        <v>D502W_G225_DGBE_0.12_0.38_0.5</v>
      </c>
    </row>
    <row r="125" spans="1:1" x14ac:dyDescent="0.35">
      <c r="A125" t="s">
        <v>178</v>
      </c>
    </row>
    <row r="126" spans="1:1" x14ac:dyDescent="0.35">
      <c r="A126" t="str">
        <f>'Indiv. Surfactant Key'!A77&amp;"_0.225"</f>
        <v>D5575_0.225</v>
      </c>
    </row>
    <row r="127" spans="1:1" x14ac:dyDescent="0.35">
      <c r="A127" t="str">
        <f>'Indiv. Surfactant Key'!A78&amp;"_0.225"</f>
        <v>D5244_0.225</v>
      </c>
    </row>
    <row r="128" spans="1:1" x14ac:dyDescent="0.35">
      <c r="A128" t="str">
        <f>'Indiv. Surfactant Key'!A79&amp;"_0.225"</f>
        <v>D193_0.225</v>
      </c>
    </row>
    <row r="129" spans="1:1" x14ac:dyDescent="0.35">
      <c r="A129" t="str">
        <f>'Indiv. Surfactant Key'!A80&amp;"_0.05"</f>
        <v>D501W_0.05</v>
      </c>
    </row>
    <row r="130" spans="1:1" x14ac:dyDescent="0.35">
      <c r="A130" t="str">
        <f>'Indiv. Surfactant Key'!A81&amp;"_0.5"</f>
        <v>D198_0.5</v>
      </c>
    </row>
    <row r="131" spans="1:1" x14ac:dyDescent="0.35">
      <c r="A131" t="str">
        <f>'Indiv. Surfactant Key'!A81&amp;"_G215_DGBE_0.3_0.2_0.5"</f>
        <v>D198_G215_DGBE_0.3_0.2_0.5</v>
      </c>
    </row>
    <row r="132" spans="1:1" x14ac:dyDescent="0.35">
      <c r="A132" t="str">
        <f>'Indiv. Surfactant Key'!A82&amp;"_0.24"</f>
        <v>D5604_0.24</v>
      </c>
    </row>
    <row r="133" spans="1:1" x14ac:dyDescent="0.35">
      <c r="A133" t="str">
        <f>'Indiv. Surfactant Key'!A82&amp;"_G215_DGBE_0.3_0.2_0.5"</f>
        <v>D5604_G215_DGBE_0.3_0.2_0.5</v>
      </c>
    </row>
    <row r="134" spans="1:1" x14ac:dyDescent="0.35">
      <c r="A134" t="str">
        <f>'Indiv. Surfactant Key'!A83&amp;"_0.1"</f>
        <v>D5098_0.1</v>
      </c>
    </row>
    <row r="135" spans="1:1" x14ac:dyDescent="0.35">
      <c r="A135" t="str">
        <f>'Indiv. Surfactant Key'!A76&amp;"_G215_DGBE_1.3_0.2_0.5"</f>
        <v>AlphaFoam_G215_DGBE_1.3_0.2_0.5</v>
      </c>
    </row>
    <row r="136" spans="1:1" x14ac:dyDescent="0.35">
      <c r="A136" t="str">
        <f>'Indiv. Surfactant Key'!A85&amp;"_0.14"</f>
        <v>Silsurf_0.14</v>
      </c>
    </row>
    <row r="137" spans="1:1" x14ac:dyDescent="0.35">
      <c r="A137" t="str">
        <f>'Indiv. Surfactant Key'!A30&amp;"_G215_DGBE_1.8_1.2_0.5"</f>
        <v>Gel6185_G215_DGBE_1.8_1.2_0.5</v>
      </c>
    </row>
    <row r="138" spans="1:1" x14ac:dyDescent="0.35">
      <c r="A138" t="str">
        <f>'Indiv. Surfactant Key'!A53&amp;"_G225_DGBE_0.34_0.56_0.5"</f>
        <v>CL_MD2086-97_G225_DGBE_0.34_0.56_0.5</v>
      </c>
    </row>
    <row r="139" spans="1:1" x14ac:dyDescent="0.35">
      <c r="A139" t="str">
        <f>'Indiv. Surfactant Key'!A53&amp;"_0.5"</f>
        <v>CL_MD2086-97_0.5</v>
      </c>
    </row>
    <row r="140" spans="1:1" x14ac:dyDescent="0.35">
      <c r="A140" s="42" t="str">
        <f>'Indiv. Surfactant Key'!A114</f>
        <v>ComSor_EXP-20-CH1024-A</v>
      </c>
    </row>
    <row r="141" spans="1:1" x14ac:dyDescent="0.35">
      <c r="A141" s="60" t="str">
        <f>'Indiv. Surfactant Key'!A115</f>
        <v>ComSor_EXP-20-CH1024-B</v>
      </c>
    </row>
    <row r="142" spans="1:1" x14ac:dyDescent="0.35">
      <c r="A142" s="60" t="str">
        <f>'Indiv. Surfactant Key'!A116</f>
        <v>ComSor_EXP-20-CH1024-C</v>
      </c>
    </row>
    <row r="143" spans="1:1" x14ac:dyDescent="0.35">
      <c r="A143" s="60" t="str">
        <f>'Indiv. Surfactant Key'!A117</f>
        <v>ComSor_EXP-20-CH1024-D</v>
      </c>
    </row>
    <row r="144" spans="1:1" x14ac:dyDescent="0.35">
      <c r="A144" s="60" t="str">
        <f>'Indiv. Surfactant Key'!A118</f>
        <v>ComSor_EXP-20-CH1024-E</v>
      </c>
    </row>
    <row r="145" spans="1:1" x14ac:dyDescent="0.35">
      <c r="A145" s="60" t="str">
        <f>'Indiv. Surfactant Key'!A119</f>
        <v>ComSor_EXP-20-CH1024-F</v>
      </c>
    </row>
    <row r="146" spans="1:1" x14ac:dyDescent="0.35">
      <c r="A146" s="60" t="str">
        <f>'Indiv. Surfactant Key'!A120</f>
        <v>ComSor_EXP-20-CH1024-G</v>
      </c>
    </row>
    <row r="147" spans="1:1" x14ac:dyDescent="0.35">
      <c r="A147" s="60" t="str">
        <f>'Indiv. Surfactant Key'!A121</f>
        <v>ComSor_EXP-20-CH1024-H</v>
      </c>
    </row>
    <row r="148" spans="1:1" x14ac:dyDescent="0.35">
      <c r="A148" s="60" t="str">
        <f>'Indiv. Surfactant Key'!A124</f>
        <v>ComSor_EXP-21-CM7837-5</v>
      </c>
    </row>
    <row r="149" spans="1:1" x14ac:dyDescent="0.35">
      <c r="A149" s="60" t="str">
        <f>'Indiv. Surfactant Key'!A123</f>
        <v>ComSor_EXP-21-CM7837-4</v>
      </c>
    </row>
    <row r="150" spans="1:1" x14ac:dyDescent="0.35">
      <c r="A150" s="42" t="str">
        <f>'Indiv. Surfactant Key'!A126</f>
        <v>ComSor_EXP-21-CH1035-A-Saltwater</v>
      </c>
    </row>
    <row r="151" spans="1:1" x14ac:dyDescent="0.35">
      <c r="A151" s="42" t="str">
        <f>'Indiv. Surfactant Key'!A127</f>
        <v>ComSor_EXP-21-CH1042-1-Saltwater</v>
      </c>
    </row>
    <row r="152" spans="1:1" x14ac:dyDescent="0.35">
      <c r="A152" s="42" t="str">
        <f>'Indiv. Surfactant Key'!A122</f>
        <v>ComSor_EXP-21-CM7837-3</v>
      </c>
    </row>
    <row r="153" spans="1:1" x14ac:dyDescent="0.35">
      <c r="A153" s="43" t="str">
        <f>'Indiv. Surfactant Key'!A125</f>
        <v>ComSor_EXP-21-CH1050-1</v>
      </c>
    </row>
    <row r="154" spans="1:1" x14ac:dyDescent="0.35">
      <c r="A154" s="43" t="str">
        <f>'Indiv. Surfactant Key'!A54&amp;"_G225_DGBE_0.52_0.78_0.5"</f>
        <v>CL_MD2012-16_G225_DGBE_0.52_0.78_0.5</v>
      </c>
    </row>
    <row r="155" spans="1:1" x14ac:dyDescent="0.35">
      <c r="A155" s="43" t="str">
        <f>'Indiv. Surfactant Key'!A60&amp;"_G225_DGBE_0.065_0.3_0.5"</f>
        <v>NRL_N10478-198_G225_DGBE_0.065_0.3_0.5</v>
      </c>
    </row>
    <row r="156" spans="1:1" x14ac:dyDescent="0.35">
      <c r="A156" t="str">
        <f>'Indiv. Surfactant Key'!A56&amp;"_G225_DGBE_0.05_0.3_0.5"</f>
        <v>NRL_N10477-189_G225_DGBE_0.05_0.3_0.5</v>
      </c>
    </row>
    <row r="157" spans="1:1" x14ac:dyDescent="0.35">
      <c r="A157" t="str">
        <f>'Indiv. Surfactant Key'!A73&amp;"_G225_DGBE_0.116_0.3_0.5"</f>
        <v>NRL_N10478-81_G225_DGBE_0.116_0.3_0.5</v>
      </c>
    </row>
    <row r="158" spans="1:1" x14ac:dyDescent="0.35">
      <c r="A158" t="str">
        <f>'Indiv. Surfactant Key'!A59&amp;"_G225_DGBE_0.2_0.3_0.5"</f>
        <v>CL_MD2102-54_G225_DGBE_0.2_0.3_0.5</v>
      </c>
    </row>
    <row r="159" spans="1:1" x14ac:dyDescent="0.35">
      <c r="A159" t="str">
        <f>'Indiv. Surfactant Key'!A58&amp;"_G225_DGBE_0.043_0.3_0.5"</f>
        <v>CL_MD2062-148_G225_DGBE_0.043_0.3_0.5</v>
      </c>
    </row>
    <row r="160" spans="1:1" x14ac:dyDescent="0.35">
      <c r="A160" t="str">
        <f>'Indiv. Surfactant Key'!A10&amp;"_"&amp;'Indiv. Surfactant Key'!A37&amp;"_DGBE_0.2_0.19_0.5"</f>
        <v>D502W_CL_C8G3_DGBE_0.2_0.19_0.5</v>
      </c>
    </row>
    <row r="161" spans="1:1" x14ac:dyDescent="0.35">
      <c r="A161" t="str">
        <f>'Indiv. Surfactant Key'!A10&amp;"_"&amp;'Indiv. Surfactant Key'!A61&amp;"_DGBE_0.2_0.21_0.5"</f>
        <v>D502W_C10G3_DGBE_0.2_0.21_0.5</v>
      </c>
    </row>
    <row r="162" spans="1:1" x14ac:dyDescent="0.35">
      <c r="A162" t="str">
        <f>'Indiv. Surfactant Key'!A10&amp;"_"&amp;'Indiv. Surfactant Key'!A62&amp;"_DGBE_0.2_0.21_0.5"</f>
        <v>D502W_C12G3_DGBE_0.2_0.21_0.5</v>
      </c>
    </row>
    <row r="163" spans="1:1" x14ac:dyDescent="0.35">
      <c r="A163" t="str">
        <f>'Indiv. Surfactant Key'!A10&amp;"_G225_"&amp;'Indiv. Surfactant Key'!A11&amp;"_DGBE_0.2_0.3_0.2_0.5"</f>
        <v>D502W_G225_SDS_DGBE_0.2_0.3_0.2_0.5</v>
      </c>
    </row>
    <row r="164" spans="1:1" x14ac:dyDescent="0.35">
      <c r="A164" t="str">
        <f>'Indiv. Surfactant Key'!A10&amp;"_G225_"&amp;'Indiv. Surfactant Key'!A11&amp;"_DGBE_0.2_0.3_0.02_0.5"</f>
        <v>D502W_G225_SDS_DGBE_0.2_0.3_0.02_0.5</v>
      </c>
    </row>
    <row r="165" spans="1:1" x14ac:dyDescent="0.35">
      <c r="A165" t="str">
        <f>'Indiv. Surfactant Key'!A63&amp;"_G225_DGBE_0.2_0.3_0.5"</f>
        <v>NRL_N10478-40_G225_DGBE_0.2_0.3_0.5</v>
      </c>
    </row>
    <row r="166" spans="1:1" s="43" customFormat="1" x14ac:dyDescent="0.35">
      <c r="A166" s="43" t="str">
        <f>'Indiv. Surfactant Key'!A128</f>
        <v>ComSor_EXP-22-CH1050</v>
      </c>
    </row>
    <row r="167" spans="1:1" x14ac:dyDescent="0.35">
      <c r="A167" t="str">
        <f>'Indiv. Surfactant Key'!A93</f>
        <v>Ecoguard CF3F</v>
      </c>
    </row>
    <row r="168" spans="1:1" x14ac:dyDescent="0.35">
      <c r="A168" t="str">
        <f>'Indiv. Surfactant Key'!A10&amp;"_G225_DGBE_0.4_0.6_1"</f>
        <v>D502W_G225_DGBE_0.4_0.6_1</v>
      </c>
    </row>
    <row r="169" spans="1:1" x14ac:dyDescent="0.35">
      <c r="A169" t="str">
        <f>'Indiv. Surfactant Key'!A94&amp;"_3"</f>
        <v>Universal®F3 Green_3</v>
      </c>
    </row>
    <row r="170" spans="1:1" x14ac:dyDescent="0.35">
      <c r="A170" t="str">
        <f>'Indiv. Surfactant Key'!A14&amp;"_G225_DGBE_0.3_0.2_0.5"</f>
        <v>Cap_G225_DGBE_0.3_0.2_0.5</v>
      </c>
    </row>
    <row r="171" spans="1:1" x14ac:dyDescent="0.35">
      <c r="A171" t="str">
        <f>'Indiv. Surfactant Key'!A10&amp;"_G225_DGBE_0.3_0.2_0.5"</f>
        <v>D502W_G225_DGBE_0.3_0.2_0.5</v>
      </c>
    </row>
    <row r="172" spans="1:1" x14ac:dyDescent="0.35">
      <c r="A172" t="str">
        <f>'Indiv. Surfactant Key'!A10&amp;"_G225_DGBE_0.13_0.38_0.5"</f>
        <v>D502W_G225_DGBE_0.13_0.38_0.5</v>
      </c>
    </row>
    <row r="173" spans="1:1" x14ac:dyDescent="0.35">
      <c r="A173" t="str">
        <f>'Indiv. Surfactant Key'!A10&amp;"_"&amp;'Indiv. Surfactant Key'!A75&amp;"_DGBE_0.2_0.3_0.5"</f>
        <v>D502W_TrCG-425_DGBE_0.2_0.3_0.5</v>
      </c>
    </row>
    <row r="174" spans="1:1" x14ac:dyDescent="0.35">
      <c r="A174" t="str">
        <f>'Indiv. Surfactant Key'!A129</f>
        <v>ComSor_EXP-20-CIO632-A3</v>
      </c>
    </row>
    <row r="175" spans="1:1" x14ac:dyDescent="0.35">
      <c r="A175" s="60" t="str">
        <f>'Indiv. Surfactant Key'!A130</f>
        <v>ComSor_EXP-20-CIO632-B3</v>
      </c>
    </row>
    <row r="176" spans="1:1" x14ac:dyDescent="0.35">
      <c r="A176" s="60" t="str">
        <f>'Indiv. Surfactant Key'!A131</f>
        <v>ComSor_EXP-20-CIO632-C3</v>
      </c>
    </row>
    <row r="177" spans="1:1" s="24" customFormat="1" x14ac:dyDescent="0.35">
      <c r="A177" s="24" t="str">
        <f>'Individual Surfactant Key'!A97&amp;"_G225_DGBE_0.2_0.3_0.5"</f>
        <v>CL_MD2062-57_G225_DGBE_0.2_0.3_0.5</v>
      </c>
    </row>
    <row r="178" spans="1:1" s="43" customFormat="1" x14ac:dyDescent="0.35">
      <c r="A178" s="43" t="str">
        <f>'Indiv. Surfactant Key'!A49&amp;"_G225_DGBE_0.1_0.3_0.5"</f>
        <v>CL_MD2062-121_G225_DGBE_0.1_0.3_0.5</v>
      </c>
    </row>
    <row r="179" spans="1:1" s="43" customFormat="1" x14ac:dyDescent="0.35">
      <c r="A179" s="43" t="str">
        <f>'Individual Surfactant Key'!A89&amp;"_G225_DGBE_0.065_0.3_0.5"</f>
        <v>CL_MD2062-124_G225_DGBE_0.065_0.3_0.5</v>
      </c>
    </row>
    <row r="180" spans="1:1" s="43" customFormat="1" x14ac:dyDescent="0.35">
      <c r="A180" s="43" t="str">
        <f>'Individual Surfactant Key'!A89&amp;"_G225_DGBE_0.05_0.3_0.5"</f>
        <v>CL_MD2062-124_G225_DGBE_0.05_0.3_0.5</v>
      </c>
    </row>
    <row r="181" spans="1:1" s="43" customFormat="1" x14ac:dyDescent="0.35">
      <c r="A181" s="43" t="str">
        <f>'Individual Surfactant Key'!A76&amp;"_G225_5_0.3"</f>
        <v>Collab_26990-95C_G225_5_0.3</v>
      </c>
    </row>
    <row r="182" spans="1:1" x14ac:dyDescent="0.35">
      <c r="A182" s="42" t="str">
        <f>'Indiv. Surfactant Key'!A64&amp;"_G225_DGBE_0.2_0.3_0.5"</f>
        <v>NRL_LBII43_G225_DGBE_0.2_0.3_0.5</v>
      </c>
    </row>
    <row r="183" spans="1:1" x14ac:dyDescent="0.35">
      <c r="A183" s="42" t="str">
        <f>'Indiv. Surfactant Key'!A65&amp;"_G225_DGBE_0.02_0.3_0.5"</f>
        <v>NRL_CB_DTBTS_SB_G225_DGBE_0.02_0.3_0.5</v>
      </c>
    </row>
    <row r="184" spans="1:1" x14ac:dyDescent="0.35">
      <c r="A184" s="42" t="str">
        <f>'Indiv. Surfactant Key'!A55&amp;"_G225_DGBE_0.2_0.3_0.5"</f>
        <v>NRL_CB-1-123_G225_DGBE_0.2_0.3_0.5</v>
      </c>
    </row>
    <row r="185" spans="1:1" x14ac:dyDescent="0.35">
      <c r="A185" t="str">
        <f>'Indiv. Surfactant Key'!A66&amp;"_G225_DGBE_0.063_0.3_0.5"</f>
        <v>NRL_N10478-227_G225_DGBE_0.063_0.3_0.5</v>
      </c>
    </row>
    <row r="186" spans="1:1" s="43" customFormat="1" x14ac:dyDescent="0.35">
      <c r="A186" s="43" t="str">
        <f>'Indiv. Surfactant Key'!A67&amp;"_G225_DGBE_0.03_0.3_0.5"</f>
        <v>NRL_N10478-233_G225_DGBE_0.03_0.3_0.5</v>
      </c>
    </row>
    <row r="187" spans="1:1" s="45" customFormat="1" x14ac:dyDescent="0.35">
      <c r="A187" s="45" t="str">
        <f>'Indiv. Surfactant Key'!A68&amp;"_G225_DGBE_#_0.3_0.5"</f>
        <v>NRL_N10478-240_G225_DGBE_#_0.3_0.5</v>
      </c>
    </row>
    <row r="188" spans="1:1" x14ac:dyDescent="0.35">
      <c r="A188" s="42" t="str">
        <f>'Indiv. Surfactant Key'!A69&amp;"_G225_DGBE_0.2_0.3_0.5"</f>
        <v>CL_MD2102-90_G225_DGBE_0.2_0.3_0.5</v>
      </c>
    </row>
    <row r="189" spans="1:1" x14ac:dyDescent="0.35">
      <c r="A189" s="42" t="str">
        <f>'Indiv. Surfactant Key'!A70&amp;"_G225_DGBE_0.05_0.3_0.5"</f>
        <v>CL_MD2102-112_G225_DGBE_0.05_0.3_0.5</v>
      </c>
    </row>
    <row r="190" spans="1:1" x14ac:dyDescent="0.35">
      <c r="A190" s="42" t="str">
        <f>'Indiv. Surfactant Key'!A71&amp;"_G225_DGBE_0.2_0.3_0.5"</f>
        <v>CL_MD2102-118_G225_DGBE_0.2_0.3_0.5</v>
      </c>
    </row>
    <row r="191" spans="1:1" x14ac:dyDescent="0.35">
      <c r="A191" s="42" t="str">
        <f>'Indiv. Surfactant Key'!A132&amp;"_3"</f>
        <v>ComSor_EXP-21-CH1070-1_3</v>
      </c>
    </row>
    <row r="192" spans="1:1" x14ac:dyDescent="0.35">
      <c r="A192" s="42" t="str">
        <f>'Indiv. Surfactant Key'!A133&amp;"_3"</f>
        <v>ComSor_EXP-21-CH1070-2_3</v>
      </c>
    </row>
    <row r="193" spans="1:1" x14ac:dyDescent="0.35">
      <c r="A193" s="42" t="str">
        <f>'Indiv. Surfactant Key'!A134&amp;"_1"</f>
        <v>ComSor_EXP-21-CH1070-4_1</v>
      </c>
    </row>
    <row r="194" spans="1:1" x14ac:dyDescent="0.35">
      <c r="A194" t="str">
        <f>'Indiv. Surfactant Key'!A35&amp;"_DGBE_0.5_0.5"</f>
        <v>T15-S-9_DGBE_0.5_0.5</v>
      </c>
    </row>
    <row r="195" spans="1:1" x14ac:dyDescent="0.35">
      <c r="A195" s="42" t="str">
        <f>'Indiv. Surfactant Key'!A36&amp;"_DGBE_0.5_0.5"</f>
        <v>T15-S-12_DGBE_0.5_0.5</v>
      </c>
    </row>
    <row r="196" spans="1:1" x14ac:dyDescent="0.35">
      <c r="A196" s="42" t="str">
        <f>'Indiv. Surfactant Key'!A6&amp;"_DGBE_0.5_0.5"</f>
        <v>TrX114_DGBE_0.5_0.5</v>
      </c>
    </row>
    <row r="197" spans="1:1" x14ac:dyDescent="0.35">
      <c r="A197" s="42" t="str">
        <f>'Indiv. Surfactant Key'!A72&amp;"_G225_DGBE_0.14_0.21_0.5"</f>
        <v>NRL_CB-1-192_G225_DGBE_0.14_0.21_0.5</v>
      </c>
    </row>
    <row r="198" spans="1:1" x14ac:dyDescent="0.35">
      <c r="A198" s="42" t="str">
        <f>'Indiv. Surfactant Key'!A69&amp;"_0.5"</f>
        <v>CL_MD2102-90_0.5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3"/>
  <sheetViews>
    <sheetView topLeftCell="A36" workbookViewId="0">
      <selection activeCell="A35" sqref="A35:XFD36"/>
    </sheetView>
  </sheetViews>
  <sheetFormatPr defaultRowHeight="14.5" x14ac:dyDescent="0.35"/>
  <cols>
    <col min="1" max="1" width="12.453125" customWidth="1"/>
  </cols>
  <sheetData>
    <row r="1" spans="1:4" x14ac:dyDescent="0.35">
      <c r="A1" t="s">
        <v>82</v>
      </c>
    </row>
    <row r="2" spans="1:4" x14ac:dyDescent="0.35">
      <c r="A2" t="s">
        <v>72</v>
      </c>
    </row>
    <row r="3" spans="1:4" x14ac:dyDescent="0.35">
      <c r="A3" t="s">
        <v>73</v>
      </c>
    </row>
    <row r="4" spans="1:4" x14ac:dyDescent="0.35">
      <c r="A4" t="s">
        <v>83</v>
      </c>
    </row>
    <row r="6" spans="1:4" x14ac:dyDescent="0.35">
      <c r="A6" t="s">
        <v>71</v>
      </c>
      <c r="D6" t="s">
        <v>181</v>
      </c>
    </row>
    <row r="7" spans="1:4" x14ac:dyDescent="0.35">
      <c r="A7" t="s">
        <v>74</v>
      </c>
      <c r="D7" t="s">
        <v>182</v>
      </c>
    </row>
    <row r="8" spans="1:4" x14ac:dyDescent="0.35">
      <c r="A8" t="s">
        <v>75</v>
      </c>
      <c r="D8" t="s">
        <v>183</v>
      </c>
    </row>
    <row r="11" spans="1:4" x14ac:dyDescent="0.35">
      <c r="A11" t="s">
        <v>84</v>
      </c>
    </row>
    <row r="12" spans="1:4" x14ac:dyDescent="0.35">
      <c r="A12" t="s">
        <v>184</v>
      </c>
    </row>
    <row r="14" spans="1:4" x14ac:dyDescent="0.35">
      <c r="A14" t="s">
        <v>85</v>
      </c>
    </row>
    <row r="15" spans="1:4" x14ac:dyDescent="0.35">
      <c r="A15" t="s">
        <v>184</v>
      </c>
    </row>
    <row r="17" spans="1:4" x14ac:dyDescent="0.35">
      <c r="A17" t="s">
        <v>100</v>
      </c>
    </row>
    <row r="18" spans="1:4" x14ac:dyDescent="0.35">
      <c r="A18" t="s">
        <v>101</v>
      </c>
    </row>
    <row r="19" spans="1:4" x14ac:dyDescent="0.35">
      <c r="A19" t="s">
        <v>102</v>
      </c>
    </row>
    <row r="20" spans="1:4" x14ac:dyDescent="0.35">
      <c r="A20" t="s">
        <v>103</v>
      </c>
    </row>
    <row r="21" spans="1:4" x14ac:dyDescent="0.35">
      <c r="A21" t="s">
        <v>104</v>
      </c>
    </row>
    <row r="22" spans="1:4" x14ac:dyDescent="0.35">
      <c r="A22" t="s">
        <v>105</v>
      </c>
    </row>
    <row r="23" spans="1:4" x14ac:dyDescent="0.35">
      <c r="A23" t="s">
        <v>106</v>
      </c>
    </row>
    <row r="24" spans="1:4" x14ac:dyDescent="0.35">
      <c r="A24" t="s">
        <v>109</v>
      </c>
    </row>
    <row r="26" spans="1:4" x14ac:dyDescent="0.35">
      <c r="A26" t="s">
        <v>107</v>
      </c>
      <c r="D26" t="s">
        <v>185</v>
      </c>
    </row>
    <row r="27" spans="1:4" x14ac:dyDescent="0.35">
      <c r="A27" t="s">
        <v>261</v>
      </c>
      <c r="D27" t="s">
        <v>186</v>
      </c>
    </row>
    <row r="28" spans="1:4" ht="31.5" customHeight="1" x14ac:dyDescent="0.35">
      <c r="A28" s="71" t="s">
        <v>262</v>
      </c>
      <c r="B28" s="71"/>
      <c r="D28" t="s">
        <v>187</v>
      </c>
    </row>
    <row r="29" spans="1:4" s="5" customFormat="1" ht="29.75" customHeight="1" x14ac:dyDescent="0.35">
      <c r="A29" s="71" t="s">
        <v>263</v>
      </c>
      <c r="B29" s="71"/>
      <c r="D29" s="5" t="s">
        <v>188</v>
      </c>
    </row>
    <row r="30" spans="1:4" s="5" customFormat="1" ht="29.75" customHeight="1" x14ac:dyDescent="0.35">
      <c r="A30" s="71" t="s">
        <v>264</v>
      </c>
      <c r="B30" s="71"/>
      <c r="D30" s="5" t="s">
        <v>265</v>
      </c>
    </row>
    <row r="31" spans="1:4" s="5" customFormat="1" ht="29.75" customHeight="1" x14ac:dyDescent="0.35">
      <c r="A31" s="72" t="s">
        <v>266</v>
      </c>
      <c r="B31" s="72"/>
      <c r="D31" s="5" t="s">
        <v>267</v>
      </c>
    </row>
    <row r="32" spans="1:4" x14ac:dyDescent="0.35">
      <c r="A32" t="s">
        <v>108</v>
      </c>
      <c r="D32" s="5" t="s">
        <v>259</v>
      </c>
    </row>
    <row r="33" spans="1:4" x14ac:dyDescent="0.35">
      <c r="D33" s="5" t="s">
        <v>260</v>
      </c>
    </row>
    <row r="34" spans="1:4" s="42" customFormat="1" x14ac:dyDescent="0.35">
      <c r="D34" s="5"/>
    </row>
    <row r="35" spans="1:4" x14ac:dyDescent="0.35">
      <c r="A35" t="s">
        <v>190</v>
      </c>
    </row>
    <row r="36" spans="1:4" x14ac:dyDescent="0.35">
      <c r="A36" t="s">
        <v>191</v>
      </c>
    </row>
    <row r="37" spans="1:4" x14ac:dyDescent="0.35">
      <c r="A37" t="s">
        <v>194</v>
      </c>
    </row>
    <row r="38" spans="1:4" x14ac:dyDescent="0.35">
      <c r="A38" t="s">
        <v>192</v>
      </c>
    </row>
    <row r="39" spans="1:4" x14ac:dyDescent="0.35">
      <c r="A39" t="s">
        <v>195</v>
      </c>
    </row>
    <row r="40" spans="1:4" x14ac:dyDescent="0.35">
      <c r="A40" t="s">
        <v>203</v>
      </c>
    </row>
    <row r="41" spans="1:4" x14ac:dyDescent="0.35">
      <c r="A41" t="s">
        <v>204</v>
      </c>
    </row>
    <row r="43" spans="1:4" x14ac:dyDescent="0.35">
      <c r="A43" t="s">
        <v>193</v>
      </c>
      <c r="D43" t="s">
        <v>196</v>
      </c>
    </row>
    <row r="44" spans="1:4" x14ac:dyDescent="0.35">
      <c r="A44" t="s">
        <v>197</v>
      </c>
      <c r="D44" t="s">
        <v>198</v>
      </c>
    </row>
    <row r="45" spans="1:4" x14ac:dyDescent="0.35">
      <c r="A45" t="s">
        <v>199</v>
      </c>
      <c r="D45" t="s">
        <v>200</v>
      </c>
    </row>
    <row r="46" spans="1:4" x14ac:dyDescent="0.35">
      <c r="A46" t="s">
        <v>201</v>
      </c>
      <c r="D46" t="s">
        <v>202</v>
      </c>
    </row>
    <row r="48" spans="1:4" x14ac:dyDescent="0.35">
      <c r="A48" t="s">
        <v>205</v>
      </c>
    </row>
    <row r="50" spans="1:4" x14ac:dyDescent="0.35">
      <c r="A50" t="s">
        <v>206</v>
      </c>
      <c r="D50" t="s">
        <v>196</v>
      </c>
    </row>
    <row r="51" spans="1:4" x14ac:dyDescent="0.35">
      <c r="A51" t="s">
        <v>207</v>
      </c>
      <c r="D51" t="s">
        <v>198</v>
      </c>
    </row>
    <row r="52" spans="1:4" x14ac:dyDescent="0.35">
      <c r="A52" t="s">
        <v>208</v>
      </c>
      <c r="D52" t="s">
        <v>200</v>
      </c>
    </row>
    <row r="53" spans="1:4" x14ac:dyDescent="0.35">
      <c r="A53" t="s">
        <v>209</v>
      </c>
      <c r="D53" t="s">
        <v>202</v>
      </c>
    </row>
    <row r="55" spans="1:4" x14ac:dyDescent="0.35">
      <c r="A55" t="s">
        <v>272</v>
      </c>
    </row>
    <row r="56" spans="1:4" x14ac:dyDescent="0.35">
      <c r="A56" t="s">
        <v>273</v>
      </c>
    </row>
    <row r="57" spans="1:4" s="42" customFormat="1" x14ac:dyDescent="0.35">
      <c r="A57" s="42" t="s">
        <v>274</v>
      </c>
    </row>
    <row r="58" spans="1:4" s="42" customFormat="1" x14ac:dyDescent="0.35">
      <c r="A58" s="42" t="s">
        <v>275</v>
      </c>
    </row>
    <row r="59" spans="1:4" s="42" customFormat="1" x14ac:dyDescent="0.35"/>
    <row r="60" spans="1:4" x14ac:dyDescent="0.35">
      <c r="A60" t="s">
        <v>268</v>
      </c>
      <c r="D60" t="s">
        <v>276</v>
      </c>
    </row>
    <row r="61" spans="1:4" x14ac:dyDescent="0.35">
      <c r="A61" t="s">
        <v>269</v>
      </c>
      <c r="D61" t="s">
        <v>279</v>
      </c>
    </row>
    <row r="62" spans="1:4" x14ac:dyDescent="0.35">
      <c r="A62" t="s">
        <v>270</v>
      </c>
      <c r="D62" s="42" t="s">
        <v>277</v>
      </c>
    </row>
    <row r="63" spans="1:4" x14ac:dyDescent="0.35">
      <c r="A63" t="s">
        <v>271</v>
      </c>
      <c r="D63" s="42" t="s">
        <v>278</v>
      </c>
    </row>
  </sheetData>
  <mergeCells count="4">
    <mergeCell ref="A28:B28"/>
    <mergeCell ref="A29:B29"/>
    <mergeCell ref="A30:B30"/>
    <mergeCell ref="A31:B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X58"/>
  <sheetViews>
    <sheetView topLeftCell="DA1" workbookViewId="0">
      <selection activeCell="A3" sqref="A3:DV3"/>
    </sheetView>
  </sheetViews>
  <sheetFormatPr defaultRowHeight="14.5" x14ac:dyDescent="0.35"/>
  <cols>
    <col min="23" max="23" width="8.6328125" style="43"/>
    <col min="31" max="31" width="12.54296875" customWidth="1"/>
    <col min="33" max="33" width="9.36328125" customWidth="1"/>
    <col min="34" max="34" width="12.90625" customWidth="1"/>
    <col min="38" max="38" width="16.08984375" customWidth="1"/>
    <col min="90" max="90" width="10.6328125" customWidth="1"/>
  </cols>
  <sheetData>
    <row r="1" spans="1:128" x14ac:dyDescent="0.35">
      <c r="A1" t="s">
        <v>512</v>
      </c>
    </row>
    <row r="2" spans="1:128" s="1" customFormat="1" x14ac:dyDescent="0.35">
      <c r="W2" s="12"/>
    </row>
    <row r="3" spans="1:128" ht="58" x14ac:dyDescent="0.35">
      <c r="A3" s="1" t="str">
        <f>'Indiv. Surfactant Key'!A3</f>
        <v>TMN6</v>
      </c>
      <c r="B3" s="1" t="str">
        <f>'Indiv. Surfactant Key'!A4</f>
        <v>T15-S-7</v>
      </c>
      <c r="C3" s="1" t="str">
        <f>'Indiv. Surfactant Key'!A5</f>
        <v>TrX45</v>
      </c>
      <c r="D3" s="1" t="str">
        <f>'Indiv. Surfactant Key'!A6</f>
        <v>TrX114</v>
      </c>
      <c r="E3" s="1" t="str">
        <f>'Indiv. Surfactant Key'!A74</f>
        <v>LinSucSulf</v>
      </c>
      <c r="F3" s="1" t="str">
        <f>'Indiv. Surfactant Key'!A7</f>
        <v>T4</v>
      </c>
      <c r="G3" s="1" t="str">
        <f>'Indiv. Surfactant Key'!A75</f>
        <v>TrCG-425</v>
      </c>
      <c r="H3" s="1" t="str">
        <f>'Indiv. Surfactant Key'!A8</f>
        <v>AlfSodSalt</v>
      </c>
      <c r="I3" s="1" t="str">
        <f>'Indiv. Surfactant Key'!A76</f>
        <v>AlphaFoam</v>
      </c>
      <c r="J3" s="1" t="str">
        <f>'Indiv. Surfactant Key'!A77</f>
        <v>D5575</v>
      </c>
      <c r="K3" s="1" t="str">
        <f>'Indiv. Surfactant Key'!A78</f>
        <v>D5244</v>
      </c>
      <c r="L3" s="1" t="str">
        <f>'Indiv. Surfactant Key'!A79</f>
        <v>D193</v>
      </c>
      <c r="M3" s="1" t="str">
        <f>'Indiv. Surfactant Key'!A80</f>
        <v>D501W</v>
      </c>
      <c r="N3" s="1" t="str">
        <f>'Indiv. Surfactant Key'!A81</f>
        <v>D198</v>
      </c>
      <c r="O3" s="1" t="str">
        <f>'Indiv. Surfactant Key'!A82</f>
        <v>D5604</v>
      </c>
      <c r="P3" s="1" t="str">
        <f>'Indiv. Surfactant Key'!A10</f>
        <v>D502W</v>
      </c>
      <c r="Q3" s="1" t="str">
        <f>'Indiv. Surfactant Key'!A83</f>
        <v>D5098</v>
      </c>
      <c r="R3" s="1" t="str">
        <f>'Indiv. Surfactant Key'!A11</f>
        <v>SDS</v>
      </c>
      <c r="S3" s="1" t="str">
        <f>'Indiv. Surfactant Key'!A12</f>
        <v>TrX100</v>
      </c>
      <c r="T3" s="1" t="str">
        <f>'Indiv. Surfactant Key'!A84</f>
        <v>Silphos</v>
      </c>
      <c r="U3" s="1" t="str">
        <f>'Indiv. Surfactant Key'!A85</f>
        <v>Silsurf</v>
      </c>
      <c r="V3" s="1" t="str">
        <f>'Indiv. Surfactant Key'!A13</f>
        <v>CTAB</v>
      </c>
      <c r="W3" s="12" t="str">
        <f>'Formulation Names Mix CMC Data'!A38</f>
        <v>Cap_DGBE</v>
      </c>
      <c r="X3" s="1" t="str">
        <f>'Indiv. Surfactant Key'!A14</f>
        <v>Cap</v>
      </c>
      <c r="Y3" s="1" t="str">
        <f>'Indiv. Surfactant Key'!A15</f>
        <v>L77</v>
      </c>
      <c r="Z3" s="1" t="str">
        <f>'Indiv. Surfactant Key'!A16</f>
        <v>PFOA</v>
      </c>
      <c r="AA3" s="1" t="str">
        <f>'Indiv. Surfactant Key'!A86</f>
        <v>D67</v>
      </c>
      <c r="AB3" s="1" t="str">
        <f>'Formulation Names Mix CMC Data'!A39</f>
        <v>G225_DGBE</v>
      </c>
      <c r="AC3" s="1" t="str">
        <f>'Formulation Names Mix CMC Data'!A40</f>
        <v>G600_DGBE</v>
      </c>
      <c r="AD3" s="1" t="str">
        <f>'Formulation Names Mix CMC Data'!A41</f>
        <v>G215_DGBE</v>
      </c>
      <c r="AE3" s="1" t="str">
        <f>'Formulation Names Mix CMC Data'!A42</f>
        <v>Gel6185_DGBE</v>
      </c>
      <c r="AF3" s="12" t="str">
        <f>'Indiv. Surfactant Key'!A17</f>
        <v>NRL_N10358-107</v>
      </c>
      <c r="AG3" s="12" t="str">
        <f>'Indiv. Surfactant Key'!A18</f>
        <v>NRL_N10358-106</v>
      </c>
      <c r="AH3" s="12" t="str">
        <f>'Indiv. Surfactant Key'!A19</f>
        <v>NRL_N10358-135</v>
      </c>
      <c r="AI3" s="12" t="str">
        <f>'Indiv. Surfactant Key'!A20</f>
        <v>NRL_N10477-12</v>
      </c>
      <c r="AJ3" s="12" t="str">
        <f>'Indiv. Surfactant Key'!A21</f>
        <v>NRL_N10358-176</v>
      </c>
      <c r="AK3" s="12" t="str">
        <f>'Indiv. Surfactant Key'!A22</f>
        <v>NRL_N10358-174</v>
      </c>
      <c r="AL3" s="12" t="str">
        <f>'Indiv. Surfactant Key'!A23</f>
        <v>NRL_N10358-169</v>
      </c>
      <c r="AM3" s="12" t="str">
        <f>'Indiv. Surfactant Key'!A24</f>
        <v>NRL_N10477-01</v>
      </c>
      <c r="AN3" s="12" t="str">
        <f>'Indiv. Surfactant Key'!A25</f>
        <v>NRL_N10358-161</v>
      </c>
      <c r="AO3" s="12" t="str">
        <f>'Indiv. Surfactant Key'!A26</f>
        <v>NRL_N10477-09</v>
      </c>
      <c r="AP3" s="12" t="str">
        <f>'Indiv. Surfactant Key'!A27</f>
        <v>NRL_N10477-07</v>
      </c>
      <c r="AQ3" s="12" t="str">
        <f>'Indiv. Surfactant Key'!A28</f>
        <v>NRL_N10477-03</v>
      </c>
      <c r="AR3" s="12" t="str">
        <f>'Indiv. Surfactant Key'!A29</f>
        <v>NRL_N10477-05</v>
      </c>
      <c r="AS3" s="12" t="str">
        <f>'Indiv. Surfactant Key'!A30</f>
        <v>Gel6185</v>
      </c>
      <c r="AT3" s="12" t="str">
        <f>'Indiv. Surfactant Key'!A31</f>
        <v>G215</v>
      </c>
      <c r="AU3" s="12" t="str">
        <f>'Indiv. Surfactant Key'!A32</f>
        <v>G225</v>
      </c>
      <c r="AV3" s="1" t="str">
        <f>'Formulation Names Mix CMC Data'!A4</f>
        <v>TMN6_G215_3_2</v>
      </c>
      <c r="AW3" s="1" t="str">
        <f>'Formulation Names Mix CMC Data'!A5</f>
        <v>T15-S-7_G215_3_2</v>
      </c>
      <c r="AX3" s="1" t="str">
        <f>'Formulation Names Mix CMC Data'!A6</f>
        <v>TrX45_G215_3_2</v>
      </c>
      <c r="AY3" s="1" t="str">
        <f>'Formulation Names Mix CMC Data'!A7</f>
        <v>TrX114_G215_3_2</v>
      </c>
      <c r="AZ3" s="1" t="str">
        <f>'Formulation Names Mix CMC Data'!A8</f>
        <v>LinSucSulf_G215_3_2</v>
      </c>
      <c r="BA3" s="1" t="str">
        <f>'Formulation Names Mix CMC Data'!A9</f>
        <v>T4_G215_3_2</v>
      </c>
      <c r="BB3" s="1" t="str">
        <f>'Formulation Names Mix CMC Data'!A10</f>
        <v>TrCG-425_G215_3_2</v>
      </c>
      <c r="BC3" s="1" t="str">
        <f>'Formulation Names Mix CMC Data'!A11</f>
        <v>AlfSodSalt_G215_3_2</v>
      </c>
      <c r="BD3" s="1" t="str">
        <f>'Formulation Names Mix CMC Data'!A12</f>
        <v>AlphaFoam_G215_3_2</v>
      </c>
      <c r="BE3" s="1" t="str">
        <f>'Formulation Names Mix CMC Data'!A13</f>
        <v>Mys_G215_3_2</v>
      </c>
      <c r="BF3" s="1" t="str">
        <f>'Formulation Names Mix CMC Data'!A14</f>
        <v>D5575_G215_3_2</v>
      </c>
      <c r="BG3" s="1" t="str">
        <f>'Formulation Names Mix CMC Data'!A15</f>
        <v>D5244_G215_3_2</v>
      </c>
      <c r="BH3" s="1" t="str">
        <f>'Formulation Names Mix CMC Data'!A16</f>
        <v>D193_G215_3_2</v>
      </c>
      <c r="BI3" s="1" t="str">
        <f>'Formulation Names Mix CMC Data'!A17</f>
        <v>D501W_G215_3_2</v>
      </c>
      <c r="BJ3" s="1" t="str">
        <f>'Formulation Names Mix CMC Data'!A18</f>
        <v>D198_G215_3_2</v>
      </c>
      <c r="BK3" s="1" t="str">
        <f>'Formulation Names Mix CMC Data'!A19</f>
        <v>D5604_G215_3_2</v>
      </c>
      <c r="BL3" s="1" t="str">
        <f>'Formulation Names Mix CMC Data'!A20</f>
        <v>D502W_G215_3_2</v>
      </c>
      <c r="BM3" s="1" t="str">
        <f>'Formulation Names Mix CMC Data'!A21</f>
        <v>D5098_G215_3_2</v>
      </c>
      <c r="BN3" s="1" t="str">
        <f>'Formulation Names Mix CMC Data'!A22</f>
        <v>SDS_G215_3_2</v>
      </c>
      <c r="BO3" s="1" t="str">
        <f>'Formulation Names Mix CMC Data'!A23</f>
        <v>TrX100_G215_3_2</v>
      </c>
      <c r="BP3" s="1" t="str">
        <f>'Formulation Names Mix CMC Data'!A24</f>
        <v>Silphos_G215_3_2</v>
      </c>
      <c r="BQ3" s="1" t="str">
        <f>'Formulation Names Mix CMC Data'!A25</f>
        <v>L77_G215_3_2</v>
      </c>
      <c r="BR3" s="1" t="str">
        <f>'Formulation Names Mix CMC Data'!A26</f>
        <v>D502W_TrX100_3_2</v>
      </c>
      <c r="BS3" s="1" t="str">
        <f>'Formulation Names Mix CMC Data'!A27</f>
        <v>D67_G215_3_2</v>
      </c>
      <c r="BT3" s="1" t="str">
        <f>'Formulation Names Mix CMC Data'!A28</f>
        <v>D502W_G215_2_3</v>
      </c>
      <c r="BU3" s="1" t="str">
        <f>'Formulation Names Mix CMC Data'!A29</f>
        <v>D502W_G225_2_3</v>
      </c>
      <c r="BV3" s="1" t="str">
        <f>'Formulation Names Mix CMC Data'!A30</f>
        <v>D502W_G600_2_3</v>
      </c>
      <c r="BW3" s="1" t="str">
        <f>'Formulation Names Mix CMC Data'!A31</f>
        <v>Gel6492.6_G215_3_2</v>
      </c>
      <c r="BX3" s="1" t="str">
        <f>'Formulation Names Mix CMC Data'!A32</f>
        <v>T15-S-9_G215_3_2</v>
      </c>
      <c r="BY3" s="1" t="str">
        <f>'Formulation Names Mix CMC Data'!A33</f>
        <v>T15-S-12_G215_3_2</v>
      </c>
      <c r="BZ3" s="1" t="str">
        <f>'Formulation Names Mix CMC Data'!A34</f>
        <v>L77_G225_2_3</v>
      </c>
      <c r="CA3" s="1" t="str">
        <f>'Formulation Names Mix CMC Data'!A35</f>
        <v>D67_G225_2_3</v>
      </c>
      <c r="CB3" s="1" t="str">
        <f>'Formulation Names Mix CMC Data'!A36</f>
        <v>D502W_C6G2_1_1</v>
      </c>
      <c r="CC3" s="1" t="str">
        <f>'Formulation Names Mix CMC Data'!A37</f>
        <v>Gel6185_G215_3_2</v>
      </c>
      <c r="CD3" s="1" t="str">
        <f>'Indiv. Surfactant Key'!A53</f>
        <v>CL_MD2086-97</v>
      </c>
      <c r="CE3" s="1" t="str">
        <f>'Indiv. Surfactant Key'!A54</f>
        <v>CL_MD2012-16</v>
      </c>
      <c r="CF3" s="1" t="str">
        <f>'Indiv. Surfactant Key'!A55</f>
        <v>NRL_CB-1-123</v>
      </c>
      <c r="CG3" s="1" t="str">
        <f>'Formulation Names Mix CMC Data'!A43</f>
        <v>CL_MD2086-97_G225_2_3</v>
      </c>
      <c r="CH3" s="1" t="str">
        <f>'Formulation Names Mix CMC Data'!A44</f>
        <v>CL_MD2012-16_G225_2_3</v>
      </c>
      <c r="CI3" s="1" t="str">
        <f>'Formulation Names Mix CMC Data'!A45</f>
        <v>NRL_CB-1-123_G225_2_3</v>
      </c>
      <c r="CJ3" s="1" t="str">
        <f>'Indiv. Surfactant Key'!A59</f>
        <v>CL_MD2102-54</v>
      </c>
      <c r="CK3" s="1" t="str">
        <f>'Formulation Names Mix CMC Data'!A46</f>
        <v>CL_MD2102-54_G225_2_3</v>
      </c>
      <c r="CL3" s="1" t="str">
        <f>'Indiv. Surfactant Key'!A64</f>
        <v>NRL_LBII43</v>
      </c>
      <c r="CM3" s="1" t="str">
        <f>'Formulation Names Mix CMC Data'!A47</f>
        <v>NRL_LBII43_G225_2_3</v>
      </c>
      <c r="CN3" s="1" t="str">
        <f>'Formulation Names Mix CMC Data'!A48</f>
        <v>NRL_CB_DTBTS_SB_G225_2_3</v>
      </c>
      <c r="CO3" s="1" t="str">
        <f>'Formulation Names Mix CMC Data'!A49</f>
        <v>NRL_N10478-233_G225_2_3</v>
      </c>
      <c r="CP3" s="1" t="str">
        <f>'Formulation Names Mix CMC Data'!A50</f>
        <v>Cap_TrX100_3_2</v>
      </c>
      <c r="CQ3" s="1" t="str">
        <f>'Formulation Names Mix CMC Data'!A51</f>
        <v>Cap_G225_3_2</v>
      </c>
      <c r="CR3" s="1" t="str">
        <f>'Formulation Names Mix CMC Data'!A52</f>
        <v>CL_MD2062-57_G225_2_3</v>
      </c>
      <c r="CS3" s="1" t="str">
        <f>'Formulation Names Mix CMC Data'!A53</f>
        <v>NRL_N10477-05_G225_2_3</v>
      </c>
      <c r="CT3" s="1" t="str">
        <f>'Formulation Names Mix CMC Data'!A54</f>
        <v>D502W_C7G1_1_1</v>
      </c>
      <c r="CU3" s="1" t="str">
        <f>'Formulation Names Mix CMC Data'!A55</f>
        <v>D502W_C7G1_1_1</v>
      </c>
      <c r="CV3" s="1" t="str">
        <f>'Formulation Names Mix CMC Data'!A56</f>
        <v>D502W_C8G1_1_1</v>
      </c>
      <c r="CW3" s="1" t="str">
        <f>'Formulation Names Mix CMC Data'!A57</f>
        <v>D502W_C9G2_1_1</v>
      </c>
      <c r="CX3" s="1" t="str">
        <f>'Formulation Names Mix CMC Data'!A58</f>
        <v>D502W_C10G2_1_1</v>
      </c>
      <c r="CY3" s="1" t="str">
        <f>'Formulation Names Mix CMC Data'!A59</f>
        <v>D502W_C12G2_1_1</v>
      </c>
      <c r="CZ3" s="1" t="str">
        <f>'Formulation Names Mix CMC Data'!A60</f>
        <v>D502W_C8G2_1_1</v>
      </c>
      <c r="DA3" s="1" t="str">
        <f>'Formulation Names Mix CMC Data'!A61</f>
        <v>D502W_iC8G2_1_1</v>
      </c>
      <c r="DB3" s="1" t="str">
        <f>'Formulation Names Mix CMC Data'!A62</f>
        <v>D502W_Cymal_1_1</v>
      </c>
      <c r="DC3" s="1" t="str">
        <f>'Formulation Names Mix CMC Data'!A63</f>
        <v>D502W_C8SG2_1_1</v>
      </c>
      <c r="DD3" s="1" t="str">
        <f>'Indiv. Surfactant Key'!A69</f>
        <v>CL_MD2102-90</v>
      </c>
      <c r="DE3" s="1" t="str">
        <f>'Formulation Names Mix CMC Data'!A64</f>
        <v>CL_MD2102-90_G225_2_3</v>
      </c>
      <c r="DF3" s="1" t="str">
        <f>'Indiv. Surfactant Key'!A71</f>
        <v>CL_MD2102-118</v>
      </c>
      <c r="DG3" s="1" t="str">
        <f>'Formulation Names Mix CMC Data'!A65</f>
        <v>CL_MD2102-118_G225_2_3</v>
      </c>
      <c r="DH3" s="1" t="str">
        <f>'Formulation Names Mix CMC Data'!A66</f>
        <v>Cap_TrGR-5M_3_2</v>
      </c>
      <c r="DI3" s="1" t="str">
        <f>'Formulation Names Mix CMC Data'!A67</f>
        <v>NRL_N10478-198_G225_1_5</v>
      </c>
      <c r="DJ3" s="1" t="str">
        <f>'Formulation Names Mix CMC Data'!A68</f>
        <v>NRL_N10358-174_G225_2_3</v>
      </c>
      <c r="DK3" s="1" t="str">
        <f>'Formulation Names Mix CMC Data'!A69</f>
        <v>NRL_N10358-176_G225_2_3</v>
      </c>
      <c r="DL3" s="1" t="str">
        <f>'Formulation Names Mix CMC Data'!A70</f>
        <v>NRL_N10477-01_G225_2_3</v>
      </c>
      <c r="DM3" s="1" t="str">
        <f>'Formulation Names Mix CMC Data'!A71</f>
        <v>NRL_N10477-03_G225_2_3</v>
      </c>
      <c r="DN3" s="1" t="str">
        <f>'Formulation Names Mix CMC Data'!A72</f>
        <v>NRL_N10477-09_G225_2_3</v>
      </c>
      <c r="DO3" s="1" t="str">
        <f>'Formulation Names Mix CMC Data'!A73</f>
        <v>NRL_N10477-07_G225_2_3</v>
      </c>
      <c r="DP3" s="1" t="str">
        <f>'Formulation Names Mix CMC Data'!A74</f>
        <v>NRL_N10477-12_G225_2_3</v>
      </c>
      <c r="DQ3" s="1" t="str">
        <f>'Indiv. Surfactant Key'!A70</f>
        <v>CL_MD2102-112</v>
      </c>
      <c r="DR3" s="1" t="str">
        <f>'Formulation Names Mix CMC Data'!A76</f>
        <v>CL_MD2102-112_G225_2_3</v>
      </c>
      <c r="DS3" s="1" t="str">
        <f>'Formulation Names Mix CMC Data'!A77</f>
        <v>CL_MD2062-124_G225_1_4.6</v>
      </c>
      <c r="DT3" s="1" t="str">
        <f>'Formulation Names Mix CMC Data'!A78</f>
        <v>NRL_N10477-189_G225_1_6</v>
      </c>
      <c r="DU3" s="1" t="str">
        <f>'Indiv. Surfactant Key'!A72</f>
        <v>NRL_CB-1-192</v>
      </c>
      <c r="DV3" s="1" t="str">
        <f>'Formulation Names Mix CMC Data'!A80</f>
        <v>NRL_CB-1-192_G225_2_3</v>
      </c>
      <c r="DW3" s="1"/>
      <c r="DX3" s="1"/>
    </row>
    <row r="4" spans="1:128" x14ac:dyDescent="0.35">
      <c r="A4">
        <v>2</v>
      </c>
      <c r="B4">
        <v>2</v>
      </c>
      <c r="C4">
        <v>2</v>
      </c>
      <c r="D4">
        <v>2</v>
      </c>
      <c r="E4">
        <v>2</v>
      </c>
      <c r="F4">
        <v>2</v>
      </c>
      <c r="G4">
        <v>2</v>
      </c>
      <c r="H4">
        <v>2</v>
      </c>
      <c r="I4">
        <v>2</v>
      </c>
      <c r="J4">
        <v>2</v>
      </c>
      <c r="K4">
        <v>2</v>
      </c>
      <c r="L4">
        <v>2</v>
      </c>
      <c r="M4">
        <v>2</v>
      </c>
      <c r="N4">
        <v>2</v>
      </c>
      <c r="O4">
        <v>2</v>
      </c>
      <c r="P4">
        <v>2</v>
      </c>
      <c r="Q4">
        <v>2</v>
      </c>
      <c r="R4">
        <v>2</v>
      </c>
      <c r="S4">
        <v>2</v>
      </c>
      <c r="T4">
        <v>2</v>
      </c>
      <c r="U4">
        <v>2</v>
      </c>
      <c r="V4">
        <v>2</v>
      </c>
      <c r="W4" s="43">
        <v>2</v>
      </c>
      <c r="X4">
        <v>2</v>
      </c>
      <c r="Y4">
        <v>2</v>
      </c>
      <c r="Z4">
        <v>2</v>
      </c>
      <c r="AA4">
        <v>2</v>
      </c>
      <c r="AB4">
        <v>2</v>
      </c>
      <c r="AC4">
        <v>2</v>
      </c>
      <c r="AD4">
        <v>2</v>
      </c>
      <c r="AE4">
        <v>2</v>
      </c>
      <c r="AF4">
        <v>2</v>
      </c>
      <c r="AG4">
        <v>2</v>
      </c>
      <c r="AH4">
        <v>2</v>
      </c>
      <c r="AI4">
        <v>2</v>
      </c>
      <c r="AJ4">
        <v>2</v>
      </c>
      <c r="AK4">
        <v>2</v>
      </c>
      <c r="AL4">
        <v>2</v>
      </c>
      <c r="AM4">
        <v>2</v>
      </c>
      <c r="AN4">
        <v>2</v>
      </c>
      <c r="AO4">
        <v>2</v>
      </c>
      <c r="AP4">
        <v>2</v>
      </c>
      <c r="AQ4">
        <v>2</v>
      </c>
      <c r="AR4">
        <v>2</v>
      </c>
      <c r="AS4">
        <v>2</v>
      </c>
      <c r="AT4">
        <v>2</v>
      </c>
      <c r="AU4">
        <v>2</v>
      </c>
      <c r="AV4">
        <v>2</v>
      </c>
      <c r="AW4">
        <v>2</v>
      </c>
      <c r="AX4">
        <v>2</v>
      </c>
      <c r="AY4">
        <v>2</v>
      </c>
      <c r="AZ4">
        <v>2</v>
      </c>
      <c r="BA4">
        <v>2</v>
      </c>
      <c r="BB4">
        <v>2</v>
      </c>
      <c r="BC4">
        <v>2</v>
      </c>
      <c r="BD4">
        <v>2</v>
      </c>
      <c r="BE4">
        <v>2</v>
      </c>
      <c r="BF4">
        <v>2</v>
      </c>
      <c r="BG4">
        <v>2</v>
      </c>
      <c r="BH4">
        <v>2</v>
      </c>
      <c r="BI4">
        <v>2</v>
      </c>
      <c r="BJ4">
        <v>2</v>
      </c>
      <c r="BK4">
        <v>2</v>
      </c>
      <c r="BL4">
        <v>2</v>
      </c>
      <c r="BM4">
        <v>2</v>
      </c>
      <c r="BN4">
        <v>2</v>
      </c>
      <c r="BO4">
        <v>2</v>
      </c>
      <c r="BP4">
        <v>2</v>
      </c>
      <c r="BQ4">
        <v>2</v>
      </c>
      <c r="BR4">
        <v>2</v>
      </c>
      <c r="BS4">
        <v>2</v>
      </c>
      <c r="BT4">
        <v>2</v>
      </c>
      <c r="BU4">
        <v>2</v>
      </c>
      <c r="BV4">
        <v>2</v>
      </c>
      <c r="BW4">
        <v>2</v>
      </c>
      <c r="BX4">
        <v>2</v>
      </c>
      <c r="BY4">
        <v>2</v>
      </c>
      <c r="BZ4">
        <v>2</v>
      </c>
      <c r="CA4">
        <v>2</v>
      </c>
      <c r="CB4">
        <v>5</v>
      </c>
      <c r="CC4">
        <v>2</v>
      </c>
      <c r="CD4">
        <v>2</v>
      </c>
      <c r="CE4">
        <v>2</v>
      </c>
      <c r="CF4">
        <v>2</v>
      </c>
      <c r="CG4">
        <v>2</v>
      </c>
      <c r="CH4">
        <v>1</v>
      </c>
      <c r="CI4">
        <v>2</v>
      </c>
      <c r="CJ4">
        <v>2</v>
      </c>
      <c r="CK4">
        <v>2</v>
      </c>
      <c r="CL4" s="42">
        <v>1</v>
      </c>
      <c r="CM4" s="42">
        <v>1</v>
      </c>
      <c r="CN4" s="42">
        <v>0.05</v>
      </c>
      <c r="CO4" s="42">
        <v>0.5</v>
      </c>
      <c r="CP4" s="42">
        <v>2</v>
      </c>
      <c r="CQ4" s="42">
        <v>0.5</v>
      </c>
      <c r="CR4" s="42">
        <v>2</v>
      </c>
      <c r="CS4" s="42">
        <v>2</v>
      </c>
      <c r="CT4" s="42">
        <v>2</v>
      </c>
      <c r="CU4" s="42">
        <v>2</v>
      </c>
      <c r="CV4" s="42">
        <v>2</v>
      </c>
      <c r="CW4" s="42">
        <v>2</v>
      </c>
      <c r="CX4" s="42">
        <v>2</v>
      </c>
      <c r="CY4" s="42">
        <v>2</v>
      </c>
      <c r="CZ4" s="42">
        <v>2</v>
      </c>
      <c r="DA4" s="42">
        <v>2</v>
      </c>
      <c r="DB4" s="42">
        <v>2</v>
      </c>
      <c r="DC4" s="42">
        <v>2</v>
      </c>
      <c r="DD4" s="42">
        <v>1</v>
      </c>
      <c r="DE4" s="42">
        <v>1</v>
      </c>
      <c r="DF4">
        <v>0.5</v>
      </c>
      <c r="DG4">
        <v>0.5</v>
      </c>
      <c r="DH4" s="42">
        <f>2</f>
        <v>2</v>
      </c>
      <c r="DI4" s="42">
        <v>1</v>
      </c>
      <c r="DJ4" s="42">
        <f>2</f>
        <v>2</v>
      </c>
      <c r="DK4" s="42">
        <f>2</f>
        <v>2</v>
      </c>
      <c r="DL4" s="42">
        <f>2</f>
        <v>2</v>
      </c>
      <c r="DM4" s="42">
        <v>1</v>
      </c>
      <c r="DN4" s="42">
        <v>2</v>
      </c>
      <c r="DO4" s="42">
        <v>2</v>
      </c>
      <c r="DP4" s="42">
        <v>2</v>
      </c>
      <c r="DQ4" s="42">
        <v>0.5</v>
      </c>
      <c r="DR4" s="42">
        <v>0.5</v>
      </c>
      <c r="DS4" s="42">
        <v>0.36499999999999999</v>
      </c>
      <c r="DT4" s="42">
        <v>0.35</v>
      </c>
      <c r="DU4" s="42">
        <v>1</v>
      </c>
      <c r="DV4" s="42">
        <v>1</v>
      </c>
      <c r="DW4" s="42"/>
    </row>
    <row r="5" spans="1:128" x14ac:dyDescent="0.35">
      <c r="A5">
        <v>1</v>
      </c>
      <c r="B5">
        <v>1</v>
      </c>
      <c r="C5">
        <v>1</v>
      </c>
      <c r="D5">
        <v>1</v>
      </c>
      <c r="E5">
        <v>1</v>
      </c>
      <c r="F5">
        <v>1</v>
      </c>
      <c r="G5">
        <v>1</v>
      </c>
      <c r="H5">
        <v>1</v>
      </c>
      <c r="I5">
        <v>1</v>
      </c>
      <c r="J5">
        <v>1</v>
      </c>
      <c r="K5">
        <v>1</v>
      </c>
      <c r="L5">
        <v>1</v>
      </c>
      <c r="M5">
        <v>1</v>
      </c>
      <c r="N5">
        <v>1</v>
      </c>
      <c r="O5">
        <v>1</v>
      </c>
      <c r="P5">
        <v>1</v>
      </c>
      <c r="Q5">
        <v>1</v>
      </c>
      <c r="R5">
        <v>1</v>
      </c>
      <c r="S5">
        <v>1</v>
      </c>
      <c r="T5">
        <v>1</v>
      </c>
      <c r="U5">
        <v>1</v>
      </c>
      <c r="V5">
        <v>1</v>
      </c>
      <c r="W5" s="43">
        <v>1</v>
      </c>
      <c r="X5">
        <v>6.25E-2</v>
      </c>
      <c r="Y5">
        <v>1</v>
      </c>
      <c r="Z5">
        <v>1</v>
      </c>
      <c r="AA5">
        <v>6.25E-2</v>
      </c>
      <c r="AB5">
        <v>1</v>
      </c>
      <c r="AC5">
        <v>6.25E-2</v>
      </c>
      <c r="AD5">
        <v>1</v>
      </c>
      <c r="AE5">
        <v>6.25E-2</v>
      </c>
      <c r="AF5">
        <v>1</v>
      </c>
      <c r="AG5">
        <v>1</v>
      </c>
      <c r="AH5">
        <v>1</v>
      </c>
      <c r="AI5">
        <v>6.25E-2</v>
      </c>
      <c r="AJ5">
        <v>6.25E-2</v>
      </c>
      <c r="AK5">
        <v>1</v>
      </c>
      <c r="AL5">
        <v>6.25E-2</v>
      </c>
      <c r="AM5">
        <v>6.25E-2</v>
      </c>
      <c r="AN5">
        <v>6.25E-2</v>
      </c>
      <c r="AO5">
        <v>6.25E-2</v>
      </c>
      <c r="AP5">
        <v>6.25E-2</v>
      </c>
      <c r="AQ5">
        <v>6.25E-2</v>
      </c>
      <c r="AR5">
        <v>6.25E-2</v>
      </c>
      <c r="AS5">
        <v>6.25E-2</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6.25E-2</v>
      </c>
      <c r="BS5">
        <v>6.25E-2</v>
      </c>
      <c r="BT5">
        <v>6.25E-2</v>
      </c>
      <c r="BU5">
        <v>6.25E-2</v>
      </c>
      <c r="BV5">
        <v>6.25E-2</v>
      </c>
      <c r="BW5">
        <v>6.25E-2</v>
      </c>
      <c r="BX5">
        <v>6.25E-2</v>
      </c>
      <c r="BY5">
        <v>6.25E-2</v>
      </c>
      <c r="BZ5">
        <v>6.25E-2</v>
      </c>
      <c r="CA5">
        <v>6.25E-2</v>
      </c>
      <c r="CB5">
        <v>0.15625</v>
      </c>
      <c r="CC5">
        <v>6.25E-2</v>
      </c>
      <c r="CD5">
        <v>1</v>
      </c>
      <c r="CE5">
        <v>0.25</v>
      </c>
      <c r="CF5">
        <v>1</v>
      </c>
      <c r="CG5">
        <v>1</v>
      </c>
      <c r="CH5">
        <v>0.5</v>
      </c>
      <c r="CI5">
        <v>0.5</v>
      </c>
      <c r="CJ5">
        <v>0.25</v>
      </c>
      <c r="CK5">
        <v>1</v>
      </c>
      <c r="CL5" s="42">
        <v>0.125</v>
      </c>
      <c r="CM5" s="42">
        <v>0.125</v>
      </c>
      <c r="CN5" s="42">
        <f>CN4/2</f>
        <v>2.5000000000000001E-2</v>
      </c>
      <c r="CO5" s="42">
        <v>6.25E-2</v>
      </c>
      <c r="CP5" s="42">
        <v>6.25E-2</v>
      </c>
      <c r="CQ5" s="42">
        <v>6.25E-2</v>
      </c>
      <c r="CR5" s="42">
        <v>1</v>
      </c>
      <c r="CS5" s="42">
        <v>1</v>
      </c>
      <c r="CT5" s="42">
        <v>1</v>
      </c>
      <c r="CU5" s="42">
        <v>1</v>
      </c>
      <c r="CV5" s="42">
        <v>1</v>
      </c>
      <c r="CW5" s="42">
        <v>1</v>
      </c>
      <c r="CX5" s="42">
        <v>1</v>
      </c>
      <c r="CY5" s="42">
        <v>1</v>
      </c>
      <c r="CZ5" s="42">
        <v>1</v>
      </c>
      <c r="DA5" s="42">
        <v>1</v>
      </c>
      <c r="DB5" s="42">
        <v>1</v>
      </c>
      <c r="DC5" s="42">
        <v>1</v>
      </c>
      <c r="DD5" s="42">
        <v>0.5</v>
      </c>
      <c r="DE5" s="42">
        <v>0.25</v>
      </c>
      <c r="DF5">
        <v>6.25E-2</v>
      </c>
      <c r="DG5">
        <v>6.25E-2</v>
      </c>
      <c r="DH5" s="42">
        <f>0.0625</f>
        <v>6.25E-2</v>
      </c>
      <c r="DI5" s="42">
        <f>DI4/2</f>
        <v>0.5</v>
      </c>
      <c r="DJ5" s="42">
        <f>1</f>
        <v>1</v>
      </c>
      <c r="DK5" s="42">
        <f>0.0625</f>
        <v>6.25E-2</v>
      </c>
      <c r="DL5" s="42">
        <f>0.5</f>
        <v>0.5</v>
      </c>
      <c r="DM5" s="42">
        <v>6.25E-2</v>
      </c>
      <c r="DN5" s="42">
        <v>6.25E-2</v>
      </c>
      <c r="DO5" s="42">
        <v>6.25E-2</v>
      </c>
      <c r="DP5" s="42">
        <v>6.25E-2</v>
      </c>
      <c r="DQ5" s="42">
        <v>6.25E-2</v>
      </c>
      <c r="DR5" s="42">
        <v>6.25E-2</v>
      </c>
      <c r="DS5" s="42">
        <f>DS4/2</f>
        <v>0.1825</v>
      </c>
      <c r="DT5" s="42">
        <f>DT4/2</f>
        <v>0.17499999999999999</v>
      </c>
      <c r="DU5" s="42">
        <v>0.5</v>
      </c>
      <c r="DV5" s="42">
        <v>0.5</v>
      </c>
      <c r="DW5" s="42"/>
    </row>
    <row r="6" spans="1:128" x14ac:dyDescent="0.35">
      <c r="A6">
        <v>0.5</v>
      </c>
      <c r="B6">
        <v>0.5</v>
      </c>
      <c r="C6">
        <v>0.5</v>
      </c>
      <c r="D6">
        <v>0.5</v>
      </c>
      <c r="E6">
        <v>0.5</v>
      </c>
      <c r="F6">
        <v>0.5</v>
      </c>
      <c r="G6">
        <v>0.5</v>
      </c>
      <c r="H6">
        <v>0.5</v>
      </c>
      <c r="I6">
        <v>0.5</v>
      </c>
      <c r="J6">
        <v>0.5</v>
      </c>
      <c r="K6">
        <v>0.5</v>
      </c>
      <c r="L6">
        <v>0.5</v>
      </c>
      <c r="M6">
        <v>0.5</v>
      </c>
      <c r="N6">
        <v>0.5</v>
      </c>
      <c r="O6">
        <v>0.5</v>
      </c>
      <c r="P6">
        <v>0.5</v>
      </c>
      <c r="Q6">
        <v>0.5</v>
      </c>
      <c r="R6">
        <v>0.5</v>
      </c>
      <c r="S6">
        <v>0.5</v>
      </c>
      <c r="T6">
        <v>0.5</v>
      </c>
      <c r="U6">
        <v>0.5</v>
      </c>
      <c r="V6">
        <v>0.5</v>
      </c>
      <c r="W6" s="43">
        <v>0.5</v>
      </c>
      <c r="X6">
        <v>3.125E-2</v>
      </c>
      <c r="Y6">
        <v>0.5</v>
      </c>
      <c r="Z6">
        <v>0.5</v>
      </c>
      <c r="AA6">
        <v>3.125E-2</v>
      </c>
      <c r="AB6">
        <v>0.5</v>
      </c>
      <c r="AC6">
        <v>3.125E-2</v>
      </c>
      <c r="AD6">
        <v>0.5</v>
      </c>
      <c r="AE6">
        <v>3.125E-2</v>
      </c>
      <c r="AF6">
        <v>0.5</v>
      </c>
      <c r="AG6">
        <v>0.5</v>
      </c>
      <c r="AH6">
        <v>0.5</v>
      </c>
      <c r="AI6">
        <v>3.125E-2</v>
      </c>
      <c r="AJ6">
        <v>3.125E-2</v>
      </c>
      <c r="AK6">
        <v>6.25E-2</v>
      </c>
      <c r="AL6">
        <v>3.125E-2</v>
      </c>
      <c r="AM6">
        <v>3.125E-2</v>
      </c>
      <c r="AN6">
        <v>3.125E-2</v>
      </c>
      <c r="AO6">
        <v>3.125E-2</v>
      </c>
      <c r="AP6">
        <v>3.125E-2</v>
      </c>
      <c r="AQ6">
        <v>3.125E-2</v>
      </c>
      <c r="AR6">
        <v>3.125E-2</v>
      </c>
      <c r="AS6">
        <v>3.125E-2</v>
      </c>
      <c r="AT6">
        <v>0.5</v>
      </c>
      <c r="AU6">
        <v>0.5</v>
      </c>
      <c r="AV6">
        <v>0.5</v>
      </c>
      <c r="AW6">
        <v>0.5</v>
      </c>
      <c r="AX6">
        <v>0.5</v>
      </c>
      <c r="AY6">
        <v>0.5</v>
      </c>
      <c r="AZ6">
        <v>0.5</v>
      </c>
      <c r="BA6">
        <v>0.5</v>
      </c>
      <c r="BB6">
        <v>0.5</v>
      </c>
      <c r="BC6">
        <v>0.5</v>
      </c>
      <c r="BD6">
        <v>0.5</v>
      </c>
      <c r="BE6">
        <v>0.5</v>
      </c>
      <c r="BF6">
        <v>0.5</v>
      </c>
      <c r="BG6">
        <v>0.5</v>
      </c>
      <c r="BH6">
        <v>0.5</v>
      </c>
      <c r="BI6">
        <v>0.5</v>
      </c>
      <c r="BJ6">
        <v>0.5</v>
      </c>
      <c r="BK6">
        <v>0.5</v>
      </c>
      <c r="BL6">
        <v>0.5</v>
      </c>
      <c r="BM6">
        <v>0.5</v>
      </c>
      <c r="BN6">
        <v>0.5</v>
      </c>
      <c r="BO6">
        <v>0.5</v>
      </c>
      <c r="BP6">
        <v>0.5</v>
      </c>
      <c r="BQ6">
        <v>0.5</v>
      </c>
      <c r="BR6">
        <v>3.125E-2</v>
      </c>
      <c r="BS6">
        <v>3.125E-2</v>
      </c>
      <c r="BT6">
        <v>3.125E-2</v>
      </c>
      <c r="BU6">
        <v>3.125E-2</v>
      </c>
      <c r="BV6">
        <v>3.125E-2</v>
      </c>
      <c r="BW6">
        <v>3.125E-2</v>
      </c>
      <c r="BX6">
        <v>3.125E-2</v>
      </c>
      <c r="BY6">
        <v>3.125E-2</v>
      </c>
      <c r="BZ6">
        <v>3.125E-2</v>
      </c>
      <c r="CA6">
        <v>3.125E-2</v>
      </c>
      <c r="CB6">
        <v>3.90625E-2</v>
      </c>
      <c r="CC6">
        <v>3.125E-2</v>
      </c>
      <c r="CD6">
        <v>6.25E-2</v>
      </c>
      <c r="CE6">
        <v>0.125</v>
      </c>
      <c r="CF6">
        <v>0.5</v>
      </c>
      <c r="CG6">
        <v>0.5</v>
      </c>
      <c r="CH6">
        <v>0.25</v>
      </c>
      <c r="CI6">
        <v>0.25</v>
      </c>
      <c r="CJ6">
        <v>0.125</v>
      </c>
      <c r="CK6">
        <v>0.125</v>
      </c>
      <c r="CL6" s="42">
        <v>6.25E-2</v>
      </c>
      <c r="CM6" s="42">
        <v>6.25E-2</v>
      </c>
      <c r="CN6" s="42">
        <f>CN5/2</f>
        <v>1.2500000000000001E-2</v>
      </c>
      <c r="CO6" s="42">
        <v>3.125E-2</v>
      </c>
      <c r="CP6" s="42">
        <f t="shared" ref="CP6:CR15" si="0">CP5/2</f>
        <v>3.125E-2</v>
      </c>
      <c r="CQ6" s="42">
        <f t="shared" si="0"/>
        <v>3.125E-2</v>
      </c>
      <c r="CR6" s="42">
        <v>0.5</v>
      </c>
      <c r="CS6" s="42">
        <v>0.5</v>
      </c>
      <c r="CT6" s="42">
        <v>6.25E-2</v>
      </c>
      <c r="CU6" s="42">
        <v>6.25E-2</v>
      </c>
      <c r="CV6" s="42">
        <v>6.25E-2</v>
      </c>
      <c r="CW6" s="42">
        <v>6.25E-2</v>
      </c>
      <c r="CX6" s="42">
        <v>6.25E-2</v>
      </c>
      <c r="CY6" s="42">
        <v>6.25E-2</v>
      </c>
      <c r="CZ6" s="42">
        <v>6.25E-2</v>
      </c>
      <c r="DA6" s="42">
        <v>6.25E-2</v>
      </c>
      <c r="DB6" s="42">
        <v>6.25E-2</v>
      </c>
      <c r="DC6" s="42">
        <v>6.25E-2</v>
      </c>
      <c r="DD6" s="42">
        <v>0.25</v>
      </c>
      <c r="DE6" s="42">
        <v>0.125</v>
      </c>
      <c r="DF6">
        <v>3.125E-2</v>
      </c>
      <c r="DG6">
        <v>3.125E-2</v>
      </c>
      <c r="DH6" s="42">
        <f t="shared" ref="DH6:DH11" si="1">DH5/2</f>
        <v>3.125E-2</v>
      </c>
      <c r="DI6" s="42">
        <v>6.25E-2</v>
      </c>
      <c r="DJ6" s="42">
        <f>0.0625</f>
        <v>6.25E-2</v>
      </c>
      <c r="DK6" s="42">
        <f t="shared" ref="DK6:DL12" si="2">DK5/2</f>
        <v>3.125E-2</v>
      </c>
      <c r="DL6" s="42">
        <f>0.0625</f>
        <v>6.25E-2</v>
      </c>
      <c r="DM6" s="42">
        <f t="shared" ref="DM6:DP11" si="3">DM5/2</f>
        <v>3.125E-2</v>
      </c>
      <c r="DN6" s="42">
        <f t="shared" si="3"/>
        <v>3.125E-2</v>
      </c>
      <c r="DO6" s="42">
        <f t="shared" si="3"/>
        <v>3.125E-2</v>
      </c>
      <c r="DP6" s="42">
        <f t="shared" si="3"/>
        <v>3.125E-2</v>
      </c>
      <c r="DQ6" s="42">
        <v>3.125E-2</v>
      </c>
      <c r="DR6" s="42">
        <v>3.125E-2</v>
      </c>
      <c r="DS6" s="42">
        <f t="shared" ref="DS6:DT11" si="4">DS5/2</f>
        <v>9.1249999999999998E-2</v>
      </c>
      <c r="DT6" s="42">
        <f t="shared" si="4"/>
        <v>8.7499999999999994E-2</v>
      </c>
      <c r="DU6" s="42">
        <v>0.25</v>
      </c>
      <c r="DV6" s="42">
        <v>0.25</v>
      </c>
      <c r="DW6" s="42"/>
    </row>
    <row r="7" spans="1:128" x14ac:dyDescent="0.35">
      <c r="A7">
        <v>0.25</v>
      </c>
      <c r="B7">
        <v>0.25</v>
      </c>
      <c r="C7">
        <v>0.25</v>
      </c>
      <c r="D7">
        <v>0.25</v>
      </c>
      <c r="E7">
        <v>0.25</v>
      </c>
      <c r="F7">
        <v>0.25</v>
      </c>
      <c r="G7">
        <v>0.25</v>
      </c>
      <c r="H7">
        <v>0.25</v>
      </c>
      <c r="I7">
        <v>0.25</v>
      </c>
      <c r="J7">
        <v>0.25</v>
      </c>
      <c r="K7">
        <v>0.25</v>
      </c>
      <c r="L7">
        <v>0.25</v>
      </c>
      <c r="M7">
        <v>0.25</v>
      </c>
      <c r="N7">
        <v>0.25</v>
      </c>
      <c r="O7">
        <v>0.25</v>
      </c>
      <c r="P7">
        <v>0.25</v>
      </c>
      <c r="Q7">
        <v>0.25</v>
      </c>
      <c r="R7">
        <v>0.25</v>
      </c>
      <c r="S7">
        <v>0.25</v>
      </c>
      <c r="T7">
        <v>0.25</v>
      </c>
      <c r="U7">
        <v>0.25</v>
      </c>
      <c r="V7">
        <v>0.25</v>
      </c>
      <c r="W7" s="43">
        <v>0.25</v>
      </c>
      <c r="X7">
        <v>1.5625E-2</v>
      </c>
      <c r="Y7">
        <v>0.25</v>
      </c>
      <c r="Z7">
        <v>0.25</v>
      </c>
      <c r="AA7">
        <v>1.5625E-2</v>
      </c>
      <c r="AB7">
        <v>0.25</v>
      </c>
      <c r="AC7">
        <v>1.5625E-2</v>
      </c>
      <c r="AD7">
        <v>0.25</v>
      </c>
      <c r="AE7">
        <v>1.5625E-2</v>
      </c>
      <c r="AF7">
        <v>0.25</v>
      </c>
      <c r="AG7">
        <v>0.25</v>
      </c>
      <c r="AH7">
        <v>0.25</v>
      </c>
      <c r="AI7">
        <v>1.5625E-2</v>
      </c>
      <c r="AJ7">
        <v>1.5625E-2</v>
      </c>
      <c r="AK7">
        <v>3.125E-2</v>
      </c>
      <c r="AL7">
        <v>1.5625E-2</v>
      </c>
      <c r="AM7">
        <v>1.5625E-2</v>
      </c>
      <c r="AN7">
        <v>1.5625E-2</v>
      </c>
      <c r="AO7">
        <v>1.5625E-2</v>
      </c>
      <c r="AP7">
        <v>1.5625E-2</v>
      </c>
      <c r="AQ7">
        <v>1.5625E-2</v>
      </c>
      <c r="AR7">
        <v>1.5625E-2</v>
      </c>
      <c r="AS7">
        <v>1.5625E-2</v>
      </c>
      <c r="AT7">
        <v>0.25</v>
      </c>
      <c r="AU7">
        <v>0.25</v>
      </c>
      <c r="AV7">
        <v>0.25</v>
      </c>
      <c r="AW7">
        <v>0.25</v>
      </c>
      <c r="AX7">
        <v>0.25</v>
      </c>
      <c r="AY7">
        <v>0.25</v>
      </c>
      <c r="AZ7">
        <v>0.25</v>
      </c>
      <c r="BA7">
        <v>0.25</v>
      </c>
      <c r="BB7">
        <v>0.25</v>
      </c>
      <c r="BC7">
        <v>0.25</v>
      </c>
      <c r="BD7">
        <v>0.25</v>
      </c>
      <c r="BE7">
        <v>0.25</v>
      </c>
      <c r="BF7">
        <v>0.25</v>
      </c>
      <c r="BG7">
        <v>0.25</v>
      </c>
      <c r="BH7">
        <v>0.25</v>
      </c>
      <c r="BI7">
        <v>0.25</v>
      </c>
      <c r="BJ7">
        <v>0.25</v>
      </c>
      <c r="BK7">
        <v>0.25</v>
      </c>
      <c r="BL7">
        <v>0.25</v>
      </c>
      <c r="BM7">
        <v>0.25</v>
      </c>
      <c r="BN7">
        <v>0.25</v>
      </c>
      <c r="BO7">
        <v>0.25</v>
      </c>
      <c r="BP7">
        <v>0.25</v>
      </c>
      <c r="BQ7">
        <v>0.25</v>
      </c>
      <c r="BR7">
        <v>1.5625E-2</v>
      </c>
      <c r="BS7">
        <v>1.5625E-2</v>
      </c>
      <c r="BT7">
        <v>1.5625E-2</v>
      </c>
      <c r="BU7">
        <v>1.5625E-2</v>
      </c>
      <c r="BV7">
        <v>1.5625E-2</v>
      </c>
      <c r="BW7">
        <v>1.5625E-2</v>
      </c>
      <c r="BX7">
        <v>1.5625E-2</v>
      </c>
      <c r="BY7">
        <v>1.5625E-2</v>
      </c>
      <c r="BZ7">
        <v>1.5625E-2</v>
      </c>
      <c r="CA7">
        <v>1.5625E-2</v>
      </c>
      <c r="CB7">
        <v>1.953125E-2</v>
      </c>
      <c r="CC7">
        <v>1.5625E-2</v>
      </c>
      <c r="CD7">
        <v>3.125E-2</v>
      </c>
      <c r="CE7">
        <v>6.25E-2</v>
      </c>
      <c r="CF7">
        <v>0.25</v>
      </c>
      <c r="CG7">
        <v>6.25E-2</v>
      </c>
      <c r="CH7">
        <v>0.125</v>
      </c>
      <c r="CI7">
        <v>0.125</v>
      </c>
      <c r="CJ7">
        <v>6.25E-2</v>
      </c>
      <c r="CK7">
        <v>6.25E-2</v>
      </c>
      <c r="CL7" s="42">
        <v>3.125E-2</v>
      </c>
      <c r="CM7" s="42">
        <v>3.125E-2</v>
      </c>
      <c r="CN7" s="42">
        <f>CN6/2</f>
        <v>6.2500000000000003E-3</v>
      </c>
      <c r="CO7" s="42">
        <v>1.5625E-2</v>
      </c>
      <c r="CP7" s="42">
        <f t="shared" si="0"/>
        <v>1.5625E-2</v>
      </c>
      <c r="CQ7" s="42">
        <f t="shared" si="0"/>
        <v>1.5625E-2</v>
      </c>
      <c r="CR7" s="42">
        <f>CR6/2</f>
        <v>0.25</v>
      </c>
      <c r="CS7" s="42">
        <v>0.25</v>
      </c>
      <c r="CT7" s="42">
        <f t="shared" ref="CT7:DC12" si="5">CT6/2</f>
        <v>3.125E-2</v>
      </c>
      <c r="CU7" s="42">
        <f t="shared" si="5"/>
        <v>3.125E-2</v>
      </c>
      <c r="CV7" s="42">
        <f t="shared" si="5"/>
        <v>3.125E-2</v>
      </c>
      <c r="CW7" s="42">
        <f t="shared" si="5"/>
        <v>3.125E-2</v>
      </c>
      <c r="CX7" s="42">
        <f t="shared" si="5"/>
        <v>3.125E-2</v>
      </c>
      <c r="CY7" s="42">
        <f t="shared" si="5"/>
        <v>3.125E-2</v>
      </c>
      <c r="CZ7" s="42">
        <f t="shared" si="5"/>
        <v>3.125E-2</v>
      </c>
      <c r="DA7" s="42">
        <f t="shared" si="5"/>
        <v>3.125E-2</v>
      </c>
      <c r="DB7" s="42">
        <f t="shared" si="5"/>
        <v>3.125E-2</v>
      </c>
      <c r="DC7" s="42">
        <f t="shared" si="5"/>
        <v>3.125E-2</v>
      </c>
      <c r="DD7" s="42">
        <v>0.125</v>
      </c>
      <c r="DE7" s="42">
        <v>6.25E-2</v>
      </c>
      <c r="DF7">
        <v>1.5625E-2</v>
      </c>
      <c r="DG7">
        <v>1.5625E-2</v>
      </c>
      <c r="DH7" s="42">
        <f t="shared" si="1"/>
        <v>1.5625E-2</v>
      </c>
      <c r="DI7" s="42">
        <f t="shared" ref="DI7:DJ11" si="6">DI6/2</f>
        <v>3.125E-2</v>
      </c>
      <c r="DJ7" s="42">
        <f t="shared" si="6"/>
        <v>3.125E-2</v>
      </c>
      <c r="DK7" s="42">
        <f t="shared" si="2"/>
        <v>1.5625E-2</v>
      </c>
      <c r="DL7" s="42">
        <f t="shared" si="2"/>
        <v>3.125E-2</v>
      </c>
      <c r="DM7" s="42">
        <f t="shared" si="3"/>
        <v>1.5625E-2</v>
      </c>
      <c r="DN7" s="42">
        <f t="shared" si="3"/>
        <v>1.5625E-2</v>
      </c>
      <c r="DO7" s="42">
        <f t="shared" si="3"/>
        <v>1.5625E-2</v>
      </c>
      <c r="DP7" s="42">
        <f t="shared" si="3"/>
        <v>1.5625E-2</v>
      </c>
      <c r="DQ7" s="42">
        <v>1.5625E-2</v>
      </c>
      <c r="DR7" s="42">
        <v>1.5625E-2</v>
      </c>
      <c r="DS7" s="42">
        <f t="shared" si="4"/>
        <v>4.5624999999999999E-2</v>
      </c>
      <c r="DT7" s="42">
        <f t="shared" si="4"/>
        <v>4.3749999999999997E-2</v>
      </c>
      <c r="DU7" s="42">
        <v>0.125</v>
      </c>
      <c r="DV7" s="42">
        <v>0.125</v>
      </c>
      <c r="DW7" s="42"/>
    </row>
    <row r="8" spans="1:128" x14ac:dyDescent="0.35">
      <c r="A8">
        <v>0.125</v>
      </c>
      <c r="B8">
        <v>0.125</v>
      </c>
      <c r="C8">
        <v>0.125</v>
      </c>
      <c r="D8">
        <v>0.125</v>
      </c>
      <c r="E8">
        <v>0.125</v>
      </c>
      <c r="F8">
        <v>0.125</v>
      </c>
      <c r="G8">
        <v>0.125</v>
      </c>
      <c r="H8">
        <v>0.125</v>
      </c>
      <c r="I8">
        <v>0.125</v>
      </c>
      <c r="J8">
        <v>0.125</v>
      </c>
      <c r="K8">
        <v>0.125</v>
      </c>
      <c r="L8">
        <v>0.125</v>
      </c>
      <c r="M8">
        <v>0.125</v>
      </c>
      <c r="N8">
        <v>0.125</v>
      </c>
      <c r="O8">
        <v>0.125</v>
      </c>
      <c r="P8">
        <v>0.125</v>
      </c>
      <c r="Q8">
        <v>0.125</v>
      </c>
      <c r="R8">
        <v>0.125</v>
      </c>
      <c r="S8">
        <v>0.125</v>
      </c>
      <c r="T8">
        <v>0.125</v>
      </c>
      <c r="U8">
        <v>0.125</v>
      </c>
      <c r="V8">
        <v>0.125</v>
      </c>
      <c r="W8" s="43">
        <v>0.125</v>
      </c>
      <c r="X8">
        <v>7.8125E-3</v>
      </c>
      <c r="Y8">
        <v>0.125</v>
      </c>
      <c r="Z8">
        <v>0.125</v>
      </c>
      <c r="AA8">
        <v>7.8125E-3</v>
      </c>
      <c r="AB8">
        <v>0.125</v>
      </c>
      <c r="AC8">
        <v>7.8125E-3</v>
      </c>
      <c r="AD8">
        <v>0.125</v>
      </c>
      <c r="AE8">
        <v>7.8125E-3</v>
      </c>
      <c r="AF8">
        <v>0.125</v>
      </c>
      <c r="AG8">
        <v>0.125</v>
      </c>
      <c r="AH8">
        <v>0.125</v>
      </c>
      <c r="AI8">
        <v>7.8125E-3</v>
      </c>
      <c r="AJ8">
        <v>7.8125E-3</v>
      </c>
      <c r="AK8">
        <v>1.5625E-2</v>
      </c>
      <c r="AL8">
        <v>7.8125E-3</v>
      </c>
      <c r="AM8">
        <v>7.8125E-3</v>
      </c>
      <c r="AN8">
        <v>7.8125E-3</v>
      </c>
      <c r="AO8">
        <v>7.8125E-3</v>
      </c>
      <c r="AP8">
        <v>7.8125E-3</v>
      </c>
      <c r="AQ8">
        <v>7.8125E-3</v>
      </c>
      <c r="AR8">
        <v>7.8125E-3</v>
      </c>
      <c r="AS8">
        <v>7.8125E-3</v>
      </c>
      <c r="AT8">
        <v>0.125</v>
      </c>
      <c r="AU8">
        <v>0.125</v>
      </c>
      <c r="AV8">
        <v>0.125</v>
      </c>
      <c r="AW8">
        <v>0.125</v>
      </c>
      <c r="AX8">
        <v>0.125</v>
      </c>
      <c r="AY8">
        <v>0.125</v>
      </c>
      <c r="AZ8">
        <v>0.125</v>
      </c>
      <c r="BA8">
        <v>0.125</v>
      </c>
      <c r="BB8">
        <v>0.125</v>
      </c>
      <c r="BC8">
        <v>0.125</v>
      </c>
      <c r="BD8">
        <v>0.125</v>
      </c>
      <c r="BE8">
        <v>0.125</v>
      </c>
      <c r="BF8">
        <v>0.125</v>
      </c>
      <c r="BG8">
        <v>0.125</v>
      </c>
      <c r="BH8">
        <v>0.125</v>
      </c>
      <c r="BI8">
        <v>0.125</v>
      </c>
      <c r="BJ8">
        <v>0.125</v>
      </c>
      <c r="BK8">
        <v>0.125</v>
      </c>
      <c r="BL8">
        <v>0.125</v>
      </c>
      <c r="BM8">
        <v>0.125</v>
      </c>
      <c r="BN8">
        <v>0.125</v>
      </c>
      <c r="BO8">
        <v>0.125</v>
      </c>
      <c r="BP8">
        <v>0.125</v>
      </c>
      <c r="BQ8">
        <v>0.125</v>
      </c>
      <c r="BR8">
        <v>7.8125E-3</v>
      </c>
      <c r="BS8">
        <v>7.8125E-3</v>
      </c>
      <c r="BT8">
        <v>7.8125E-3</v>
      </c>
      <c r="BU8">
        <v>7.8125E-3</v>
      </c>
      <c r="BV8">
        <v>7.8125E-3</v>
      </c>
      <c r="BW8">
        <v>7.8125E-3</v>
      </c>
      <c r="BX8">
        <v>7.8125E-3</v>
      </c>
      <c r="BY8">
        <v>7.8125E-3</v>
      </c>
      <c r="BZ8">
        <v>7.8125E-3</v>
      </c>
      <c r="CA8">
        <v>7.8125E-3</v>
      </c>
      <c r="CB8">
        <v>9.765625E-3</v>
      </c>
      <c r="CC8">
        <v>7.8125E-3</v>
      </c>
      <c r="CD8">
        <v>1.5625E-2</v>
      </c>
      <c r="CE8">
        <v>3.125E-2</v>
      </c>
      <c r="CF8">
        <v>0.125</v>
      </c>
      <c r="CG8">
        <v>3.125E-2</v>
      </c>
      <c r="CH8">
        <v>6.25E-2</v>
      </c>
      <c r="CI8">
        <v>6.25E-2</v>
      </c>
      <c r="CJ8">
        <v>3.125E-2</v>
      </c>
      <c r="CK8">
        <v>3.125E-2</v>
      </c>
      <c r="CL8" s="42">
        <v>1.5625E-2</v>
      </c>
      <c r="CM8" s="42">
        <v>1.5625E-2</v>
      </c>
      <c r="CN8" s="42">
        <f>CN7/2</f>
        <v>3.1250000000000002E-3</v>
      </c>
      <c r="CO8" s="42">
        <v>7.8125E-3</v>
      </c>
      <c r="CP8" s="42">
        <f t="shared" si="0"/>
        <v>7.8125E-3</v>
      </c>
      <c r="CQ8" s="42">
        <f t="shared" si="0"/>
        <v>7.8125E-3</v>
      </c>
      <c r="CR8" s="42">
        <f>CR7/2</f>
        <v>0.125</v>
      </c>
      <c r="CS8" s="42">
        <f t="shared" ref="CS8:CS15" si="7">CS7/2</f>
        <v>0.125</v>
      </c>
      <c r="CT8" s="42">
        <f t="shared" si="5"/>
        <v>1.5625E-2</v>
      </c>
      <c r="CU8" s="42">
        <f t="shared" si="5"/>
        <v>1.5625E-2</v>
      </c>
      <c r="CV8" s="42">
        <f t="shared" si="5"/>
        <v>1.5625E-2</v>
      </c>
      <c r="CW8" s="42">
        <f t="shared" si="5"/>
        <v>1.5625E-2</v>
      </c>
      <c r="CX8" s="42">
        <f t="shared" si="5"/>
        <v>1.5625E-2</v>
      </c>
      <c r="CY8" s="42">
        <f t="shared" si="5"/>
        <v>1.5625E-2</v>
      </c>
      <c r="CZ8" s="42">
        <f t="shared" si="5"/>
        <v>1.5625E-2</v>
      </c>
      <c r="DA8" s="42">
        <f t="shared" si="5"/>
        <v>1.5625E-2</v>
      </c>
      <c r="DB8" s="42">
        <f t="shared" si="5"/>
        <v>1.5625E-2</v>
      </c>
      <c r="DC8" s="42">
        <f t="shared" si="5"/>
        <v>1.5625E-2</v>
      </c>
      <c r="DD8" s="42">
        <v>6.25E-2</v>
      </c>
      <c r="DE8" s="42">
        <v>3.125E-2</v>
      </c>
      <c r="DF8">
        <v>7.8125E-3</v>
      </c>
      <c r="DG8">
        <v>7.8125E-3</v>
      </c>
      <c r="DH8" s="42">
        <f t="shared" si="1"/>
        <v>7.8125E-3</v>
      </c>
      <c r="DI8" s="42">
        <f t="shared" si="6"/>
        <v>1.5625E-2</v>
      </c>
      <c r="DJ8" s="42">
        <f t="shared" si="6"/>
        <v>1.5625E-2</v>
      </c>
      <c r="DK8" s="42">
        <f t="shared" si="2"/>
        <v>7.8125E-3</v>
      </c>
      <c r="DL8" s="42">
        <f t="shared" si="2"/>
        <v>1.5625E-2</v>
      </c>
      <c r="DM8" s="42">
        <f t="shared" si="3"/>
        <v>7.8125E-3</v>
      </c>
      <c r="DN8" s="42">
        <f t="shared" si="3"/>
        <v>7.8125E-3</v>
      </c>
      <c r="DO8" s="42">
        <f t="shared" si="3"/>
        <v>7.8125E-3</v>
      </c>
      <c r="DP8" s="42">
        <f t="shared" si="3"/>
        <v>7.8125E-3</v>
      </c>
      <c r="DQ8" s="42">
        <v>7.8125E-3</v>
      </c>
      <c r="DR8" s="42">
        <v>7.8125E-3</v>
      </c>
      <c r="DS8" s="42">
        <f t="shared" si="4"/>
        <v>2.2812499999999999E-2</v>
      </c>
      <c r="DT8" s="42">
        <f t="shared" si="4"/>
        <v>2.1874999999999999E-2</v>
      </c>
      <c r="DU8" s="42">
        <v>6.25E-2</v>
      </c>
      <c r="DV8" s="42">
        <v>6.25E-2</v>
      </c>
      <c r="DW8" s="42"/>
    </row>
    <row r="9" spans="1:128" x14ac:dyDescent="0.35">
      <c r="A9">
        <v>6.25E-2</v>
      </c>
      <c r="B9">
        <v>6.25E-2</v>
      </c>
      <c r="C9">
        <v>6.25E-2</v>
      </c>
      <c r="D9">
        <v>6.25E-2</v>
      </c>
      <c r="E9">
        <v>6.25E-2</v>
      </c>
      <c r="F9">
        <v>6.25E-2</v>
      </c>
      <c r="G9">
        <v>6.25E-2</v>
      </c>
      <c r="H9">
        <v>6.25E-2</v>
      </c>
      <c r="I9">
        <v>6.25E-2</v>
      </c>
      <c r="J9">
        <v>6.25E-2</v>
      </c>
      <c r="K9">
        <v>6.25E-2</v>
      </c>
      <c r="L9">
        <v>6.25E-2</v>
      </c>
      <c r="M9">
        <v>6.25E-2</v>
      </c>
      <c r="N9">
        <v>6.25E-2</v>
      </c>
      <c r="O9">
        <v>6.25E-2</v>
      </c>
      <c r="P9">
        <v>6.25E-2</v>
      </c>
      <c r="Q9">
        <v>6.25E-2</v>
      </c>
      <c r="R9">
        <v>6.25E-2</v>
      </c>
      <c r="S9">
        <v>6.25E-2</v>
      </c>
      <c r="T9">
        <v>6.25E-2</v>
      </c>
      <c r="U9">
        <v>6.25E-2</v>
      </c>
      <c r="V9">
        <v>6.25E-2</v>
      </c>
      <c r="W9" s="43">
        <v>6.25E-2</v>
      </c>
      <c r="X9">
        <v>3.90625E-3</v>
      </c>
      <c r="Y9">
        <v>6.25E-2</v>
      </c>
      <c r="Z9">
        <v>6.25E-2</v>
      </c>
      <c r="AA9">
        <v>3.90625E-3</v>
      </c>
      <c r="AB9">
        <v>6.25E-2</v>
      </c>
      <c r="AC9">
        <v>3.90625E-3</v>
      </c>
      <c r="AD9">
        <v>6.25E-2</v>
      </c>
      <c r="AE9">
        <v>3.90625E-3</v>
      </c>
      <c r="AF9">
        <v>6.25E-2</v>
      </c>
      <c r="AG9">
        <v>6.25E-2</v>
      </c>
      <c r="AH9">
        <v>6.25E-2</v>
      </c>
      <c r="AI9">
        <v>3.90625E-3</v>
      </c>
      <c r="AJ9">
        <v>3.90625E-3</v>
      </c>
      <c r="AK9">
        <v>7.8125E-3</v>
      </c>
      <c r="AL9">
        <v>3.90625E-3</v>
      </c>
      <c r="AM9">
        <v>3.90625E-3</v>
      </c>
      <c r="AN9">
        <v>3.90625E-3</v>
      </c>
      <c r="AO9">
        <v>3.90625E-3</v>
      </c>
      <c r="AP9">
        <v>3.90625E-3</v>
      </c>
      <c r="AQ9">
        <v>3.90625E-3</v>
      </c>
      <c r="AR9">
        <v>3.90625E-3</v>
      </c>
      <c r="AS9">
        <v>3.90625E-3</v>
      </c>
      <c r="AT9">
        <v>6.25E-2</v>
      </c>
      <c r="AU9">
        <v>6.25E-2</v>
      </c>
      <c r="AV9">
        <v>6.25E-2</v>
      </c>
      <c r="AW9">
        <v>6.25E-2</v>
      </c>
      <c r="AX9">
        <v>6.25E-2</v>
      </c>
      <c r="AY9">
        <v>6.25E-2</v>
      </c>
      <c r="AZ9">
        <v>6.25E-2</v>
      </c>
      <c r="BA9">
        <v>6.25E-2</v>
      </c>
      <c r="BB9">
        <v>6.25E-2</v>
      </c>
      <c r="BC9">
        <v>6.25E-2</v>
      </c>
      <c r="BD9">
        <v>6.25E-2</v>
      </c>
      <c r="BE9">
        <v>6.25E-2</v>
      </c>
      <c r="BF9">
        <v>6.25E-2</v>
      </c>
      <c r="BG9">
        <v>6.25E-2</v>
      </c>
      <c r="BH9">
        <v>6.25E-2</v>
      </c>
      <c r="BI9">
        <v>6.25E-2</v>
      </c>
      <c r="BJ9">
        <v>6.25E-2</v>
      </c>
      <c r="BK9">
        <v>6.25E-2</v>
      </c>
      <c r="BL9">
        <v>6.25E-2</v>
      </c>
      <c r="BM9">
        <v>6.25E-2</v>
      </c>
      <c r="BN9">
        <v>6.25E-2</v>
      </c>
      <c r="BO9">
        <v>6.25E-2</v>
      </c>
      <c r="BP9">
        <v>6.25E-2</v>
      </c>
      <c r="BQ9">
        <v>6.25E-2</v>
      </c>
      <c r="BR9">
        <v>3.90625E-3</v>
      </c>
      <c r="BS9">
        <v>3.90625E-3</v>
      </c>
      <c r="BT9">
        <v>3.90625E-3</v>
      </c>
      <c r="BU9">
        <v>3.90625E-3</v>
      </c>
      <c r="BV9">
        <v>3.90625E-3</v>
      </c>
      <c r="BW9">
        <v>3.90625E-3</v>
      </c>
      <c r="BX9">
        <v>3.90625E-3</v>
      </c>
      <c r="BY9">
        <v>3.90625E-3</v>
      </c>
      <c r="BZ9">
        <v>3.90625E-3</v>
      </c>
      <c r="CA9">
        <v>3.90625E-3</v>
      </c>
      <c r="CB9">
        <v>4.8828125E-3</v>
      </c>
      <c r="CC9">
        <v>3.90625E-3</v>
      </c>
      <c r="CD9">
        <v>7.8125E-3</v>
      </c>
      <c r="CE9" t="s">
        <v>76</v>
      </c>
      <c r="CF9">
        <v>6.25E-2</v>
      </c>
      <c r="CG9">
        <v>1.5625E-2</v>
      </c>
      <c r="CH9">
        <v>3.125E-2</v>
      </c>
      <c r="CI9">
        <v>3.125E-2</v>
      </c>
      <c r="CJ9">
        <v>1.5625E-2</v>
      </c>
      <c r="CK9">
        <v>1.5625E-2</v>
      </c>
      <c r="CL9" s="42">
        <v>7.8125E-3</v>
      </c>
      <c r="CM9" s="42">
        <v>7.8125E-3</v>
      </c>
      <c r="CN9" s="42">
        <f>CN8/2</f>
        <v>1.5625000000000001E-3</v>
      </c>
      <c r="CO9" s="42">
        <v>3.90625E-3</v>
      </c>
      <c r="CP9" s="42">
        <f t="shared" si="0"/>
        <v>3.90625E-3</v>
      </c>
      <c r="CQ9" s="42">
        <f t="shared" si="0"/>
        <v>3.90625E-3</v>
      </c>
      <c r="CR9" s="42">
        <v>6.25E-2</v>
      </c>
      <c r="CS9" s="42">
        <f t="shared" si="7"/>
        <v>6.25E-2</v>
      </c>
      <c r="CT9" s="42">
        <f t="shared" si="5"/>
        <v>7.8125E-3</v>
      </c>
      <c r="CU9" s="42">
        <f t="shared" si="5"/>
        <v>7.8125E-3</v>
      </c>
      <c r="CV9" s="42">
        <f t="shared" si="5"/>
        <v>7.8125E-3</v>
      </c>
      <c r="CW9" s="42">
        <f t="shared" si="5"/>
        <v>7.8125E-3</v>
      </c>
      <c r="CX9" s="42">
        <f t="shared" si="5"/>
        <v>7.8125E-3</v>
      </c>
      <c r="CY9" s="42">
        <f t="shared" si="5"/>
        <v>7.8125E-3</v>
      </c>
      <c r="CZ9" s="42">
        <f t="shared" si="5"/>
        <v>7.8125E-3</v>
      </c>
      <c r="DA9" s="42">
        <f t="shared" si="5"/>
        <v>7.8125E-3</v>
      </c>
      <c r="DB9" s="42">
        <f t="shared" si="5"/>
        <v>7.8125E-3</v>
      </c>
      <c r="DC9" s="42">
        <f t="shared" si="5"/>
        <v>7.8125E-3</v>
      </c>
      <c r="DD9" s="42">
        <v>3.125E-2</v>
      </c>
      <c r="DE9" s="42">
        <v>1.5625E-2</v>
      </c>
      <c r="DF9">
        <v>3.90625E-3</v>
      </c>
      <c r="DG9">
        <v>3.90625E-3</v>
      </c>
      <c r="DH9" s="42">
        <f t="shared" si="1"/>
        <v>3.90625E-3</v>
      </c>
      <c r="DI9" s="42">
        <f t="shared" si="6"/>
        <v>7.8125E-3</v>
      </c>
      <c r="DJ9" s="42">
        <f t="shared" si="6"/>
        <v>7.8125E-3</v>
      </c>
      <c r="DK9" s="42">
        <f t="shared" si="2"/>
        <v>3.90625E-3</v>
      </c>
      <c r="DL9" s="42">
        <f t="shared" si="2"/>
        <v>7.8125E-3</v>
      </c>
      <c r="DM9" s="42">
        <f t="shared" si="3"/>
        <v>3.90625E-3</v>
      </c>
      <c r="DN9" s="42">
        <f t="shared" si="3"/>
        <v>3.90625E-3</v>
      </c>
      <c r="DO9" s="42">
        <f t="shared" si="3"/>
        <v>3.90625E-3</v>
      </c>
      <c r="DP9" s="42">
        <f t="shared" si="3"/>
        <v>3.90625E-3</v>
      </c>
      <c r="DQ9" s="42">
        <v>3.90625E-3</v>
      </c>
      <c r="DR9" s="42">
        <v>3.90625E-3</v>
      </c>
      <c r="DS9" s="42">
        <f t="shared" si="4"/>
        <v>1.140625E-2</v>
      </c>
      <c r="DT9" s="42">
        <f t="shared" si="4"/>
        <v>1.0937499999999999E-2</v>
      </c>
      <c r="DU9" s="42">
        <v>3.125E-2</v>
      </c>
      <c r="DV9" s="42">
        <v>3.125E-2</v>
      </c>
      <c r="DW9" s="42"/>
    </row>
    <row r="10" spans="1:128" x14ac:dyDescent="0.35">
      <c r="A10">
        <v>3.125E-2</v>
      </c>
      <c r="B10">
        <v>3.125E-2</v>
      </c>
      <c r="C10">
        <v>3.125E-2</v>
      </c>
      <c r="D10">
        <v>3.125E-2</v>
      </c>
      <c r="E10">
        <v>3.125E-2</v>
      </c>
      <c r="F10">
        <v>3.125E-2</v>
      </c>
      <c r="G10">
        <v>3.125E-2</v>
      </c>
      <c r="H10" t="s">
        <v>76</v>
      </c>
      <c r="I10" t="s">
        <v>76</v>
      </c>
      <c r="J10">
        <v>3.125E-2</v>
      </c>
      <c r="K10">
        <v>3.125E-2</v>
      </c>
      <c r="L10">
        <v>3.125E-2</v>
      </c>
      <c r="M10">
        <v>3.125E-2</v>
      </c>
      <c r="N10">
        <v>3.125E-2</v>
      </c>
      <c r="O10">
        <v>3.125E-2</v>
      </c>
      <c r="P10">
        <v>3.125E-2</v>
      </c>
      <c r="Q10">
        <v>3.125E-2</v>
      </c>
      <c r="R10">
        <v>3.125E-2</v>
      </c>
      <c r="S10">
        <v>3.125E-2</v>
      </c>
      <c r="T10">
        <v>3.125E-2</v>
      </c>
      <c r="U10">
        <v>3.125E-2</v>
      </c>
      <c r="V10">
        <v>3.125E-2</v>
      </c>
      <c r="W10" s="43">
        <v>3.125E-2</v>
      </c>
      <c r="X10">
        <v>1.953125E-3</v>
      </c>
      <c r="Y10">
        <v>3.125E-2</v>
      </c>
      <c r="Z10">
        <v>3.125E-2</v>
      </c>
      <c r="AA10">
        <v>1.953125E-3</v>
      </c>
      <c r="AB10">
        <v>3.125E-2</v>
      </c>
      <c r="AC10">
        <v>1.953125E-3</v>
      </c>
      <c r="AD10">
        <v>3.125E-2</v>
      </c>
      <c r="AE10">
        <v>1.953125E-3</v>
      </c>
      <c r="AF10">
        <v>3.125E-2</v>
      </c>
      <c r="AG10">
        <v>3.125E-2</v>
      </c>
      <c r="AH10">
        <v>3.125E-2</v>
      </c>
      <c r="AI10">
        <v>1.953125E-3</v>
      </c>
      <c r="AJ10">
        <v>1.953125E-3</v>
      </c>
      <c r="AK10">
        <v>3.90625E-3</v>
      </c>
      <c r="AL10">
        <v>1.953125E-3</v>
      </c>
      <c r="AM10">
        <v>1.953125E-3</v>
      </c>
      <c r="AN10">
        <v>1.953125E-3</v>
      </c>
      <c r="AO10">
        <v>1.953125E-3</v>
      </c>
      <c r="AP10">
        <v>1.953125E-3</v>
      </c>
      <c r="AQ10">
        <v>1.953125E-3</v>
      </c>
      <c r="AR10">
        <v>1.953125E-3</v>
      </c>
      <c r="AS10">
        <v>1.953125E-3</v>
      </c>
      <c r="AT10">
        <v>3.125E-2</v>
      </c>
      <c r="AU10">
        <v>3.125E-2</v>
      </c>
      <c r="AV10">
        <v>3.125E-2</v>
      </c>
      <c r="AW10">
        <v>3.125E-2</v>
      </c>
      <c r="AX10">
        <v>3.125E-2</v>
      </c>
      <c r="AY10">
        <v>3.125E-2</v>
      </c>
      <c r="AZ10">
        <v>3.125E-2</v>
      </c>
      <c r="BA10">
        <v>3.125E-2</v>
      </c>
      <c r="BB10">
        <v>3.125E-2</v>
      </c>
      <c r="BC10">
        <v>3.125E-2</v>
      </c>
      <c r="BD10">
        <v>3.125E-2</v>
      </c>
      <c r="BE10">
        <v>3.125E-2</v>
      </c>
      <c r="BF10">
        <v>3.125E-2</v>
      </c>
      <c r="BG10">
        <v>3.125E-2</v>
      </c>
      <c r="BH10">
        <v>3.125E-2</v>
      </c>
      <c r="BI10">
        <v>3.125E-2</v>
      </c>
      <c r="BJ10">
        <v>3.125E-2</v>
      </c>
      <c r="BK10">
        <v>3.125E-2</v>
      </c>
      <c r="BL10">
        <v>3.125E-2</v>
      </c>
      <c r="BM10">
        <v>3.125E-2</v>
      </c>
      <c r="BN10">
        <v>3.125E-2</v>
      </c>
      <c r="BO10">
        <v>3.125E-2</v>
      </c>
      <c r="BP10">
        <v>3.125E-2</v>
      </c>
      <c r="BQ10">
        <v>3.125E-2</v>
      </c>
      <c r="BR10">
        <v>1.953125E-3</v>
      </c>
      <c r="BS10">
        <v>1.953125E-3</v>
      </c>
      <c r="BT10">
        <v>1.953125E-3</v>
      </c>
      <c r="BU10">
        <v>1.953125E-3</v>
      </c>
      <c r="BV10">
        <v>1.953125E-3</v>
      </c>
      <c r="BW10">
        <v>1.953125E-3</v>
      </c>
      <c r="BX10">
        <v>1.953125E-3</v>
      </c>
      <c r="BY10">
        <v>1.953125E-3</v>
      </c>
      <c r="BZ10">
        <v>1.953125E-3</v>
      </c>
      <c r="CA10">
        <v>1.953125E-3</v>
      </c>
      <c r="CB10">
        <v>2.44140625E-3</v>
      </c>
      <c r="CC10">
        <v>1.953125E-3</v>
      </c>
      <c r="CD10">
        <v>3.90625E-3</v>
      </c>
      <c r="CE10" t="s">
        <v>76</v>
      </c>
      <c r="CF10">
        <v>3.125E-2</v>
      </c>
      <c r="CG10">
        <v>7.8125E-3</v>
      </c>
      <c r="CH10">
        <v>1.5625E-2</v>
      </c>
      <c r="CI10" t="s">
        <v>76</v>
      </c>
      <c r="CJ10">
        <v>7.8125E-3</v>
      </c>
      <c r="CK10">
        <v>7.8125E-3</v>
      </c>
      <c r="CL10" s="42">
        <v>3.90625E-3</v>
      </c>
      <c r="CM10" s="42">
        <v>3.90625E-3</v>
      </c>
      <c r="CN10" s="42" t="s">
        <v>76</v>
      </c>
      <c r="CO10" s="42">
        <v>1.953125E-3</v>
      </c>
      <c r="CP10" s="42">
        <f t="shared" si="0"/>
        <v>1.953125E-3</v>
      </c>
      <c r="CQ10" s="42">
        <f t="shared" si="0"/>
        <v>1.953125E-3</v>
      </c>
      <c r="CR10" s="42">
        <f t="shared" si="0"/>
        <v>3.125E-2</v>
      </c>
      <c r="CS10" s="42">
        <f t="shared" si="7"/>
        <v>3.125E-2</v>
      </c>
      <c r="CT10" s="42">
        <f t="shared" si="5"/>
        <v>3.90625E-3</v>
      </c>
      <c r="CU10" s="42">
        <f t="shared" si="5"/>
        <v>3.90625E-3</v>
      </c>
      <c r="CV10" s="42">
        <f t="shared" si="5"/>
        <v>3.90625E-3</v>
      </c>
      <c r="CW10" s="42">
        <f t="shared" si="5"/>
        <v>3.90625E-3</v>
      </c>
      <c r="CX10" s="42">
        <f t="shared" si="5"/>
        <v>3.90625E-3</v>
      </c>
      <c r="CY10" s="42">
        <f t="shared" si="5"/>
        <v>3.90625E-3</v>
      </c>
      <c r="CZ10" s="42">
        <f t="shared" si="5"/>
        <v>3.90625E-3</v>
      </c>
      <c r="DA10" s="42">
        <f t="shared" si="5"/>
        <v>3.90625E-3</v>
      </c>
      <c r="DB10" s="42">
        <f t="shared" si="5"/>
        <v>3.90625E-3</v>
      </c>
      <c r="DC10" s="42">
        <f t="shared" si="5"/>
        <v>3.90625E-3</v>
      </c>
      <c r="DD10" s="42">
        <v>1.5625E-2</v>
      </c>
      <c r="DE10" s="42">
        <v>7.8125E-3</v>
      </c>
      <c r="DF10">
        <v>1.953125E-3</v>
      </c>
      <c r="DG10">
        <v>1.953125E-3</v>
      </c>
      <c r="DH10" s="42">
        <f t="shared" si="1"/>
        <v>1.953125E-3</v>
      </c>
      <c r="DI10" s="42">
        <f t="shared" si="6"/>
        <v>3.90625E-3</v>
      </c>
      <c r="DJ10" s="42">
        <f t="shared" si="6"/>
        <v>3.90625E-3</v>
      </c>
      <c r="DK10" s="42">
        <f t="shared" si="2"/>
        <v>1.953125E-3</v>
      </c>
      <c r="DL10" s="42">
        <f t="shared" si="2"/>
        <v>3.90625E-3</v>
      </c>
      <c r="DM10" s="42">
        <f t="shared" si="3"/>
        <v>1.953125E-3</v>
      </c>
      <c r="DN10" s="42">
        <f t="shared" si="3"/>
        <v>1.953125E-3</v>
      </c>
      <c r="DO10" s="42">
        <f t="shared" si="3"/>
        <v>1.953125E-3</v>
      </c>
      <c r="DP10" s="42">
        <f t="shared" si="3"/>
        <v>1.953125E-3</v>
      </c>
      <c r="DQ10" s="42">
        <v>1.953125E-3</v>
      </c>
      <c r="DR10" s="42">
        <v>1.953125E-3</v>
      </c>
      <c r="DS10" s="42">
        <f t="shared" si="4"/>
        <v>5.7031249999999999E-3</v>
      </c>
      <c r="DT10" s="42">
        <f t="shared" si="4"/>
        <v>5.4687499999999997E-3</v>
      </c>
      <c r="DU10" s="42">
        <v>1.5625E-2</v>
      </c>
      <c r="DV10" s="42">
        <v>1.5625E-2</v>
      </c>
      <c r="DW10" s="42"/>
    </row>
    <row r="11" spans="1:128" x14ac:dyDescent="0.35">
      <c r="A11">
        <v>1.5625E-2</v>
      </c>
      <c r="B11">
        <v>1.5625E-2</v>
      </c>
      <c r="C11">
        <v>1.5625E-2</v>
      </c>
      <c r="D11">
        <v>1.5625E-2</v>
      </c>
      <c r="E11">
        <v>1.5625E-2</v>
      </c>
      <c r="F11" t="s">
        <v>76</v>
      </c>
      <c r="G11">
        <v>1.5625E-2</v>
      </c>
      <c r="H11" t="s">
        <v>76</v>
      </c>
      <c r="I11" t="s">
        <v>76</v>
      </c>
      <c r="J11">
        <v>1.5625E-2</v>
      </c>
      <c r="K11">
        <v>1.5625E-2</v>
      </c>
      <c r="L11">
        <v>1.5625E-2</v>
      </c>
      <c r="M11">
        <v>1.5625E-2</v>
      </c>
      <c r="N11">
        <v>1.5625E-2</v>
      </c>
      <c r="O11">
        <v>1.5625E-2</v>
      </c>
      <c r="P11">
        <v>1.5625E-2</v>
      </c>
      <c r="Q11">
        <v>1.5625E-2</v>
      </c>
      <c r="R11">
        <v>1.5625E-2</v>
      </c>
      <c r="S11">
        <v>1.5625E-2</v>
      </c>
      <c r="T11">
        <v>1.5625E-2</v>
      </c>
      <c r="U11">
        <v>1.5625E-2</v>
      </c>
      <c r="V11">
        <v>1.5625E-2</v>
      </c>
      <c r="W11" s="43">
        <v>1.5625E-2</v>
      </c>
      <c r="X11" t="s">
        <v>76</v>
      </c>
      <c r="Y11">
        <v>1.5625E-2</v>
      </c>
      <c r="Z11">
        <v>1.5625E-2</v>
      </c>
      <c r="AA11">
        <v>9.765625E-4</v>
      </c>
      <c r="AB11">
        <v>1.5625E-2</v>
      </c>
      <c r="AC11">
        <v>9.765625E-4</v>
      </c>
      <c r="AD11">
        <v>1.5625E-2</v>
      </c>
      <c r="AE11">
        <v>9.765625E-4</v>
      </c>
      <c r="AF11">
        <v>1.5625E-2</v>
      </c>
      <c r="AG11">
        <v>1.5625E-2</v>
      </c>
      <c r="AH11">
        <v>1.5625E-2</v>
      </c>
      <c r="AI11">
        <v>9.765625E-4</v>
      </c>
      <c r="AJ11">
        <v>9.765625E-4</v>
      </c>
      <c r="AK11">
        <v>1.953125E-3</v>
      </c>
      <c r="AL11">
        <v>9.765625E-4</v>
      </c>
      <c r="AM11">
        <v>9.765625E-4</v>
      </c>
      <c r="AN11">
        <v>9.765625E-4</v>
      </c>
      <c r="AO11">
        <v>9.765625E-4</v>
      </c>
      <c r="AP11">
        <v>9.765625E-4</v>
      </c>
      <c r="AQ11">
        <v>9.765625E-4</v>
      </c>
      <c r="AR11">
        <v>9.765625E-4</v>
      </c>
      <c r="AS11">
        <v>9.765625E-4</v>
      </c>
      <c r="AT11">
        <v>1.5625E-2</v>
      </c>
      <c r="AU11">
        <v>1.5625E-2</v>
      </c>
      <c r="AV11">
        <v>1.5625E-2</v>
      </c>
      <c r="AW11">
        <v>1.5625E-2</v>
      </c>
      <c r="AX11">
        <v>1.5625E-2</v>
      </c>
      <c r="AY11">
        <v>1.5625E-2</v>
      </c>
      <c r="AZ11">
        <v>1.5625E-2</v>
      </c>
      <c r="BA11">
        <v>1.5625E-2</v>
      </c>
      <c r="BB11">
        <v>1.5625E-2</v>
      </c>
      <c r="BC11">
        <v>1.5625E-2</v>
      </c>
      <c r="BD11">
        <v>1.5625E-2</v>
      </c>
      <c r="BE11">
        <v>1.5625E-2</v>
      </c>
      <c r="BF11">
        <v>1.5625E-2</v>
      </c>
      <c r="BG11">
        <v>1.5625E-2</v>
      </c>
      <c r="BH11">
        <v>1.5625E-2</v>
      </c>
      <c r="BI11">
        <v>1.5625E-2</v>
      </c>
      <c r="BJ11">
        <v>1.5625E-2</v>
      </c>
      <c r="BK11">
        <v>1.5625E-2</v>
      </c>
      <c r="BL11">
        <v>1.5625E-2</v>
      </c>
      <c r="BM11">
        <v>1.5625E-2</v>
      </c>
      <c r="BN11">
        <v>1.5625E-2</v>
      </c>
      <c r="BO11">
        <v>1.5625E-2</v>
      </c>
      <c r="BP11">
        <v>1.5625E-2</v>
      </c>
      <c r="BQ11">
        <v>1.5625E-2</v>
      </c>
      <c r="BR11">
        <v>9.765625E-4</v>
      </c>
      <c r="BS11">
        <v>9.765625E-4</v>
      </c>
      <c r="BT11">
        <v>9.765625E-4</v>
      </c>
      <c r="BU11">
        <v>9.765625E-4</v>
      </c>
      <c r="BV11">
        <v>9.765625E-4</v>
      </c>
      <c r="BW11">
        <v>9.765625E-4</v>
      </c>
      <c r="BX11">
        <v>9.765625E-4</v>
      </c>
      <c r="BY11">
        <v>9.765625E-4</v>
      </c>
      <c r="BZ11">
        <v>9.765625E-4</v>
      </c>
      <c r="CA11">
        <v>9.765625E-4</v>
      </c>
      <c r="CB11" t="s">
        <v>76</v>
      </c>
      <c r="CC11">
        <v>9.765625E-4</v>
      </c>
      <c r="CD11">
        <v>1.953125E-3</v>
      </c>
      <c r="CE11" t="s">
        <v>76</v>
      </c>
      <c r="CF11">
        <v>1.5625E-2</v>
      </c>
      <c r="CG11" t="s">
        <v>76</v>
      </c>
      <c r="CH11" t="s">
        <v>76</v>
      </c>
      <c r="CI11" t="s">
        <v>76</v>
      </c>
      <c r="CJ11">
        <v>3.90625E-3</v>
      </c>
      <c r="CK11">
        <v>3.90625E-3</v>
      </c>
      <c r="CL11" s="42">
        <v>1.953125E-3</v>
      </c>
      <c r="CM11" s="42">
        <v>1.953125E-3</v>
      </c>
      <c r="CN11" s="42" t="s">
        <v>76</v>
      </c>
      <c r="CO11" s="42" t="s">
        <v>76</v>
      </c>
      <c r="CP11" s="42">
        <f t="shared" si="0"/>
        <v>9.765625E-4</v>
      </c>
      <c r="CQ11" s="42">
        <f t="shared" si="0"/>
        <v>9.765625E-4</v>
      </c>
      <c r="CR11" s="42">
        <f t="shared" si="0"/>
        <v>1.5625E-2</v>
      </c>
      <c r="CS11" s="42">
        <f t="shared" si="7"/>
        <v>1.5625E-2</v>
      </c>
      <c r="CT11" s="42">
        <f t="shared" si="5"/>
        <v>1.953125E-3</v>
      </c>
      <c r="CU11" s="42">
        <f t="shared" si="5"/>
        <v>1.953125E-3</v>
      </c>
      <c r="CV11" s="42">
        <f t="shared" si="5"/>
        <v>1.953125E-3</v>
      </c>
      <c r="CW11" s="42">
        <f t="shared" si="5"/>
        <v>1.953125E-3</v>
      </c>
      <c r="CX11" s="42">
        <f t="shared" si="5"/>
        <v>1.953125E-3</v>
      </c>
      <c r="CY11" s="42">
        <f t="shared" si="5"/>
        <v>1.953125E-3</v>
      </c>
      <c r="CZ11" s="42">
        <f t="shared" si="5"/>
        <v>1.953125E-3</v>
      </c>
      <c r="DA11" s="42">
        <f t="shared" si="5"/>
        <v>1.953125E-3</v>
      </c>
      <c r="DB11" s="42">
        <f t="shared" si="5"/>
        <v>1.953125E-3</v>
      </c>
      <c r="DC11" s="42">
        <f t="shared" si="5"/>
        <v>1.953125E-3</v>
      </c>
      <c r="DD11" s="42" t="s">
        <v>76</v>
      </c>
      <c r="DE11" s="42" t="s">
        <v>76</v>
      </c>
      <c r="DF11">
        <v>9.765625E-4</v>
      </c>
      <c r="DG11">
        <v>9.765625E-4</v>
      </c>
      <c r="DH11" s="42">
        <f t="shared" si="1"/>
        <v>9.765625E-4</v>
      </c>
      <c r="DI11" s="42">
        <f t="shared" si="6"/>
        <v>1.953125E-3</v>
      </c>
      <c r="DJ11" s="42">
        <f t="shared" si="6"/>
        <v>1.953125E-3</v>
      </c>
      <c r="DK11" s="42">
        <f t="shared" si="2"/>
        <v>9.765625E-4</v>
      </c>
      <c r="DL11" s="42">
        <f t="shared" si="2"/>
        <v>1.953125E-3</v>
      </c>
      <c r="DM11" s="42">
        <f t="shared" si="3"/>
        <v>9.765625E-4</v>
      </c>
      <c r="DN11" s="42">
        <f t="shared" si="3"/>
        <v>9.765625E-4</v>
      </c>
      <c r="DO11" s="42">
        <f t="shared" si="3"/>
        <v>9.765625E-4</v>
      </c>
      <c r="DP11" s="42">
        <f t="shared" si="3"/>
        <v>9.765625E-4</v>
      </c>
      <c r="DQ11" s="42">
        <v>9.765625E-4</v>
      </c>
      <c r="DR11" s="42">
        <v>9.765625E-4</v>
      </c>
      <c r="DS11" s="42">
        <f t="shared" si="4"/>
        <v>2.8515624999999999E-3</v>
      </c>
      <c r="DT11" s="42">
        <f t="shared" si="4"/>
        <v>2.7343749999999998E-3</v>
      </c>
      <c r="DU11" s="42">
        <v>7.8125E-3</v>
      </c>
      <c r="DV11" s="42">
        <v>7.8125E-3</v>
      </c>
      <c r="DW11" s="42"/>
    </row>
    <row r="12" spans="1:128" x14ac:dyDescent="0.35">
      <c r="A12">
        <v>7.8125E-3</v>
      </c>
      <c r="B12">
        <v>7.8125E-3</v>
      </c>
      <c r="C12">
        <v>7.8125E-3</v>
      </c>
      <c r="D12">
        <v>7.8125E-3</v>
      </c>
      <c r="E12">
        <v>7.8125E-3</v>
      </c>
      <c r="F12" t="s">
        <v>76</v>
      </c>
      <c r="G12">
        <v>7.8125E-3</v>
      </c>
      <c r="H12" t="s">
        <v>76</v>
      </c>
      <c r="I12" t="s">
        <v>76</v>
      </c>
      <c r="J12">
        <v>7.8125E-3</v>
      </c>
      <c r="K12">
        <v>7.8125E-3</v>
      </c>
      <c r="L12">
        <v>7.8125E-3</v>
      </c>
      <c r="M12">
        <v>7.8125E-3</v>
      </c>
      <c r="N12">
        <v>7.8125E-3</v>
      </c>
      <c r="O12">
        <v>7.8125E-3</v>
      </c>
      <c r="P12">
        <v>7.8125E-3</v>
      </c>
      <c r="Q12">
        <v>7.8125E-3</v>
      </c>
      <c r="R12">
        <v>7.8125E-3</v>
      </c>
      <c r="S12">
        <v>7.8125E-3</v>
      </c>
      <c r="T12">
        <v>7.8125E-3</v>
      </c>
      <c r="U12">
        <v>7.8125E-3</v>
      </c>
      <c r="V12">
        <v>7.8125E-3</v>
      </c>
      <c r="W12" s="43">
        <v>7.8125E-3</v>
      </c>
      <c r="X12" t="s">
        <v>76</v>
      </c>
      <c r="Y12">
        <v>7.8125E-3</v>
      </c>
      <c r="Z12">
        <v>7.8125E-3</v>
      </c>
      <c r="AA12" t="s">
        <v>76</v>
      </c>
      <c r="AB12">
        <v>7.8125E-3</v>
      </c>
      <c r="AC12" t="s">
        <v>76</v>
      </c>
      <c r="AD12">
        <v>7.8125E-3</v>
      </c>
      <c r="AE12" t="s">
        <v>76</v>
      </c>
      <c r="AF12">
        <v>7.8125E-3</v>
      </c>
      <c r="AG12">
        <v>7.8125E-3</v>
      </c>
      <c r="AH12">
        <v>7.8125E-3</v>
      </c>
      <c r="AI12" t="s">
        <v>76</v>
      </c>
      <c r="AJ12" t="s">
        <v>76</v>
      </c>
      <c r="AK12">
        <v>9.765625E-4</v>
      </c>
      <c r="AL12" t="s">
        <v>76</v>
      </c>
      <c r="AM12" t="s">
        <v>76</v>
      </c>
      <c r="AN12">
        <f>AN11/2</f>
        <v>4.8828125E-4</v>
      </c>
      <c r="AO12" t="s">
        <v>76</v>
      </c>
      <c r="AP12" t="s">
        <v>76</v>
      </c>
      <c r="AQ12" t="s">
        <v>76</v>
      </c>
      <c r="AR12" t="s">
        <v>76</v>
      </c>
      <c r="AS12" t="s">
        <v>76</v>
      </c>
      <c r="AT12" t="s">
        <v>76</v>
      </c>
      <c r="AU12" t="s">
        <v>76</v>
      </c>
      <c r="AV12">
        <v>7.8125E-3</v>
      </c>
      <c r="AW12">
        <v>7.8125E-3</v>
      </c>
      <c r="AX12">
        <v>7.8125E-3</v>
      </c>
      <c r="AY12">
        <v>7.8125E-3</v>
      </c>
      <c r="AZ12">
        <v>7.8125E-3</v>
      </c>
      <c r="BA12">
        <v>7.8125E-3</v>
      </c>
      <c r="BB12">
        <v>7.8125E-3</v>
      </c>
      <c r="BC12">
        <v>7.8125E-3</v>
      </c>
      <c r="BD12">
        <v>7.8125E-3</v>
      </c>
      <c r="BE12">
        <v>7.8125E-3</v>
      </c>
      <c r="BF12">
        <v>7.8125E-3</v>
      </c>
      <c r="BG12">
        <v>7.8125E-3</v>
      </c>
      <c r="BH12">
        <v>7.8125E-3</v>
      </c>
      <c r="BI12">
        <v>7.8125E-3</v>
      </c>
      <c r="BJ12">
        <v>7.8125E-3</v>
      </c>
      <c r="BK12">
        <v>7.8125E-3</v>
      </c>
      <c r="BL12">
        <v>7.8125E-3</v>
      </c>
      <c r="BM12">
        <v>7.8125E-3</v>
      </c>
      <c r="BN12">
        <v>7.8125E-3</v>
      </c>
      <c r="BO12">
        <v>7.8125E-3</v>
      </c>
      <c r="BP12">
        <v>7.8125E-3</v>
      </c>
      <c r="BQ12">
        <v>7.8125E-3</v>
      </c>
      <c r="BR12" t="s">
        <v>76</v>
      </c>
      <c r="BS12" t="s">
        <v>76</v>
      </c>
      <c r="BT12" t="s">
        <v>76</v>
      </c>
      <c r="BU12" t="s">
        <v>76</v>
      </c>
      <c r="BV12" t="s">
        <v>76</v>
      </c>
      <c r="BW12" t="s">
        <v>76</v>
      </c>
      <c r="BX12" t="s">
        <v>76</v>
      </c>
      <c r="BY12" t="s">
        <v>76</v>
      </c>
      <c r="BZ12" t="s">
        <v>76</v>
      </c>
      <c r="CA12" t="s">
        <v>76</v>
      </c>
      <c r="CB12" t="s">
        <v>76</v>
      </c>
      <c r="CC12" t="s">
        <v>76</v>
      </c>
      <c r="CD12" t="s">
        <v>76</v>
      </c>
      <c r="CE12" t="s">
        <v>76</v>
      </c>
      <c r="CF12" t="s">
        <v>76</v>
      </c>
      <c r="CG12" t="s">
        <v>76</v>
      </c>
      <c r="CH12" t="s">
        <v>76</v>
      </c>
      <c r="CI12" t="s">
        <v>76</v>
      </c>
      <c r="CJ12" t="s">
        <v>76</v>
      </c>
      <c r="CK12" t="s">
        <v>76</v>
      </c>
      <c r="CL12" s="42" t="s">
        <v>76</v>
      </c>
      <c r="CM12" s="42" t="s">
        <v>76</v>
      </c>
      <c r="CN12" s="42" t="s">
        <v>76</v>
      </c>
      <c r="CO12" s="42" t="s">
        <v>76</v>
      </c>
      <c r="CP12" s="42" t="s">
        <v>76</v>
      </c>
      <c r="CQ12" s="42" t="s">
        <v>76</v>
      </c>
      <c r="CR12" s="42">
        <f t="shared" si="0"/>
        <v>7.8125E-3</v>
      </c>
      <c r="CS12" s="42">
        <f t="shared" si="7"/>
        <v>7.8125E-3</v>
      </c>
      <c r="CT12" s="42">
        <f t="shared" si="5"/>
        <v>9.765625E-4</v>
      </c>
      <c r="CU12" s="42">
        <f t="shared" si="5"/>
        <v>9.765625E-4</v>
      </c>
      <c r="CV12" s="42">
        <f t="shared" si="5"/>
        <v>9.765625E-4</v>
      </c>
      <c r="CW12" s="42">
        <f t="shared" si="5"/>
        <v>9.765625E-4</v>
      </c>
      <c r="CX12" s="42">
        <f t="shared" si="5"/>
        <v>9.765625E-4</v>
      </c>
      <c r="CY12" s="42">
        <f t="shared" si="5"/>
        <v>9.765625E-4</v>
      </c>
      <c r="CZ12" s="42">
        <f t="shared" si="5"/>
        <v>9.765625E-4</v>
      </c>
      <c r="DA12" s="42">
        <f t="shared" si="5"/>
        <v>9.765625E-4</v>
      </c>
      <c r="DB12" s="42">
        <f t="shared" si="5"/>
        <v>9.765625E-4</v>
      </c>
      <c r="DC12" s="42">
        <f t="shared" si="5"/>
        <v>9.765625E-4</v>
      </c>
      <c r="DD12" s="42" t="s">
        <v>76</v>
      </c>
      <c r="DE12" s="42" t="s">
        <v>76</v>
      </c>
      <c r="DF12">
        <v>4.8828125E-4</v>
      </c>
      <c r="DG12" s="42" t="s">
        <v>76</v>
      </c>
      <c r="DH12" s="42" t="s">
        <v>76</v>
      </c>
      <c r="DI12" s="42" t="s">
        <v>76</v>
      </c>
      <c r="DJ12" s="42" t="s">
        <v>76</v>
      </c>
      <c r="DK12" s="42" t="s">
        <v>76</v>
      </c>
      <c r="DL12" s="42">
        <f t="shared" si="2"/>
        <v>9.765625E-4</v>
      </c>
      <c r="DM12" s="42" t="s">
        <v>76</v>
      </c>
      <c r="DN12" s="42" t="s">
        <v>76</v>
      </c>
      <c r="DO12" s="42" t="s">
        <v>76</v>
      </c>
      <c r="DP12" s="42" t="s">
        <v>76</v>
      </c>
      <c r="DQ12" s="42">
        <v>4.8828125E-4</v>
      </c>
      <c r="DR12" s="42">
        <v>4.8828125E-4</v>
      </c>
      <c r="DS12" s="42" t="s">
        <v>76</v>
      </c>
      <c r="DT12" s="42" t="s">
        <v>76</v>
      </c>
      <c r="DU12" s="42" t="s">
        <v>76</v>
      </c>
      <c r="DV12" s="42" t="s">
        <v>76</v>
      </c>
      <c r="DW12" s="42"/>
    </row>
    <row r="13" spans="1:128" x14ac:dyDescent="0.35">
      <c r="A13" t="s">
        <v>76</v>
      </c>
      <c r="B13">
        <v>3.90625E-3</v>
      </c>
      <c r="C13">
        <v>3.90625E-3</v>
      </c>
      <c r="D13">
        <v>3.90625E-3</v>
      </c>
      <c r="E13" t="s">
        <v>76</v>
      </c>
      <c r="F13" t="s">
        <v>76</v>
      </c>
      <c r="G13">
        <v>3.90625E-3</v>
      </c>
      <c r="H13" t="s">
        <v>76</v>
      </c>
      <c r="I13" t="s">
        <v>76</v>
      </c>
      <c r="J13">
        <v>3.90625E-3</v>
      </c>
      <c r="K13">
        <v>3.90625E-3</v>
      </c>
      <c r="L13">
        <v>3.90625E-3</v>
      </c>
      <c r="M13">
        <v>3.90625E-3</v>
      </c>
      <c r="N13" t="s">
        <v>76</v>
      </c>
      <c r="O13">
        <v>3.90625E-3</v>
      </c>
      <c r="P13">
        <v>3.90625E-3</v>
      </c>
      <c r="Q13">
        <v>3.90625E-3</v>
      </c>
      <c r="R13">
        <v>3.90625E-3</v>
      </c>
      <c r="S13">
        <v>3.90625E-3</v>
      </c>
      <c r="T13">
        <v>3.90625E-3</v>
      </c>
      <c r="U13" t="s">
        <v>76</v>
      </c>
      <c r="V13">
        <v>3.90625E-3</v>
      </c>
      <c r="W13" s="43">
        <v>3.90625E-3</v>
      </c>
      <c r="X13" t="s">
        <v>76</v>
      </c>
      <c r="Y13">
        <v>3.90625E-3</v>
      </c>
      <c r="Z13">
        <v>3.90625E-3</v>
      </c>
      <c r="AA13" t="s">
        <v>76</v>
      </c>
      <c r="AB13">
        <v>3.90625E-3</v>
      </c>
      <c r="AC13" t="s">
        <v>76</v>
      </c>
      <c r="AD13">
        <v>3.90625E-3</v>
      </c>
      <c r="AE13" t="s">
        <v>76</v>
      </c>
      <c r="AF13">
        <v>1.953125E-3</v>
      </c>
      <c r="AG13">
        <v>3.90625E-3</v>
      </c>
      <c r="AH13">
        <v>3.90625E-3</v>
      </c>
      <c r="AI13" t="s">
        <v>76</v>
      </c>
      <c r="AJ13" t="s">
        <v>76</v>
      </c>
      <c r="AK13" t="s">
        <v>76</v>
      </c>
      <c r="AL13" t="s">
        <v>76</v>
      </c>
      <c r="AM13" t="s">
        <v>76</v>
      </c>
      <c r="AN13" t="s">
        <v>76</v>
      </c>
      <c r="AO13" t="s">
        <v>76</v>
      </c>
      <c r="AP13" t="s">
        <v>76</v>
      </c>
      <c r="AQ13" t="s">
        <v>76</v>
      </c>
      <c r="AR13" t="s">
        <v>76</v>
      </c>
      <c r="AS13" t="s">
        <v>76</v>
      </c>
      <c r="AT13" t="s">
        <v>76</v>
      </c>
      <c r="AU13" t="s">
        <v>76</v>
      </c>
      <c r="AV13" t="s">
        <v>76</v>
      </c>
      <c r="AW13">
        <v>3.90625E-3</v>
      </c>
      <c r="AX13">
        <v>3.90625E-3</v>
      </c>
      <c r="AY13">
        <v>3.90625E-3</v>
      </c>
      <c r="AZ13">
        <v>3.90625E-3</v>
      </c>
      <c r="BA13" t="s">
        <v>76</v>
      </c>
      <c r="BB13">
        <v>3.90625E-3</v>
      </c>
      <c r="BC13" t="s">
        <v>76</v>
      </c>
      <c r="BD13" t="s">
        <v>76</v>
      </c>
      <c r="BE13">
        <v>3.90625E-3</v>
      </c>
      <c r="BF13" t="s">
        <v>76</v>
      </c>
      <c r="BG13">
        <v>3.90625E-3</v>
      </c>
      <c r="BH13">
        <v>3.90625E-3</v>
      </c>
      <c r="BI13">
        <v>3.90625E-3</v>
      </c>
      <c r="BJ13">
        <v>3.90625E-3</v>
      </c>
      <c r="BK13">
        <v>3.90625E-3</v>
      </c>
      <c r="BL13">
        <v>3.90625E-3</v>
      </c>
      <c r="BM13">
        <v>3.90625E-3</v>
      </c>
      <c r="BN13">
        <v>3.90625E-3</v>
      </c>
      <c r="BO13">
        <v>3.90625E-3</v>
      </c>
      <c r="BP13">
        <v>3.90625E-3</v>
      </c>
      <c r="BQ13">
        <v>3.90625E-3</v>
      </c>
      <c r="BR13" t="s">
        <v>76</v>
      </c>
      <c r="BS13" t="s">
        <v>76</v>
      </c>
      <c r="BT13" t="s">
        <v>76</v>
      </c>
      <c r="BU13" t="s">
        <v>76</v>
      </c>
      <c r="BV13" t="s">
        <v>76</v>
      </c>
      <c r="BW13" t="s">
        <v>76</v>
      </c>
      <c r="BX13" t="s">
        <v>76</v>
      </c>
      <c r="BY13" t="s">
        <v>76</v>
      </c>
      <c r="BZ13" t="s">
        <v>76</v>
      </c>
      <c r="CA13" t="s">
        <v>76</v>
      </c>
      <c r="CB13" t="s">
        <v>76</v>
      </c>
      <c r="CC13" t="s">
        <v>76</v>
      </c>
      <c r="CD13" t="s">
        <v>76</v>
      </c>
      <c r="CE13" t="s">
        <v>76</v>
      </c>
      <c r="CF13" t="s">
        <v>76</v>
      </c>
      <c r="CG13" t="s">
        <v>76</v>
      </c>
      <c r="CH13" t="s">
        <v>76</v>
      </c>
      <c r="CI13" t="s">
        <v>76</v>
      </c>
      <c r="CJ13" t="s">
        <v>76</v>
      </c>
      <c r="CK13" t="s">
        <v>76</v>
      </c>
      <c r="CL13" s="42" t="s">
        <v>76</v>
      </c>
      <c r="CM13" s="42" t="s">
        <v>76</v>
      </c>
      <c r="CN13" s="42" t="s">
        <v>76</v>
      </c>
      <c r="CO13" s="42" t="s">
        <v>76</v>
      </c>
      <c r="CP13" s="42" t="s">
        <v>76</v>
      </c>
      <c r="CQ13" s="42" t="s">
        <v>76</v>
      </c>
      <c r="CR13" s="42">
        <f t="shared" si="0"/>
        <v>3.90625E-3</v>
      </c>
      <c r="CS13" s="42">
        <f t="shared" si="7"/>
        <v>3.90625E-3</v>
      </c>
      <c r="CT13" s="42" t="s">
        <v>76</v>
      </c>
      <c r="CU13" s="42" t="s">
        <v>76</v>
      </c>
      <c r="CV13" s="42" t="s">
        <v>76</v>
      </c>
      <c r="CW13" s="42" t="s">
        <v>76</v>
      </c>
      <c r="CX13" s="42" t="s">
        <v>76</v>
      </c>
      <c r="CY13" s="42" t="s">
        <v>76</v>
      </c>
      <c r="CZ13" s="42" t="s">
        <v>76</v>
      </c>
      <c r="DA13" s="42" t="s">
        <v>76</v>
      </c>
      <c r="DB13" s="42" t="s">
        <v>76</v>
      </c>
      <c r="DC13" s="42" t="s">
        <v>76</v>
      </c>
      <c r="DD13" s="42" t="s">
        <v>76</v>
      </c>
      <c r="DE13" s="42" t="s">
        <v>76</v>
      </c>
      <c r="DF13" s="42" t="s">
        <v>76</v>
      </c>
      <c r="DG13" s="42" t="s">
        <v>76</v>
      </c>
      <c r="DH13" s="42" t="s">
        <v>76</v>
      </c>
      <c r="DI13" s="42" t="s">
        <v>76</v>
      </c>
      <c r="DJ13" s="42" t="s">
        <v>76</v>
      </c>
      <c r="DK13" s="42" t="s">
        <v>76</v>
      </c>
      <c r="DL13" s="42" t="s">
        <v>76</v>
      </c>
      <c r="DM13" s="42" t="s">
        <v>76</v>
      </c>
      <c r="DN13" s="42" t="s">
        <v>76</v>
      </c>
      <c r="DO13" s="42" t="s">
        <v>76</v>
      </c>
      <c r="DP13" s="42" t="s">
        <v>76</v>
      </c>
      <c r="DQ13" s="42">
        <v>2.44140625E-4</v>
      </c>
      <c r="DR13" s="42" t="s">
        <v>76</v>
      </c>
      <c r="DS13" s="42" t="s">
        <v>76</v>
      </c>
      <c r="DT13" s="42" t="s">
        <v>76</v>
      </c>
      <c r="DU13" s="42" t="s">
        <v>76</v>
      </c>
      <c r="DV13" s="42" t="s">
        <v>76</v>
      </c>
      <c r="DW13" s="42"/>
    </row>
    <row r="14" spans="1:128" x14ac:dyDescent="0.35">
      <c r="A14" t="s">
        <v>76</v>
      </c>
      <c r="B14">
        <v>1.953125E-3</v>
      </c>
      <c r="C14">
        <v>1.953125E-3</v>
      </c>
      <c r="D14">
        <v>1.953125E-3</v>
      </c>
      <c r="E14" t="s">
        <v>76</v>
      </c>
      <c r="F14" t="s">
        <v>76</v>
      </c>
      <c r="G14">
        <v>1.953125E-3</v>
      </c>
      <c r="H14" t="s">
        <v>76</v>
      </c>
      <c r="I14" t="s">
        <v>76</v>
      </c>
      <c r="J14">
        <v>1.953125E-3</v>
      </c>
      <c r="K14">
        <v>1.953125E-3</v>
      </c>
      <c r="L14">
        <v>1.953125E-3</v>
      </c>
      <c r="M14">
        <v>1.953125E-3</v>
      </c>
      <c r="N14" t="s">
        <v>76</v>
      </c>
      <c r="O14">
        <v>1.953125E-3</v>
      </c>
      <c r="P14">
        <v>1.953125E-3</v>
      </c>
      <c r="Q14">
        <v>1.953125E-3</v>
      </c>
      <c r="R14" t="s">
        <v>76</v>
      </c>
      <c r="S14">
        <v>1.953125E-3</v>
      </c>
      <c r="T14" t="s">
        <v>76</v>
      </c>
      <c r="U14" t="s">
        <v>76</v>
      </c>
      <c r="V14" t="s">
        <v>76</v>
      </c>
      <c r="W14" s="43">
        <v>1.953125E-3</v>
      </c>
      <c r="X14" t="s">
        <v>76</v>
      </c>
      <c r="Y14">
        <v>1.953125E-3</v>
      </c>
      <c r="Z14">
        <v>1.953125E-3</v>
      </c>
      <c r="AA14" t="s">
        <v>76</v>
      </c>
      <c r="AB14" t="s">
        <v>76</v>
      </c>
      <c r="AC14" t="s">
        <v>76</v>
      </c>
      <c r="AD14" t="s">
        <v>76</v>
      </c>
      <c r="AE14" t="s">
        <v>76</v>
      </c>
      <c r="AF14" t="s">
        <v>76</v>
      </c>
      <c r="AG14">
        <v>1.953125E-3</v>
      </c>
      <c r="AH14">
        <v>1.953125E-3</v>
      </c>
      <c r="AI14" t="s">
        <v>76</v>
      </c>
      <c r="AJ14" t="s">
        <v>76</v>
      </c>
      <c r="AK14" t="s">
        <v>76</v>
      </c>
      <c r="AL14" t="s">
        <v>76</v>
      </c>
      <c r="AM14" t="s">
        <v>76</v>
      </c>
      <c r="AN14" t="s">
        <v>76</v>
      </c>
      <c r="AO14" t="s">
        <v>76</v>
      </c>
      <c r="AP14" t="s">
        <v>76</v>
      </c>
      <c r="AQ14" t="s">
        <v>76</v>
      </c>
      <c r="AR14" t="s">
        <v>76</v>
      </c>
      <c r="AS14" t="s">
        <v>76</v>
      </c>
      <c r="AT14" t="s">
        <v>76</v>
      </c>
      <c r="AU14" t="s">
        <v>76</v>
      </c>
      <c r="AV14" t="s">
        <v>76</v>
      </c>
      <c r="AW14">
        <v>1.953125E-3</v>
      </c>
      <c r="AX14">
        <v>1.953125E-3</v>
      </c>
      <c r="AY14">
        <v>9.765625E-4</v>
      </c>
      <c r="AZ14" t="s">
        <v>76</v>
      </c>
      <c r="BA14" t="s">
        <v>76</v>
      </c>
      <c r="BB14" t="s">
        <v>76</v>
      </c>
      <c r="BC14" t="s">
        <v>76</v>
      </c>
      <c r="BD14" t="s">
        <v>76</v>
      </c>
      <c r="BE14">
        <v>1.953125E-3</v>
      </c>
      <c r="BF14" t="s">
        <v>76</v>
      </c>
      <c r="BG14">
        <v>1.953125E-3</v>
      </c>
      <c r="BH14">
        <v>1.953125E-3</v>
      </c>
      <c r="BI14">
        <v>1.953125E-3</v>
      </c>
      <c r="BJ14" t="s">
        <v>76</v>
      </c>
      <c r="BK14">
        <v>1.953125E-3</v>
      </c>
      <c r="BL14">
        <v>1.953125E-3</v>
      </c>
      <c r="BM14">
        <v>1.953125E-3</v>
      </c>
      <c r="BN14" t="s">
        <v>76</v>
      </c>
      <c r="BO14">
        <v>1.953125E-3</v>
      </c>
      <c r="BP14" t="s">
        <v>76</v>
      </c>
      <c r="BQ14">
        <v>1.953125E-3</v>
      </c>
      <c r="BR14" t="s">
        <v>76</v>
      </c>
      <c r="BS14" t="s">
        <v>76</v>
      </c>
      <c r="BT14" t="s">
        <v>76</v>
      </c>
      <c r="BU14" t="s">
        <v>76</v>
      </c>
      <c r="BV14" t="s">
        <v>76</v>
      </c>
      <c r="BW14" t="s">
        <v>76</v>
      </c>
      <c r="BX14" t="s">
        <v>76</v>
      </c>
      <c r="BY14" t="s">
        <v>76</v>
      </c>
      <c r="BZ14" t="s">
        <v>76</v>
      </c>
      <c r="CA14" t="s">
        <v>76</v>
      </c>
      <c r="CB14" t="s">
        <v>76</v>
      </c>
      <c r="CC14" t="s">
        <v>76</v>
      </c>
      <c r="CD14" t="s">
        <v>76</v>
      </c>
      <c r="CE14" t="s">
        <v>76</v>
      </c>
      <c r="CF14" t="s">
        <v>76</v>
      </c>
      <c r="CG14" t="s">
        <v>76</v>
      </c>
      <c r="CH14" t="s">
        <v>76</v>
      </c>
      <c r="CI14" t="s">
        <v>76</v>
      </c>
      <c r="CJ14" t="s">
        <v>76</v>
      </c>
      <c r="CK14" t="s">
        <v>76</v>
      </c>
      <c r="CL14" s="42" t="s">
        <v>76</v>
      </c>
      <c r="CM14" s="42" t="s">
        <v>76</v>
      </c>
      <c r="CN14" s="42" t="s">
        <v>76</v>
      </c>
      <c r="CO14" s="42" t="s">
        <v>76</v>
      </c>
      <c r="CP14" s="42" t="s">
        <v>76</v>
      </c>
      <c r="CQ14" s="42" t="s">
        <v>76</v>
      </c>
      <c r="CR14" s="42">
        <f t="shared" si="0"/>
        <v>1.953125E-3</v>
      </c>
      <c r="CS14" s="42">
        <f t="shared" si="7"/>
        <v>1.953125E-3</v>
      </c>
      <c r="CT14" s="42" t="s">
        <v>76</v>
      </c>
      <c r="CU14" s="42" t="s">
        <v>76</v>
      </c>
      <c r="CV14" s="42" t="s">
        <v>76</v>
      </c>
      <c r="CW14" s="42" t="s">
        <v>76</v>
      </c>
      <c r="CX14" s="42" t="s">
        <v>76</v>
      </c>
      <c r="CY14" s="42" t="s">
        <v>76</v>
      </c>
      <c r="CZ14" s="42" t="s">
        <v>76</v>
      </c>
      <c r="DA14" s="42" t="s">
        <v>76</v>
      </c>
      <c r="DB14" s="42" t="s">
        <v>76</v>
      </c>
      <c r="DC14" s="42" t="s">
        <v>76</v>
      </c>
      <c r="DD14" s="42" t="s">
        <v>76</v>
      </c>
      <c r="DE14" s="42" t="s">
        <v>76</v>
      </c>
      <c r="DF14" s="42" t="s">
        <v>76</v>
      </c>
      <c r="DG14" s="42" t="s">
        <v>76</v>
      </c>
      <c r="DH14" s="42" t="s">
        <v>76</v>
      </c>
      <c r="DI14" s="42" t="s">
        <v>76</v>
      </c>
      <c r="DJ14" s="42" t="s">
        <v>76</v>
      </c>
      <c r="DK14" s="42" t="s">
        <v>76</v>
      </c>
      <c r="DL14" s="42" t="s">
        <v>76</v>
      </c>
      <c r="DM14" s="42" t="s">
        <v>76</v>
      </c>
      <c r="DN14" s="42" t="s">
        <v>76</v>
      </c>
      <c r="DO14" s="42" t="s">
        <v>76</v>
      </c>
      <c r="DP14" s="42" t="s">
        <v>76</v>
      </c>
      <c r="DQ14" s="42" t="s">
        <v>76</v>
      </c>
      <c r="DR14" s="42" t="s">
        <v>76</v>
      </c>
      <c r="DS14" s="42" t="s">
        <v>76</v>
      </c>
      <c r="DT14" s="42" t="s">
        <v>76</v>
      </c>
      <c r="DU14" s="42" t="s">
        <v>76</v>
      </c>
      <c r="DV14" s="42" t="s">
        <v>76</v>
      </c>
      <c r="DW14" s="42"/>
    </row>
    <row r="15" spans="1:128" x14ac:dyDescent="0.35">
      <c r="A15" t="s">
        <v>76</v>
      </c>
      <c r="B15">
        <v>9.765625E-4</v>
      </c>
      <c r="C15">
        <v>9.765625E-4</v>
      </c>
      <c r="D15">
        <v>9.765625E-4</v>
      </c>
      <c r="E15" t="s">
        <v>76</v>
      </c>
      <c r="F15" t="s">
        <v>76</v>
      </c>
      <c r="G15" t="s">
        <v>76</v>
      </c>
      <c r="H15" t="s">
        <v>76</v>
      </c>
      <c r="I15" t="s">
        <v>76</v>
      </c>
      <c r="J15" t="s">
        <v>76</v>
      </c>
      <c r="K15">
        <v>9.765625E-4</v>
      </c>
      <c r="L15">
        <v>9.765625E-4</v>
      </c>
      <c r="M15">
        <v>9.765625E-4</v>
      </c>
      <c r="N15" t="s">
        <v>76</v>
      </c>
      <c r="O15" t="s">
        <v>76</v>
      </c>
      <c r="P15">
        <v>9.765625E-4</v>
      </c>
      <c r="Q15">
        <v>9.765625E-4</v>
      </c>
      <c r="R15" t="s">
        <v>76</v>
      </c>
      <c r="S15">
        <v>9.765625E-4</v>
      </c>
      <c r="T15" t="s">
        <v>76</v>
      </c>
      <c r="U15" t="s">
        <v>76</v>
      </c>
      <c r="V15" t="s">
        <v>76</v>
      </c>
      <c r="W15" s="43" t="s">
        <v>76</v>
      </c>
      <c r="X15" t="s">
        <v>76</v>
      </c>
      <c r="Y15">
        <v>9.765625E-4</v>
      </c>
      <c r="Z15" t="s">
        <v>76</v>
      </c>
      <c r="AA15" t="s">
        <v>76</v>
      </c>
      <c r="AB15" t="s">
        <v>76</v>
      </c>
      <c r="AC15" t="s">
        <v>76</v>
      </c>
      <c r="AD15" t="s">
        <v>76</v>
      </c>
      <c r="AE15" t="s">
        <v>76</v>
      </c>
      <c r="AF15" t="s">
        <v>76</v>
      </c>
      <c r="AG15">
        <v>9.765625E-4</v>
      </c>
      <c r="AH15">
        <v>9.765625E-4</v>
      </c>
      <c r="AI15" t="s">
        <v>76</v>
      </c>
      <c r="AJ15" t="s">
        <v>76</v>
      </c>
      <c r="AK15" t="s">
        <v>76</v>
      </c>
      <c r="AL15" t="s">
        <v>76</v>
      </c>
      <c r="AM15" t="s">
        <v>76</v>
      </c>
      <c r="AN15" t="s">
        <v>76</v>
      </c>
      <c r="AO15" t="s">
        <v>76</v>
      </c>
      <c r="AP15" t="s">
        <v>76</v>
      </c>
      <c r="AQ15" t="s">
        <v>76</v>
      </c>
      <c r="AR15" t="s">
        <v>76</v>
      </c>
      <c r="AS15" t="s">
        <v>76</v>
      </c>
      <c r="AT15" t="s">
        <v>76</v>
      </c>
      <c r="AU15" t="s">
        <v>76</v>
      </c>
      <c r="AV15" t="s">
        <v>76</v>
      </c>
      <c r="AW15">
        <v>9.765625E-4</v>
      </c>
      <c r="AX15">
        <v>9.765625E-4</v>
      </c>
      <c r="AY15" t="s">
        <v>76</v>
      </c>
      <c r="AZ15" t="s">
        <v>76</v>
      </c>
      <c r="BA15" t="s">
        <v>76</v>
      </c>
      <c r="BB15" t="s">
        <v>76</v>
      </c>
      <c r="BC15" t="s">
        <v>76</v>
      </c>
      <c r="BD15" t="s">
        <v>76</v>
      </c>
      <c r="BE15" t="s">
        <v>76</v>
      </c>
      <c r="BF15" t="s">
        <v>76</v>
      </c>
      <c r="BG15">
        <v>9.765625E-4</v>
      </c>
      <c r="BH15">
        <v>9.765625E-4</v>
      </c>
      <c r="BI15">
        <v>9.765625E-4</v>
      </c>
      <c r="BJ15" t="s">
        <v>76</v>
      </c>
      <c r="BK15" t="s">
        <v>76</v>
      </c>
      <c r="BL15">
        <v>9.765625E-4</v>
      </c>
      <c r="BM15" t="s">
        <v>76</v>
      </c>
      <c r="BN15" t="s">
        <v>76</v>
      </c>
      <c r="BO15" t="s">
        <v>76</v>
      </c>
      <c r="BP15" t="s">
        <v>76</v>
      </c>
      <c r="BQ15">
        <v>9.765625E-4</v>
      </c>
      <c r="BR15" t="s">
        <v>76</v>
      </c>
      <c r="BS15" t="s">
        <v>76</v>
      </c>
      <c r="BT15" t="s">
        <v>76</v>
      </c>
      <c r="BU15" t="s">
        <v>76</v>
      </c>
      <c r="BV15" t="s">
        <v>76</v>
      </c>
      <c r="BW15" t="s">
        <v>76</v>
      </c>
      <c r="BX15" t="s">
        <v>76</v>
      </c>
      <c r="BY15" t="s">
        <v>76</v>
      </c>
      <c r="BZ15" t="s">
        <v>76</v>
      </c>
      <c r="CA15" t="s">
        <v>76</v>
      </c>
      <c r="CB15" t="s">
        <v>76</v>
      </c>
      <c r="CC15" t="s">
        <v>76</v>
      </c>
      <c r="CD15" t="s">
        <v>76</v>
      </c>
      <c r="CE15" t="s">
        <v>76</v>
      </c>
      <c r="CF15" t="s">
        <v>76</v>
      </c>
      <c r="CG15" t="s">
        <v>76</v>
      </c>
      <c r="CH15" t="s">
        <v>76</v>
      </c>
      <c r="CI15" t="s">
        <v>76</v>
      </c>
      <c r="CJ15" t="s">
        <v>76</v>
      </c>
      <c r="CK15" t="s">
        <v>76</v>
      </c>
      <c r="CL15" s="42" t="s">
        <v>76</v>
      </c>
      <c r="CM15" s="42" t="s">
        <v>76</v>
      </c>
      <c r="CN15" s="42" t="s">
        <v>76</v>
      </c>
      <c r="CO15" s="42" t="s">
        <v>76</v>
      </c>
      <c r="CP15" s="42" t="s">
        <v>76</v>
      </c>
      <c r="CQ15" s="42" t="s">
        <v>76</v>
      </c>
      <c r="CR15" s="42">
        <f t="shared" si="0"/>
        <v>9.765625E-4</v>
      </c>
      <c r="CS15" s="42">
        <f t="shared" si="7"/>
        <v>9.765625E-4</v>
      </c>
      <c r="CT15" s="42" t="s">
        <v>76</v>
      </c>
      <c r="CU15" s="42" t="s">
        <v>76</v>
      </c>
      <c r="CV15" s="42" t="s">
        <v>76</v>
      </c>
      <c r="CW15" s="42" t="s">
        <v>76</v>
      </c>
      <c r="CX15" s="42" t="s">
        <v>76</v>
      </c>
      <c r="CY15" s="42" t="s">
        <v>76</v>
      </c>
      <c r="CZ15" s="42" t="s">
        <v>76</v>
      </c>
      <c r="DA15" s="42" t="s">
        <v>76</v>
      </c>
      <c r="DB15" s="42" t="s">
        <v>76</v>
      </c>
      <c r="DC15" s="42" t="s">
        <v>76</v>
      </c>
      <c r="DD15" s="42" t="s">
        <v>76</v>
      </c>
      <c r="DE15" s="42" t="s">
        <v>76</v>
      </c>
      <c r="DF15" s="42" t="s">
        <v>76</v>
      </c>
      <c r="DG15" s="42" t="s">
        <v>76</v>
      </c>
      <c r="DH15" s="42" t="s">
        <v>76</v>
      </c>
      <c r="DI15" s="42" t="s">
        <v>76</v>
      </c>
      <c r="DJ15" s="42" t="s">
        <v>76</v>
      </c>
      <c r="DK15" s="42" t="s">
        <v>76</v>
      </c>
      <c r="DL15" s="42" t="s">
        <v>76</v>
      </c>
      <c r="DM15" s="42" t="s">
        <v>76</v>
      </c>
      <c r="DN15" s="42" t="s">
        <v>76</v>
      </c>
      <c r="DO15" s="42" t="s">
        <v>76</v>
      </c>
      <c r="DP15" s="42" t="s">
        <v>76</v>
      </c>
      <c r="DQ15" s="42" t="s">
        <v>76</v>
      </c>
      <c r="DR15" s="42" t="s">
        <v>76</v>
      </c>
      <c r="DS15" s="42" t="s">
        <v>76</v>
      </c>
      <c r="DT15" s="42" t="s">
        <v>76</v>
      </c>
      <c r="DU15" s="42" t="s">
        <v>76</v>
      </c>
      <c r="DV15" s="42" t="s">
        <v>76</v>
      </c>
      <c r="DW15" s="42"/>
    </row>
    <row r="16" spans="1:128" x14ac:dyDescent="0.35">
      <c r="A16" t="s">
        <v>76</v>
      </c>
      <c r="B16" t="s">
        <v>76</v>
      </c>
      <c r="C16" t="s">
        <v>76</v>
      </c>
      <c r="D16" t="s">
        <v>76</v>
      </c>
      <c r="E16" t="s">
        <v>76</v>
      </c>
      <c r="F16" t="s">
        <v>76</v>
      </c>
      <c r="G16" t="s">
        <v>76</v>
      </c>
      <c r="H16" t="s">
        <v>76</v>
      </c>
      <c r="I16" t="s">
        <v>76</v>
      </c>
      <c r="J16" t="s">
        <v>76</v>
      </c>
      <c r="K16" t="s">
        <v>76</v>
      </c>
      <c r="L16" t="s">
        <v>76</v>
      </c>
      <c r="M16" t="s">
        <v>76</v>
      </c>
      <c r="N16" t="s">
        <v>76</v>
      </c>
      <c r="O16" t="s">
        <v>76</v>
      </c>
      <c r="P16" t="s">
        <v>76</v>
      </c>
      <c r="Q16" t="s">
        <v>76</v>
      </c>
      <c r="R16" t="s">
        <v>76</v>
      </c>
      <c r="S16" t="s">
        <v>76</v>
      </c>
      <c r="T16" t="s">
        <v>76</v>
      </c>
      <c r="U16" t="s">
        <v>76</v>
      </c>
      <c r="V16" t="s">
        <v>76</v>
      </c>
      <c r="W16" s="43" t="s">
        <v>76</v>
      </c>
      <c r="X16" t="s">
        <v>76</v>
      </c>
      <c r="Y16" t="s">
        <v>76</v>
      </c>
      <c r="Z16" t="s">
        <v>76</v>
      </c>
      <c r="AA16" t="s">
        <v>76</v>
      </c>
      <c r="AB16" t="s">
        <v>76</v>
      </c>
      <c r="AC16" t="s">
        <v>76</v>
      </c>
      <c r="AD16" t="s">
        <v>76</v>
      </c>
      <c r="AE16" t="s">
        <v>76</v>
      </c>
      <c r="AF16" t="s">
        <v>76</v>
      </c>
      <c r="AG16">
        <v>4.8828125E-4</v>
      </c>
      <c r="AH16">
        <v>4.8828125E-4</v>
      </c>
      <c r="AI16" t="s">
        <v>76</v>
      </c>
      <c r="AJ16" t="s">
        <v>76</v>
      </c>
      <c r="AK16" t="s">
        <v>76</v>
      </c>
      <c r="AL16" t="s">
        <v>76</v>
      </c>
      <c r="AM16" t="s">
        <v>76</v>
      </c>
      <c r="AN16" t="s">
        <v>76</v>
      </c>
      <c r="AO16" t="s">
        <v>76</v>
      </c>
      <c r="AP16" t="s">
        <v>76</v>
      </c>
      <c r="AQ16" t="s">
        <v>76</v>
      </c>
      <c r="AR16" t="s">
        <v>76</v>
      </c>
      <c r="AS16" t="s">
        <v>76</v>
      </c>
      <c r="AT16" t="s">
        <v>76</v>
      </c>
      <c r="AU16" t="s">
        <v>76</v>
      </c>
      <c r="AV16" t="s">
        <v>76</v>
      </c>
      <c r="AW16" t="s">
        <v>76</v>
      </c>
      <c r="AX16" t="s">
        <v>76</v>
      </c>
      <c r="AY16" t="s">
        <v>76</v>
      </c>
      <c r="AZ16" t="s">
        <v>76</v>
      </c>
      <c r="BA16" t="s">
        <v>76</v>
      </c>
      <c r="BB16" t="s">
        <v>76</v>
      </c>
      <c r="BC16" t="s">
        <v>76</v>
      </c>
      <c r="BD16" t="s">
        <v>76</v>
      </c>
      <c r="BE16" t="s">
        <v>76</v>
      </c>
      <c r="BF16" t="s">
        <v>76</v>
      </c>
      <c r="BG16" t="s">
        <v>76</v>
      </c>
      <c r="BH16" t="s">
        <v>76</v>
      </c>
      <c r="BI16" t="s">
        <v>76</v>
      </c>
      <c r="BJ16" t="s">
        <v>76</v>
      </c>
      <c r="BK16" t="s">
        <v>76</v>
      </c>
      <c r="BL16" t="s">
        <v>76</v>
      </c>
      <c r="BM16" t="s">
        <v>76</v>
      </c>
      <c r="BN16" t="s">
        <v>76</v>
      </c>
      <c r="BO16" t="s">
        <v>76</v>
      </c>
      <c r="BP16" t="s">
        <v>76</v>
      </c>
      <c r="BQ16" t="s">
        <v>76</v>
      </c>
      <c r="BR16" t="s">
        <v>76</v>
      </c>
      <c r="BS16" t="s">
        <v>76</v>
      </c>
      <c r="BT16" t="s">
        <v>76</v>
      </c>
      <c r="BU16" t="s">
        <v>76</v>
      </c>
      <c r="BV16" t="s">
        <v>76</v>
      </c>
      <c r="BW16" t="s">
        <v>76</v>
      </c>
      <c r="BX16" t="s">
        <v>76</v>
      </c>
      <c r="BY16" t="s">
        <v>76</v>
      </c>
      <c r="BZ16" t="s">
        <v>76</v>
      </c>
      <c r="CA16" t="s">
        <v>76</v>
      </c>
      <c r="CB16" t="s">
        <v>76</v>
      </c>
      <c r="CC16" t="s">
        <v>76</v>
      </c>
      <c r="CD16" t="s">
        <v>76</v>
      </c>
      <c r="CE16" t="s">
        <v>76</v>
      </c>
      <c r="CF16" t="s">
        <v>76</v>
      </c>
      <c r="CG16" t="s">
        <v>76</v>
      </c>
      <c r="CH16" t="s">
        <v>76</v>
      </c>
      <c r="CI16" t="s">
        <v>76</v>
      </c>
      <c r="CJ16" t="s">
        <v>76</v>
      </c>
      <c r="CK16" t="s">
        <v>76</v>
      </c>
      <c r="CL16" s="42" t="s">
        <v>76</v>
      </c>
      <c r="CM16" s="42" t="s">
        <v>76</v>
      </c>
      <c r="CN16" s="42" t="s">
        <v>76</v>
      </c>
      <c r="CO16" s="42" t="s">
        <v>76</v>
      </c>
      <c r="CP16" s="42" t="s">
        <v>76</v>
      </c>
      <c r="CQ16" s="42" t="s">
        <v>76</v>
      </c>
      <c r="CR16" s="42" t="s">
        <v>76</v>
      </c>
      <c r="CS16" s="42" t="s">
        <v>76</v>
      </c>
      <c r="CT16" s="42" t="s">
        <v>76</v>
      </c>
      <c r="CU16" s="42" t="s">
        <v>76</v>
      </c>
      <c r="CV16" s="42" t="s">
        <v>76</v>
      </c>
      <c r="CW16" s="42" t="s">
        <v>76</v>
      </c>
      <c r="CX16" s="42" t="s">
        <v>76</v>
      </c>
      <c r="CY16" s="42" t="s">
        <v>76</v>
      </c>
      <c r="CZ16" s="42" t="s">
        <v>76</v>
      </c>
      <c r="DA16" s="42" t="s">
        <v>76</v>
      </c>
      <c r="DB16" s="42" t="s">
        <v>76</v>
      </c>
      <c r="DC16" s="42" t="s">
        <v>76</v>
      </c>
      <c r="DD16" s="42" t="s">
        <v>76</v>
      </c>
      <c r="DE16" s="42" t="s">
        <v>76</v>
      </c>
      <c r="DF16" s="42" t="s">
        <v>76</v>
      </c>
      <c r="DG16" s="42" t="s">
        <v>76</v>
      </c>
      <c r="DH16" s="42" t="s">
        <v>76</v>
      </c>
      <c r="DI16" s="42" t="s">
        <v>76</v>
      </c>
      <c r="DJ16" s="42" t="s">
        <v>76</v>
      </c>
      <c r="DK16" s="42" t="s">
        <v>76</v>
      </c>
      <c r="DL16" s="42" t="s">
        <v>76</v>
      </c>
      <c r="DM16" s="42" t="s">
        <v>76</v>
      </c>
      <c r="DN16" s="42" t="s">
        <v>76</v>
      </c>
      <c r="DO16" s="42" t="s">
        <v>76</v>
      </c>
      <c r="DP16" s="42" t="s">
        <v>76</v>
      </c>
      <c r="DQ16" s="42" t="s">
        <v>76</v>
      </c>
      <c r="DR16" s="42" t="s">
        <v>76</v>
      </c>
      <c r="DS16" s="42" t="s">
        <v>76</v>
      </c>
      <c r="DT16" s="42" t="s">
        <v>76</v>
      </c>
      <c r="DU16" s="42" t="s">
        <v>76</v>
      </c>
      <c r="DV16" s="42" t="s">
        <v>76</v>
      </c>
      <c r="DW16" s="42"/>
    </row>
    <row r="38" spans="49:49" x14ac:dyDescent="0.35">
      <c r="AW38" s="2"/>
    </row>
    <row r="55" spans="49:49" x14ac:dyDescent="0.35">
      <c r="AW55" s="1"/>
    </row>
    <row r="56" spans="49:49" x14ac:dyDescent="0.35">
      <c r="AW56" s="2"/>
    </row>
    <row r="58" spans="49:49" x14ac:dyDescent="0.35">
      <c r="AW58" s="1"/>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X16"/>
  <sheetViews>
    <sheetView topLeftCell="W1" zoomScale="80" zoomScaleNormal="80" workbookViewId="0">
      <selection activeCell="DS1" sqref="DS1:DS1048576"/>
    </sheetView>
  </sheetViews>
  <sheetFormatPr defaultRowHeight="14.5" x14ac:dyDescent="0.35"/>
  <cols>
    <col min="5" max="5" width="9.08984375" customWidth="1"/>
    <col min="43" max="43" width="13.36328125" customWidth="1"/>
    <col min="44" max="44" width="16.36328125" customWidth="1"/>
    <col min="81" max="81" width="20.08984375" customWidth="1"/>
    <col min="82" max="82" width="14.6328125" customWidth="1"/>
    <col min="83" max="83" width="17.08984375" customWidth="1"/>
    <col min="84" max="84" width="17.36328125" customWidth="1"/>
    <col min="85" max="85" width="12.90625" customWidth="1"/>
    <col min="86" max="86" width="16.90625" customWidth="1"/>
    <col min="87" max="87" width="24.08984375" customWidth="1"/>
    <col min="88" max="89" width="14.453125" bestFit="1" customWidth="1"/>
  </cols>
  <sheetData>
    <row r="1" spans="1:128" x14ac:dyDescent="0.35">
      <c r="A1" t="s">
        <v>513</v>
      </c>
    </row>
    <row r="2" spans="1:128" s="12" customFormat="1" ht="45.5" customHeight="1" x14ac:dyDescent="0.35"/>
    <row r="3" spans="1:128" s="60" customFormat="1" ht="58" x14ac:dyDescent="0.35">
      <c r="A3" s="1" t="str">
        <f>'Indiv. Surfactant Key'!A3</f>
        <v>TMN6</v>
      </c>
      <c r="B3" s="1" t="str">
        <f>'Indiv. Surfactant Key'!A4</f>
        <v>T15-S-7</v>
      </c>
      <c r="C3" s="1" t="str">
        <f>'Indiv. Surfactant Key'!A5</f>
        <v>TrX45</v>
      </c>
      <c r="D3" s="1" t="str">
        <f>'Indiv. Surfactant Key'!A6</f>
        <v>TrX114</v>
      </c>
      <c r="E3" s="1" t="str">
        <f>'Indiv. Surfactant Key'!A74</f>
        <v>LinSucSulf</v>
      </c>
      <c r="F3" s="1" t="str">
        <f>'Indiv. Surfactant Key'!A7</f>
        <v>T4</v>
      </c>
      <c r="G3" s="1" t="str">
        <f>'Indiv. Surfactant Key'!A75</f>
        <v>TrCG-425</v>
      </c>
      <c r="H3" s="1" t="str">
        <f>'Indiv. Surfactant Key'!A8</f>
        <v>AlfSodSalt</v>
      </c>
      <c r="I3" s="1" t="str">
        <f>'Indiv. Surfactant Key'!A76</f>
        <v>AlphaFoam</v>
      </c>
      <c r="J3" s="1" t="str">
        <f>'Indiv. Surfactant Key'!A77</f>
        <v>D5575</v>
      </c>
      <c r="K3" s="1" t="str">
        <f>'Indiv. Surfactant Key'!A78</f>
        <v>D5244</v>
      </c>
      <c r="L3" s="1" t="str">
        <f>'Indiv. Surfactant Key'!A79</f>
        <v>D193</v>
      </c>
      <c r="M3" s="1" t="str">
        <f>'Indiv. Surfactant Key'!A80</f>
        <v>D501W</v>
      </c>
      <c r="N3" s="1" t="str">
        <f>'Indiv. Surfactant Key'!A81</f>
        <v>D198</v>
      </c>
      <c r="O3" s="1" t="str">
        <f>'Indiv. Surfactant Key'!A82</f>
        <v>D5604</v>
      </c>
      <c r="P3" s="1" t="str">
        <f>'Indiv. Surfactant Key'!A10</f>
        <v>D502W</v>
      </c>
      <c r="Q3" s="1" t="str">
        <f>'Indiv. Surfactant Key'!A83</f>
        <v>D5098</v>
      </c>
      <c r="R3" s="1" t="str">
        <f>'Indiv. Surfactant Key'!A11</f>
        <v>SDS</v>
      </c>
      <c r="S3" s="1" t="str">
        <f>'Indiv. Surfactant Key'!A12</f>
        <v>TrX100</v>
      </c>
      <c r="T3" s="1" t="str">
        <f>'Indiv. Surfactant Key'!A84</f>
        <v>Silphos</v>
      </c>
      <c r="U3" s="1" t="str">
        <f>'Indiv. Surfactant Key'!A85</f>
        <v>Silsurf</v>
      </c>
      <c r="V3" s="1" t="str">
        <f>'Indiv. Surfactant Key'!A13</f>
        <v>CTAB</v>
      </c>
      <c r="W3" s="12" t="str">
        <f>'Formulation Names Mix CMC Data'!A38</f>
        <v>Cap_DGBE</v>
      </c>
      <c r="X3" s="1" t="str">
        <f>'Indiv. Surfactant Key'!A14</f>
        <v>Cap</v>
      </c>
      <c r="Y3" s="1" t="str">
        <f>'Indiv. Surfactant Key'!A15</f>
        <v>L77</v>
      </c>
      <c r="Z3" s="1" t="str">
        <f>'Indiv. Surfactant Key'!A16</f>
        <v>PFOA</v>
      </c>
      <c r="AA3" s="1" t="str">
        <f>'Indiv. Surfactant Key'!A86</f>
        <v>D67</v>
      </c>
      <c r="AB3" s="1" t="str">
        <f>'Formulation Names Mix CMC Data'!A39</f>
        <v>G225_DGBE</v>
      </c>
      <c r="AC3" s="1" t="str">
        <f>'Formulation Names Mix CMC Data'!A40</f>
        <v>G600_DGBE</v>
      </c>
      <c r="AD3" s="1" t="str">
        <f>'Formulation Names Mix CMC Data'!A41</f>
        <v>G215_DGBE</v>
      </c>
      <c r="AE3" s="1" t="str">
        <f>'Formulation Names Mix CMC Data'!A42</f>
        <v>Gel6185_DGBE</v>
      </c>
      <c r="AF3" s="12" t="str">
        <f>'Indiv. Surfactant Key'!A17</f>
        <v>NRL_N10358-107</v>
      </c>
      <c r="AG3" s="12" t="str">
        <f>'Indiv. Surfactant Key'!A18</f>
        <v>NRL_N10358-106</v>
      </c>
      <c r="AH3" s="12" t="str">
        <f>'Indiv. Surfactant Key'!A19</f>
        <v>NRL_N10358-135</v>
      </c>
      <c r="AI3" s="12" t="str">
        <f>'Indiv. Surfactant Key'!A20</f>
        <v>NRL_N10477-12</v>
      </c>
      <c r="AJ3" s="12" t="str">
        <f>'Indiv. Surfactant Key'!A21</f>
        <v>NRL_N10358-176</v>
      </c>
      <c r="AK3" s="12" t="str">
        <f>'Indiv. Surfactant Key'!A22</f>
        <v>NRL_N10358-174</v>
      </c>
      <c r="AL3" s="12" t="str">
        <f>'Indiv. Surfactant Key'!A23</f>
        <v>NRL_N10358-169</v>
      </c>
      <c r="AM3" s="12" t="str">
        <f>'Indiv. Surfactant Key'!A24</f>
        <v>NRL_N10477-01</v>
      </c>
      <c r="AN3" s="12" t="str">
        <f>'Indiv. Surfactant Key'!A25</f>
        <v>NRL_N10358-161</v>
      </c>
      <c r="AO3" s="12" t="str">
        <f>'Indiv. Surfactant Key'!A26</f>
        <v>NRL_N10477-09</v>
      </c>
      <c r="AP3" s="12" t="str">
        <f>'Indiv. Surfactant Key'!A27</f>
        <v>NRL_N10477-07</v>
      </c>
      <c r="AQ3" s="12" t="str">
        <f>'Indiv. Surfactant Key'!A28</f>
        <v>NRL_N10477-03</v>
      </c>
      <c r="AR3" s="12" t="str">
        <f>'Indiv. Surfactant Key'!A29</f>
        <v>NRL_N10477-05</v>
      </c>
      <c r="AS3" s="12" t="str">
        <f>'Indiv. Surfactant Key'!A30</f>
        <v>Gel6185</v>
      </c>
      <c r="AT3" s="12" t="str">
        <f>'Indiv. Surfactant Key'!A31</f>
        <v>G215</v>
      </c>
      <c r="AU3" s="12" t="str">
        <f>'Indiv. Surfactant Key'!A32</f>
        <v>G225</v>
      </c>
      <c r="AV3" s="1" t="str">
        <f>'Formulation Names Mix CMC Data'!A4</f>
        <v>TMN6_G215_3_2</v>
      </c>
      <c r="AW3" s="1" t="str">
        <f>'Formulation Names Mix CMC Data'!A5</f>
        <v>T15-S-7_G215_3_2</v>
      </c>
      <c r="AX3" s="1" t="str">
        <f>'Formulation Names Mix CMC Data'!A6</f>
        <v>TrX45_G215_3_2</v>
      </c>
      <c r="AY3" s="1" t="str">
        <f>'Formulation Names Mix CMC Data'!A7</f>
        <v>TrX114_G215_3_2</v>
      </c>
      <c r="AZ3" s="1" t="str">
        <f>'Formulation Names Mix CMC Data'!A8</f>
        <v>LinSucSulf_G215_3_2</v>
      </c>
      <c r="BA3" s="1" t="str">
        <f>'Formulation Names Mix CMC Data'!A9</f>
        <v>T4_G215_3_2</v>
      </c>
      <c r="BB3" s="1" t="str">
        <f>'Formulation Names Mix CMC Data'!A10</f>
        <v>TrCG-425_G215_3_2</v>
      </c>
      <c r="BC3" s="1" t="str">
        <f>'Formulation Names Mix CMC Data'!A11</f>
        <v>AlfSodSalt_G215_3_2</v>
      </c>
      <c r="BD3" s="1" t="str">
        <f>'Formulation Names Mix CMC Data'!A12</f>
        <v>AlphaFoam_G215_3_2</v>
      </c>
      <c r="BE3" s="1" t="str">
        <f>'Formulation Names Mix CMC Data'!A13</f>
        <v>Mys_G215_3_2</v>
      </c>
      <c r="BF3" s="1" t="str">
        <f>'Formulation Names Mix CMC Data'!A14</f>
        <v>D5575_G215_3_2</v>
      </c>
      <c r="BG3" s="1" t="str">
        <f>'Formulation Names Mix CMC Data'!A15</f>
        <v>D5244_G215_3_2</v>
      </c>
      <c r="BH3" s="1" t="str">
        <f>'Formulation Names Mix CMC Data'!A16</f>
        <v>D193_G215_3_2</v>
      </c>
      <c r="BI3" s="1" t="str">
        <f>'Formulation Names Mix CMC Data'!A17</f>
        <v>D501W_G215_3_2</v>
      </c>
      <c r="BJ3" s="1" t="str">
        <f>'Formulation Names Mix CMC Data'!A18</f>
        <v>D198_G215_3_2</v>
      </c>
      <c r="BK3" s="1" t="str">
        <f>'Formulation Names Mix CMC Data'!A19</f>
        <v>D5604_G215_3_2</v>
      </c>
      <c r="BL3" s="1" t="str">
        <f>'Formulation Names Mix CMC Data'!A20</f>
        <v>D502W_G215_3_2</v>
      </c>
      <c r="BM3" s="1" t="str">
        <f>'Formulation Names Mix CMC Data'!A21</f>
        <v>D5098_G215_3_2</v>
      </c>
      <c r="BN3" s="1" t="str">
        <f>'Formulation Names Mix CMC Data'!A22</f>
        <v>SDS_G215_3_2</v>
      </c>
      <c r="BO3" s="1" t="str">
        <f>'Formulation Names Mix CMC Data'!A23</f>
        <v>TrX100_G215_3_2</v>
      </c>
      <c r="BP3" s="1" t="str">
        <f>'Formulation Names Mix CMC Data'!A24</f>
        <v>Silphos_G215_3_2</v>
      </c>
      <c r="BQ3" s="1" t="str">
        <f>'Formulation Names Mix CMC Data'!A25</f>
        <v>L77_G215_3_2</v>
      </c>
      <c r="BR3" s="1" t="str">
        <f>'Formulation Names Mix CMC Data'!A26</f>
        <v>D502W_TrX100_3_2</v>
      </c>
      <c r="BS3" s="1" t="str">
        <f>'Formulation Names Mix CMC Data'!A27</f>
        <v>D67_G215_3_2</v>
      </c>
      <c r="BT3" s="1" t="str">
        <f>'Formulation Names Mix CMC Data'!A28</f>
        <v>D502W_G215_2_3</v>
      </c>
      <c r="BU3" s="1" t="str">
        <f>'Formulation Names Mix CMC Data'!A29</f>
        <v>D502W_G225_2_3</v>
      </c>
      <c r="BV3" s="1" t="str">
        <f>'Formulation Names Mix CMC Data'!A30</f>
        <v>D502W_G600_2_3</v>
      </c>
      <c r="BW3" s="1" t="str">
        <f>'Formulation Names Mix CMC Data'!A31</f>
        <v>Gel6492.6_G215_3_2</v>
      </c>
      <c r="BX3" s="1" t="str">
        <f>'Formulation Names Mix CMC Data'!A32</f>
        <v>T15-S-9_G215_3_2</v>
      </c>
      <c r="BY3" s="1" t="str">
        <f>'Formulation Names Mix CMC Data'!A33</f>
        <v>T15-S-12_G215_3_2</v>
      </c>
      <c r="BZ3" s="1" t="str">
        <f>'Formulation Names Mix CMC Data'!A34</f>
        <v>L77_G225_2_3</v>
      </c>
      <c r="CA3" s="1" t="str">
        <f>'Formulation Names Mix CMC Data'!A35</f>
        <v>D67_G225_2_3</v>
      </c>
      <c r="CB3" s="1" t="str">
        <f>'Formulation Names Mix CMC Data'!A36</f>
        <v>D502W_C6G2_1_1</v>
      </c>
      <c r="CC3" s="1" t="str">
        <f>'Formulation Names Mix CMC Data'!A37</f>
        <v>Gel6185_G215_3_2</v>
      </c>
      <c r="CD3" s="1" t="str">
        <f>'Indiv. Surfactant Key'!A53</f>
        <v>CL_MD2086-97</v>
      </c>
      <c r="CE3" s="1" t="str">
        <f>'Indiv. Surfactant Key'!A54</f>
        <v>CL_MD2012-16</v>
      </c>
      <c r="CF3" s="1" t="str">
        <f>'Indiv. Surfactant Key'!A55</f>
        <v>NRL_CB-1-123</v>
      </c>
      <c r="CG3" s="1" t="str">
        <f>'Formulation Names Mix CMC Data'!A43</f>
        <v>CL_MD2086-97_G225_2_3</v>
      </c>
      <c r="CH3" s="1" t="str">
        <f>'Formulation Names Mix CMC Data'!A44</f>
        <v>CL_MD2012-16_G225_2_3</v>
      </c>
      <c r="CI3" s="1" t="str">
        <f>'Formulation Names Mix CMC Data'!A45</f>
        <v>NRL_CB-1-123_G225_2_3</v>
      </c>
      <c r="CJ3" s="1" t="str">
        <f>'Indiv. Surfactant Key'!A59</f>
        <v>CL_MD2102-54</v>
      </c>
      <c r="CK3" s="1" t="str">
        <f>'Formulation Names Mix CMC Data'!A46</f>
        <v>CL_MD2102-54_G225_2_3</v>
      </c>
      <c r="CL3" s="1" t="str">
        <f>'Indiv. Surfactant Key'!A64</f>
        <v>NRL_LBII43</v>
      </c>
      <c r="CM3" s="1" t="str">
        <f>'Formulation Names Mix CMC Data'!A47</f>
        <v>NRL_LBII43_G225_2_3</v>
      </c>
      <c r="CN3" s="1" t="str">
        <f>'Formulation Names Mix CMC Data'!A48</f>
        <v>NRL_CB_DTBTS_SB_G225_2_3</v>
      </c>
      <c r="CO3" s="1" t="str">
        <f>'Formulation Names Mix CMC Data'!A49</f>
        <v>NRL_N10478-233_G225_2_3</v>
      </c>
      <c r="CP3" s="1" t="str">
        <f>'Formulation Names Mix CMC Data'!A50</f>
        <v>Cap_TrX100_3_2</v>
      </c>
      <c r="CQ3" s="1" t="str">
        <f>'Formulation Names Mix CMC Data'!A51</f>
        <v>Cap_G225_3_2</v>
      </c>
      <c r="CR3" s="1" t="str">
        <f>'Formulation Names Mix CMC Data'!A52</f>
        <v>CL_MD2062-57_G225_2_3</v>
      </c>
      <c r="CS3" s="1" t="str">
        <f>'Formulation Names Mix CMC Data'!A53</f>
        <v>NRL_N10477-05_G225_2_3</v>
      </c>
      <c r="CT3" s="1" t="str">
        <f>'Formulation Names Mix CMC Data'!A54</f>
        <v>D502W_C7G1_1_1</v>
      </c>
      <c r="CU3" s="1" t="str">
        <f>'Formulation Names Mix CMC Data'!A55</f>
        <v>D502W_C7G1_1_1</v>
      </c>
      <c r="CV3" s="1" t="str">
        <f>'Formulation Names Mix CMC Data'!A56</f>
        <v>D502W_C8G1_1_1</v>
      </c>
      <c r="CW3" s="1" t="str">
        <f>'Formulation Names Mix CMC Data'!A57</f>
        <v>D502W_C9G2_1_1</v>
      </c>
      <c r="CX3" s="1" t="str">
        <f>'Formulation Names Mix CMC Data'!A58</f>
        <v>D502W_C10G2_1_1</v>
      </c>
      <c r="CY3" s="1" t="str">
        <f>'Formulation Names Mix CMC Data'!A59</f>
        <v>D502W_C12G2_1_1</v>
      </c>
      <c r="CZ3" s="1" t="str">
        <f>'Formulation Names Mix CMC Data'!A60</f>
        <v>D502W_C8G2_1_1</v>
      </c>
      <c r="DA3" s="1" t="str">
        <f>'Formulation Names Mix CMC Data'!A61</f>
        <v>D502W_iC8G2_1_1</v>
      </c>
      <c r="DB3" s="1" t="str">
        <f>'Formulation Names Mix CMC Data'!A62</f>
        <v>D502W_Cymal_1_1</v>
      </c>
      <c r="DC3" s="1" t="str">
        <f>'Formulation Names Mix CMC Data'!A63</f>
        <v>D502W_C8SG2_1_1</v>
      </c>
      <c r="DD3" s="1" t="str">
        <f>'Indiv. Surfactant Key'!A69</f>
        <v>CL_MD2102-90</v>
      </c>
      <c r="DE3" s="1" t="str">
        <f>'Formulation Names Mix CMC Data'!A64</f>
        <v>CL_MD2102-90_G225_2_3</v>
      </c>
      <c r="DF3" s="1" t="str">
        <f>'Indiv. Surfactant Key'!A71</f>
        <v>CL_MD2102-118</v>
      </c>
      <c r="DG3" s="1" t="str">
        <f>'Formulation Names Mix CMC Data'!A65</f>
        <v>CL_MD2102-118_G225_2_3</v>
      </c>
      <c r="DH3" s="1" t="str">
        <f>'Formulation Names Mix CMC Data'!A66</f>
        <v>Cap_TrGR-5M_3_2</v>
      </c>
      <c r="DI3" s="1" t="str">
        <f>'Formulation Names Mix CMC Data'!A67</f>
        <v>NRL_N10478-198_G225_1_5</v>
      </c>
      <c r="DJ3" s="1" t="str">
        <f>'Formulation Names Mix CMC Data'!A68</f>
        <v>NRL_N10358-174_G225_2_3</v>
      </c>
      <c r="DK3" s="1" t="str">
        <f>'Formulation Names Mix CMC Data'!A69</f>
        <v>NRL_N10358-176_G225_2_3</v>
      </c>
      <c r="DL3" s="1" t="str">
        <f>'Formulation Names Mix CMC Data'!A70</f>
        <v>NRL_N10477-01_G225_2_3</v>
      </c>
      <c r="DM3" s="1" t="str">
        <f>'Formulation Names Mix CMC Data'!A71</f>
        <v>NRL_N10477-03_G225_2_3</v>
      </c>
      <c r="DN3" s="1" t="str">
        <f>'Formulation Names Mix CMC Data'!A72</f>
        <v>NRL_N10477-09_G225_2_3</v>
      </c>
      <c r="DO3" s="1" t="str">
        <f>'Formulation Names Mix CMC Data'!A73</f>
        <v>NRL_N10477-07_G225_2_3</v>
      </c>
      <c r="DP3" s="1" t="str">
        <f>'Formulation Names Mix CMC Data'!A74</f>
        <v>NRL_N10477-12_G225_2_3</v>
      </c>
      <c r="DQ3" s="1" t="str">
        <f>'Indiv. Surfactant Key'!A70</f>
        <v>CL_MD2102-112</v>
      </c>
      <c r="DR3" s="1" t="str">
        <f>'Formulation Names Mix CMC Data'!A76</f>
        <v>CL_MD2102-112_G225_2_3</v>
      </c>
      <c r="DS3" s="1" t="str">
        <f>'Formulation Names Mix CMC Data'!A77</f>
        <v>CL_MD2062-124_G225_1_4.6</v>
      </c>
      <c r="DT3" s="1" t="str">
        <f>'Formulation Names Mix CMC Data'!A78</f>
        <v>NRL_N10477-189_G225_1_6</v>
      </c>
      <c r="DU3" s="1" t="str">
        <f>'Indiv. Surfactant Key'!A72</f>
        <v>NRL_CB-1-192</v>
      </c>
      <c r="DV3" s="1" t="str">
        <f>'Formulation Names Mix CMC Data'!A80</f>
        <v>NRL_CB-1-192_G225_2_3</v>
      </c>
      <c r="DW3" s="1"/>
      <c r="DX3" s="1"/>
    </row>
    <row r="4" spans="1:128" x14ac:dyDescent="0.35">
      <c r="A4">
        <v>26.228000000000002</v>
      </c>
      <c r="B4">
        <v>28.151</v>
      </c>
      <c r="C4">
        <v>27.568000000000001</v>
      </c>
      <c r="D4">
        <v>28.780999999999999</v>
      </c>
      <c r="E4">
        <v>30.388000000000002</v>
      </c>
      <c r="F4">
        <v>29.343</v>
      </c>
      <c r="G4">
        <v>28.843</v>
      </c>
      <c r="H4">
        <v>27.588999999999999</v>
      </c>
      <c r="I4">
        <v>33.097000000000001</v>
      </c>
      <c r="J4">
        <v>31.446000000000002</v>
      </c>
      <c r="K4">
        <v>35.844000000000001</v>
      </c>
      <c r="L4">
        <v>28.173999999999999</v>
      </c>
      <c r="M4">
        <v>19.576000000000001</v>
      </c>
      <c r="N4">
        <v>34.366</v>
      </c>
      <c r="O4">
        <v>31.315999999999999</v>
      </c>
      <c r="P4">
        <v>21.335999999999999</v>
      </c>
      <c r="Q4">
        <v>27.614000000000001</v>
      </c>
      <c r="R4">
        <v>34.86</v>
      </c>
      <c r="S4">
        <v>30.809000000000001</v>
      </c>
      <c r="T4">
        <v>26.390999999999998</v>
      </c>
      <c r="U4">
        <v>31.452999999999999</v>
      </c>
      <c r="V4">
        <v>35.17</v>
      </c>
      <c r="W4">
        <v>15.53</v>
      </c>
      <c r="X4">
        <v>16.149000000000001</v>
      </c>
      <c r="Y4">
        <v>19.43</v>
      </c>
      <c r="Z4">
        <v>16.382000000000001</v>
      </c>
      <c r="AA4">
        <v>19.21</v>
      </c>
      <c r="AB4">
        <v>28.091000000000001</v>
      </c>
      <c r="AC4">
        <v>27.236000000000001</v>
      </c>
      <c r="AD4">
        <v>27.943000000000001</v>
      </c>
      <c r="AE4">
        <v>19.172000000000001</v>
      </c>
      <c r="AF4">
        <v>36.447000000000003</v>
      </c>
      <c r="AG4">
        <v>29.286000000000001</v>
      </c>
      <c r="AH4">
        <v>19.414999999999999</v>
      </c>
      <c r="AI4">
        <v>19.547000000000001</v>
      </c>
      <c r="AJ4">
        <v>20.239000000000001</v>
      </c>
      <c r="AK4">
        <v>24.001999999999999</v>
      </c>
      <c r="AL4">
        <v>31.312000000000001</v>
      </c>
      <c r="AM4">
        <v>20.382000000000001</v>
      </c>
      <c r="AN4">
        <v>23.699000000000002</v>
      </c>
      <c r="AO4">
        <v>25.327999999999999</v>
      </c>
      <c r="AP4">
        <v>18.992000000000001</v>
      </c>
      <c r="AQ4">
        <v>19.933</v>
      </c>
      <c r="AR4">
        <v>22.356000000000002</v>
      </c>
      <c r="AS4">
        <v>19.463000000000001</v>
      </c>
      <c r="AT4">
        <v>28.14</v>
      </c>
      <c r="AU4">
        <v>28.791</v>
      </c>
      <c r="AV4">
        <v>25.835999999999999</v>
      </c>
      <c r="AW4">
        <v>27.837</v>
      </c>
      <c r="AX4">
        <v>27.161000000000001</v>
      </c>
      <c r="AY4">
        <v>28.573</v>
      </c>
      <c r="AZ4">
        <v>31.21</v>
      </c>
      <c r="BA4">
        <v>27.9</v>
      </c>
      <c r="BB4">
        <v>28.577000000000002</v>
      </c>
      <c r="BC4">
        <v>27.873000000000001</v>
      </c>
      <c r="BD4">
        <v>31.356999999999999</v>
      </c>
      <c r="BE4">
        <v>30.451000000000001</v>
      </c>
      <c r="BF4">
        <v>30.158999999999999</v>
      </c>
      <c r="BG4">
        <v>30.457000000000001</v>
      </c>
      <c r="BH4">
        <v>28.832999999999998</v>
      </c>
      <c r="BI4">
        <v>20.951000000000001</v>
      </c>
      <c r="BJ4">
        <v>30.966999999999999</v>
      </c>
      <c r="BK4">
        <v>30.71</v>
      </c>
      <c r="BL4">
        <v>22.509</v>
      </c>
      <c r="BM4">
        <v>27.817</v>
      </c>
      <c r="BN4">
        <v>33.75</v>
      </c>
      <c r="BO4">
        <v>30.565999999999999</v>
      </c>
      <c r="BP4">
        <v>26.71</v>
      </c>
      <c r="BQ4">
        <v>19.422000000000001</v>
      </c>
      <c r="BR4">
        <v>22.597000000000001</v>
      </c>
      <c r="BS4">
        <v>19.856999999999999</v>
      </c>
      <c r="BT4">
        <v>22.027000000000001</v>
      </c>
      <c r="BU4">
        <v>22.466999999999999</v>
      </c>
      <c r="BV4">
        <v>23.1236</v>
      </c>
      <c r="BW4">
        <v>20.475999999999999</v>
      </c>
      <c r="BX4">
        <v>29.795999999999999</v>
      </c>
      <c r="BY4">
        <v>31.338999999999999</v>
      </c>
      <c r="BZ4">
        <v>20.577000000000002</v>
      </c>
      <c r="CA4">
        <v>21.181999999999999</v>
      </c>
      <c r="CB4">
        <v>21.922000000000001</v>
      </c>
      <c r="CC4">
        <v>19.994</v>
      </c>
      <c r="CD4">
        <v>19.436</v>
      </c>
      <c r="CE4">
        <v>25.786000000000001</v>
      </c>
      <c r="CF4">
        <v>20.762</v>
      </c>
      <c r="CG4">
        <v>20.134</v>
      </c>
      <c r="CH4">
        <v>23.359000000000002</v>
      </c>
      <c r="CI4">
        <v>23.007000000000001</v>
      </c>
      <c r="CJ4">
        <v>19.356999999999999</v>
      </c>
      <c r="CK4">
        <v>20.925999999999998</v>
      </c>
      <c r="CL4" s="42">
        <v>20.664000000000001</v>
      </c>
      <c r="CM4" s="42">
        <v>21.385000000000002</v>
      </c>
      <c r="CN4" s="42">
        <v>23.826000000000001</v>
      </c>
      <c r="CO4" s="42">
        <v>20.494</v>
      </c>
      <c r="CP4" s="42">
        <v>15.848000000000001</v>
      </c>
      <c r="CQ4" s="42">
        <v>14.869</v>
      </c>
      <c r="CR4" s="42">
        <v>19.204999999999998</v>
      </c>
      <c r="CS4" s="42">
        <f>24.797</f>
        <v>24.797000000000001</v>
      </c>
      <c r="CT4" s="42">
        <v>22.715</v>
      </c>
      <c r="CU4" s="42">
        <v>21.527000000000001</v>
      </c>
      <c r="CV4" s="42">
        <v>23.271999999999998</v>
      </c>
      <c r="CW4" s="42">
        <v>24.114000000000001</v>
      </c>
      <c r="CX4" s="42">
        <v>23.777999999999999</v>
      </c>
      <c r="CY4" s="42">
        <f>23.837</f>
        <v>23.837</v>
      </c>
      <c r="CZ4" s="42">
        <v>23.161000000000001</v>
      </c>
      <c r="DA4" s="42">
        <v>22.8</v>
      </c>
      <c r="DB4" s="42">
        <v>22.167000000000002</v>
      </c>
      <c r="DC4" s="42">
        <v>23.605</v>
      </c>
      <c r="DD4" s="42">
        <v>28.489000000000001</v>
      </c>
      <c r="DE4" s="63">
        <v>27.213000000000001</v>
      </c>
      <c r="DF4" s="42">
        <v>19.579000000000001</v>
      </c>
      <c r="DG4" s="42">
        <v>20.280999999999999</v>
      </c>
      <c r="DH4" s="42">
        <v>17.725999999999999</v>
      </c>
      <c r="DI4">
        <v>21.135000000000002</v>
      </c>
      <c r="DJ4" s="42">
        <v>24.77</v>
      </c>
      <c r="DK4" s="42">
        <f>22.295</f>
        <v>22.295000000000002</v>
      </c>
      <c r="DL4" s="42">
        <v>23.146999999999998</v>
      </c>
      <c r="DM4" s="42">
        <v>21.558</v>
      </c>
      <c r="DN4" s="42">
        <f>25.848</f>
        <v>25.847999999999999</v>
      </c>
      <c r="DO4" s="42">
        <v>20.994</v>
      </c>
      <c r="DP4" s="42">
        <v>19.448</v>
      </c>
      <c r="DQ4" s="42">
        <v>19.183</v>
      </c>
      <c r="DR4" s="42">
        <v>20.315000000000001</v>
      </c>
      <c r="DS4" s="42">
        <v>21.469000000000001</v>
      </c>
      <c r="DT4" s="42">
        <v>24.998999999999999</v>
      </c>
      <c r="DU4" s="42">
        <v>33.171999999999997</v>
      </c>
      <c r="DV4" s="42">
        <v>27.004999999999999</v>
      </c>
      <c r="DW4" s="42"/>
    </row>
    <row r="5" spans="1:128" x14ac:dyDescent="0.35">
      <c r="A5">
        <v>26.024000000000001</v>
      </c>
      <c r="B5">
        <v>27.748000000000001</v>
      </c>
      <c r="C5">
        <v>27.018999999999998</v>
      </c>
      <c r="D5">
        <v>28.5</v>
      </c>
      <c r="E5">
        <v>31.462</v>
      </c>
      <c r="F5">
        <v>29.931999999999999</v>
      </c>
      <c r="G5">
        <v>28.3</v>
      </c>
      <c r="H5">
        <v>31.26</v>
      </c>
      <c r="I5">
        <v>29.277999999999999</v>
      </c>
      <c r="J5">
        <v>30.762</v>
      </c>
      <c r="K5">
        <v>37.012999999999998</v>
      </c>
      <c r="L5">
        <v>28.23</v>
      </c>
      <c r="M5">
        <v>19.568000000000001</v>
      </c>
      <c r="N5">
        <v>34.53</v>
      </c>
      <c r="O5">
        <v>31.559000000000001</v>
      </c>
      <c r="P5">
        <v>20.658000000000001</v>
      </c>
      <c r="Q5">
        <v>27.763000000000002</v>
      </c>
      <c r="R5">
        <v>35.643999999999998</v>
      </c>
      <c r="S5">
        <v>31.062000000000001</v>
      </c>
      <c r="T5">
        <v>26.788</v>
      </c>
      <c r="U5">
        <v>32.305</v>
      </c>
      <c r="V5">
        <v>36.265000000000001</v>
      </c>
      <c r="W5">
        <v>15.711</v>
      </c>
      <c r="X5">
        <v>15.079000000000001</v>
      </c>
      <c r="Y5">
        <v>19.905000000000001</v>
      </c>
      <c r="Z5">
        <v>17.242000000000001</v>
      </c>
      <c r="AA5">
        <v>19.577000000000002</v>
      </c>
      <c r="AB5">
        <v>28.297999999999998</v>
      </c>
      <c r="AC5">
        <v>27.405000000000001</v>
      </c>
      <c r="AD5">
        <v>27.646000000000001</v>
      </c>
      <c r="AE5">
        <v>19.177</v>
      </c>
      <c r="AF5">
        <v>35.494999999999997</v>
      </c>
      <c r="AG5">
        <v>28.341000000000001</v>
      </c>
      <c r="AH5">
        <v>19.266999999999999</v>
      </c>
      <c r="AI5">
        <v>19.462</v>
      </c>
      <c r="AJ5">
        <v>20.09</v>
      </c>
      <c r="AK5">
        <v>24.027000000000001</v>
      </c>
      <c r="AL5">
        <v>31.012400000000003</v>
      </c>
      <c r="AM5">
        <v>20.350000000000001</v>
      </c>
      <c r="AN5">
        <v>23.539000000000001</v>
      </c>
      <c r="AO5">
        <v>25.454000000000001</v>
      </c>
      <c r="AP5">
        <v>19.93</v>
      </c>
      <c r="AQ5">
        <v>19.992000000000001</v>
      </c>
      <c r="AR5">
        <v>22.4</v>
      </c>
      <c r="AS5">
        <v>19.413</v>
      </c>
      <c r="AT5">
        <v>28.027000000000001</v>
      </c>
      <c r="AU5">
        <v>28.488</v>
      </c>
      <c r="AV5">
        <v>24.853999999999999</v>
      </c>
      <c r="AW5">
        <v>28.146999999999998</v>
      </c>
      <c r="AX5">
        <v>27.428000000000001</v>
      </c>
      <c r="AY5">
        <v>28.876999999999999</v>
      </c>
      <c r="AZ5">
        <v>32.234000000000002</v>
      </c>
      <c r="BA5">
        <v>27.536999999999999</v>
      </c>
      <c r="BB5">
        <v>28.504000000000001</v>
      </c>
      <c r="BC5">
        <v>27.609000000000002</v>
      </c>
      <c r="BD5">
        <v>30.558</v>
      </c>
      <c r="BE5">
        <v>31.847999999999999</v>
      </c>
      <c r="BF5">
        <v>31.001000000000001</v>
      </c>
      <c r="BG5">
        <v>32.363999999999997</v>
      </c>
      <c r="BH5">
        <v>28.596</v>
      </c>
      <c r="BI5">
        <v>20.138999999999999</v>
      </c>
      <c r="BJ5">
        <v>32.295000000000002</v>
      </c>
      <c r="BK5">
        <v>30.98</v>
      </c>
      <c r="BL5">
        <v>21.658000000000001</v>
      </c>
      <c r="BM5">
        <v>27.364999999999998</v>
      </c>
      <c r="BN5">
        <v>34.630000000000003</v>
      </c>
      <c r="BO5">
        <v>30.11</v>
      </c>
      <c r="BP5">
        <v>26.405000000000001</v>
      </c>
      <c r="BQ5">
        <v>19.533000000000001</v>
      </c>
      <c r="BR5">
        <v>21.588999999999999</v>
      </c>
      <c r="BS5">
        <v>19.803999999999998</v>
      </c>
      <c r="BT5">
        <v>21.56</v>
      </c>
      <c r="BU5">
        <v>21.167000000000002</v>
      </c>
      <c r="BV5">
        <v>22.654</v>
      </c>
      <c r="BW5">
        <v>19.864000000000001</v>
      </c>
      <c r="BX5">
        <v>29.635000000000002</v>
      </c>
      <c r="BY5">
        <v>31.167000000000002</v>
      </c>
      <c r="BZ5">
        <v>20.388999999999999</v>
      </c>
      <c r="CA5">
        <v>20.442</v>
      </c>
      <c r="CB5">
        <v>21.065999999999999</v>
      </c>
      <c r="CC5">
        <v>19.478000000000002</v>
      </c>
      <c r="CD5">
        <v>19.47</v>
      </c>
      <c r="CE5">
        <v>25.888000000000002</v>
      </c>
      <c r="CF5">
        <v>20.733000000000001</v>
      </c>
      <c r="CG5">
        <v>20.268999999999998</v>
      </c>
      <c r="CH5">
        <v>23.7</v>
      </c>
      <c r="CI5">
        <v>23.617999999999999</v>
      </c>
      <c r="CJ5">
        <v>20.128</v>
      </c>
      <c r="CK5">
        <v>21.332999999999998</v>
      </c>
      <c r="CL5" s="42">
        <v>20.494</v>
      </c>
      <c r="CM5" s="42">
        <v>21.622</v>
      </c>
      <c r="CN5" s="42">
        <v>24.91</v>
      </c>
      <c r="CO5" s="42">
        <v>20.48</v>
      </c>
      <c r="CP5" s="42">
        <v>16.507000000000001</v>
      </c>
      <c r="CQ5" s="42">
        <v>15.763</v>
      </c>
      <c r="CR5" s="42">
        <v>19.59</v>
      </c>
      <c r="CS5" s="42">
        <v>23.806999999999999</v>
      </c>
      <c r="CT5" s="42">
        <v>21.29</v>
      </c>
      <c r="CU5" s="42">
        <v>21.376000000000001</v>
      </c>
      <c r="CV5" s="42">
        <v>22.602</v>
      </c>
      <c r="CW5" s="42">
        <v>23.445</v>
      </c>
      <c r="CX5" s="42">
        <v>23.994</v>
      </c>
      <c r="CY5" s="42">
        <v>23.908999999999999</v>
      </c>
      <c r="CZ5" s="42">
        <v>22.010999999999999</v>
      </c>
      <c r="DA5" s="42">
        <v>21.576000000000001</v>
      </c>
      <c r="DB5" s="42">
        <v>21.635999999999999</v>
      </c>
      <c r="DC5" s="42">
        <v>23.178999999999998</v>
      </c>
      <c r="DD5" s="42">
        <v>28.762</v>
      </c>
      <c r="DE5" s="63">
        <v>26.452000000000002</v>
      </c>
      <c r="DF5" s="42">
        <v>20.064</v>
      </c>
      <c r="DG5" s="42">
        <v>20.376999999999999</v>
      </c>
      <c r="DH5" s="42">
        <v>17.763999999999999</v>
      </c>
      <c r="DI5">
        <v>21.216999999999999</v>
      </c>
      <c r="DJ5" s="42">
        <v>23.913</v>
      </c>
      <c r="DK5" s="42">
        <v>21.064</v>
      </c>
      <c r="DL5" s="42">
        <v>22.547999999999998</v>
      </c>
      <c r="DM5" s="42">
        <v>20.782</v>
      </c>
      <c r="DN5" s="42">
        <v>25.431999999999999</v>
      </c>
      <c r="DO5" s="42">
        <v>20.373999999999999</v>
      </c>
      <c r="DP5" s="42">
        <v>19.010999999999999</v>
      </c>
      <c r="DQ5" s="42">
        <v>20.46</v>
      </c>
      <c r="DR5" s="42">
        <v>19.385999999999999</v>
      </c>
      <c r="DS5" s="42">
        <v>21.49</v>
      </c>
      <c r="DT5" s="42">
        <v>25.263999999999999</v>
      </c>
      <c r="DU5" s="42">
        <v>33.542000000000002</v>
      </c>
      <c r="DV5" s="42">
        <v>27.193999999999999</v>
      </c>
      <c r="DW5" s="42"/>
    </row>
    <row r="6" spans="1:128" x14ac:dyDescent="0.35">
      <c r="A6">
        <v>25.651</v>
      </c>
      <c r="B6">
        <v>27.646000000000001</v>
      </c>
      <c r="C6">
        <v>27.395</v>
      </c>
      <c r="D6">
        <v>28.655000000000001</v>
      </c>
      <c r="E6">
        <v>32.011000000000003</v>
      </c>
      <c r="F6">
        <v>34.962000000000003</v>
      </c>
      <c r="G6">
        <v>28.550999999999998</v>
      </c>
      <c r="H6">
        <v>35.036000000000001</v>
      </c>
      <c r="I6">
        <v>31.597000000000001</v>
      </c>
      <c r="J6">
        <v>31.468</v>
      </c>
      <c r="K6">
        <v>37.316000000000003</v>
      </c>
      <c r="L6">
        <v>28.917999999999999</v>
      </c>
      <c r="M6">
        <v>19.940999999999999</v>
      </c>
      <c r="N6">
        <v>35.899000000000001</v>
      </c>
      <c r="O6">
        <v>32.317</v>
      </c>
      <c r="P6">
        <v>21.151</v>
      </c>
      <c r="Q6">
        <v>27.844000000000001</v>
      </c>
      <c r="R6">
        <v>36.587000000000003</v>
      </c>
      <c r="S6">
        <v>30.800999999999998</v>
      </c>
      <c r="T6">
        <v>27.052</v>
      </c>
      <c r="U6">
        <v>32.948999999999998</v>
      </c>
      <c r="V6">
        <v>36.362000000000002</v>
      </c>
      <c r="W6">
        <v>15.084</v>
      </c>
      <c r="X6">
        <v>18.936</v>
      </c>
      <c r="Y6">
        <v>19.687999999999999</v>
      </c>
      <c r="Z6">
        <v>20.312000000000001</v>
      </c>
      <c r="AA6">
        <v>19.89</v>
      </c>
      <c r="AB6">
        <v>27.524000000000001</v>
      </c>
      <c r="AC6">
        <v>28.22</v>
      </c>
      <c r="AD6">
        <v>26.736000000000001</v>
      </c>
      <c r="AE6">
        <v>19.427</v>
      </c>
      <c r="AF6">
        <v>35.945999999999998</v>
      </c>
      <c r="AG6">
        <v>28.652999999999999</v>
      </c>
      <c r="AH6">
        <v>19.492000000000001</v>
      </c>
      <c r="AI6">
        <v>19.518000000000001</v>
      </c>
      <c r="AJ6">
        <v>20.289000000000001</v>
      </c>
      <c r="AK6">
        <v>23.23</v>
      </c>
      <c r="AL6">
        <v>35.417999999999999</v>
      </c>
      <c r="AM6">
        <v>21.510999999999999</v>
      </c>
      <c r="AN6">
        <v>24.256</v>
      </c>
      <c r="AO6">
        <v>25.081</v>
      </c>
      <c r="AP6">
        <v>20.241</v>
      </c>
      <c r="AQ6">
        <v>19.864999999999998</v>
      </c>
      <c r="AR6">
        <v>22.422000000000001</v>
      </c>
      <c r="AS6">
        <v>19.364999999999998</v>
      </c>
      <c r="AT6">
        <v>27.393999999999998</v>
      </c>
      <c r="AU6">
        <v>27.864999999999998</v>
      </c>
      <c r="AV6">
        <v>26.045999999999999</v>
      </c>
      <c r="AW6">
        <v>27.594000000000001</v>
      </c>
      <c r="AX6">
        <v>27.132000000000001</v>
      </c>
      <c r="AY6">
        <v>28.494</v>
      </c>
      <c r="AZ6">
        <v>32.695999999999998</v>
      </c>
      <c r="BA6">
        <v>27.375</v>
      </c>
      <c r="BB6">
        <v>28.516999999999999</v>
      </c>
      <c r="BC6">
        <v>27.068000000000001</v>
      </c>
      <c r="BD6">
        <v>28.241</v>
      </c>
      <c r="BE6">
        <v>32.301000000000002</v>
      </c>
      <c r="BF6">
        <v>31.913</v>
      </c>
      <c r="BG6">
        <v>34.244</v>
      </c>
      <c r="BH6">
        <v>28.684999999999999</v>
      </c>
      <c r="BI6">
        <v>20.257999999999999</v>
      </c>
      <c r="BJ6">
        <v>33.804000000000002</v>
      </c>
      <c r="BK6">
        <v>31.562999999999999</v>
      </c>
      <c r="BL6">
        <v>21.074000000000002</v>
      </c>
      <c r="BM6">
        <v>27.760999999999999</v>
      </c>
      <c r="BN6">
        <v>34.732999999999997</v>
      </c>
      <c r="BO6">
        <v>30.369</v>
      </c>
      <c r="BP6">
        <v>26.719000000000001</v>
      </c>
      <c r="BQ6">
        <v>19.561</v>
      </c>
      <c r="BR6">
        <v>22.71</v>
      </c>
      <c r="BS6">
        <v>20.16</v>
      </c>
      <c r="BT6">
        <v>23.814</v>
      </c>
      <c r="BU6">
        <v>22.361000000000001</v>
      </c>
      <c r="BV6">
        <v>23.44</v>
      </c>
      <c r="BW6">
        <v>20.428999999999998</v>
      </c>
      <c r="BX6">
        <v>29.573</v>
      </c>
      <c r="BY6">
        <v>31.69</v>
      </c>
      <c r="BZ6">
        <v>20.763000000000002</v>
      </c>
      <c r="CA6">
        <v>20.9</v>
      </c>
      <c r="CB6">
        <v>22.593</v>
      </c>
      <c r="CC6">
        <v>19.948</v>
      </c>
      <c r="CD6">
        <v>21.289000000000001</v>
      </c>
      <c r="CE6">
        <v>31.504000000000001</v>
      </c>
      <c r="CF6">
        <v>21.123999999999999</v>
      </c>
      <c r="CG6">
        <v>20.343</v>
      </c>
      <c r="CH6">
        <v>24.878</v>
      </c>
      <c r="CI6">
        <v>24.527999999999999</v>
      </c>
      <c r="CJ6">
        <v>20.247</v>
      </c>
      <c r="CK6">
        <v>21.753</v>
      </c>
      <c r="CL6" s="42">
        <v>20.803000000000001</v>
      </c>
      <c r="CM6" s="42">
        <v>21.678999999999998</v>
      </c>
      <c r="CN6" s="42">
        <v>28.902000000000001</v>
      </c>
      <c r="CO6" s="42">
        <v>20.834</v>
      </c>
      <c r="CP6" s="42">
        <v>21.847000000000001</v>
      </c>
      <c r="CQ6" s="42">
        <v>19.731000000000002</v>
      </c>
      <c r="CR6" s="42">
        <v>19.795000000000002</v>
      </c>
      <c r="CS6" s="42">
        <v>23.744</v>
      </c>
      <c r="CT6" s="42">
        <v>21.091000000000001</v>
      </c>
      <c r="CU6" s="42">
        <v>20.773</v>
      </c>
      <c r="CV6" s="42">
        <v>21.053999999999998</v>
      </c>
      <c r="CW6" s="42">
        <v>21.295999999999999</v>
      </c>
      <c r="CX6" s="42">
        <v>22.1</v>
      </c>
      <c r="CY6" s="42">
        <v>23.754999999999999</v>
      </c>
      <c r="CZ6" s="42">
        <v>21.053000000000001</v>
      </c>
      <c r="DA6" s="42">
        <v>20.63</v>
      </c>
      <c r="DB6" s="42">
        <v>20.81</v>
      </c>
      <c r="DC6" s="42">
        <v>21.34</v>
      </c>
      <c r="DD6" s="42">
        <v>30.748999999999999</v>
      </c>
      <c r="DE6" s="63">
        <v>26.035</v>
      </c>
      <c r="DF6" s="42">
        <v>20.140999999999998</v>
      </c>
      <c r="DG6" s="42">
        <v>20.952999999999999</v>
      </c>
      <c r="DH6" s="42">
        <v>17.292000000000002</v>
      </c>
      <c r="DI6">
        <v>21.131</v>
      </c>
      <c r="DJ6" s="42">
        <v>24.367000000000001</v>
      </c>
      <c r="DK6" s="42">
        <v>22.872</v>
      </c>
      <c r="DL6" s="42">
        <v>22.478000000000002</v>
      </c>
      <c r="DM6" s="42">
        <v>21.382999999999999</v>
      </c>
      <c r="DN6" s="42">
        <v>25.422000000000001</v>
      </c>
      <c r="DO6" s="42">
        <v>20.783000000000001</v>
      </c>
      <c r="DP6" s="42">
        <v>19.059000000000001</v>
      </c>
      <c r="DQ6" s="42">
        <v>21.35</v>
      </c>
      <c r="DR6" s="42">
        <v>20.954999999999998</v>
      </c>
      <c r="DS6" s="42">
        <v>22.879000000000001</v>
      </c>
      <c r="DT6" s="42">
        <v>25.484000000000002</v>
      </c>
      <c r="DU6" s="42">
        <v>34.494999999999997</v>
      </c>
      <c r="DV6" s="42">
        <v>29.893000000000001</v>
      </c>
      <c r="DW6" s="42"/>
    </row>
    <row r="7" spans="1:128" x14ac:dyDescent="0.35">
      <c r="A7">
        <v>25.454999999999998</v>
      </c>
      <c r="B7">
        <v>27.849</v>
      </c>
      <c r="C7">
        <v>27.39</v>
      </c>
      <c r="D7">
        <v>28.440999999999999</v>
      </c>
      <c r="E7">
        <v>33.78</v>
      </c>
      <c r="F7">
        <v>40.174999999999997</v>
      </c>
      <c r="G7">
        <v>28.524000000000001</v>
      </c>
      <c r="H7">
        <v>42.454000000000001</v>
      </c>
      <c r="I7">
        <v>41.061999999999998</v>
      </c>
      <c r="J7">
        <v>32.837000000000003</v>
      </c>
      <c r="K7">
        <v>38.451000000000001</v>
      </c>
      <c r="L7">
        <v>29.335000000000001</v>
      </c>
      <c r="M7">
        <v>19.79</v>
      </c>
      <c r="N7">
        <v>35.564999999999998</v>
      </c>
      <c r="O7">
        <v>32.343000000000004</v>
      </c>
      <c r="P7">
        <v>21.134</v>
      </c>
      <c r="Q7">
        <v>27.943000000000001</v>
      </c>
      <c r="R7">
        <v>36.19</v>
      </c>
      <c r="S7">
        <v>31.085000000000001</v>
      </c>
      <c r="T7">
        <v>27.715</v>
      </c>
      <c r="U7">
        <v>33.825000000000003</v>
      </c>
      <c r="V7">
        <v>36.799999999999997</v>
      </c>
      <c r="W7">
        <v>15.673</v>
      </c>
      <c r="X7">
        <v>25.414000000000001</v>
      </c>
      <c r="Y7">
        <v>19.79</v>
      </c>
      <c r="Z7">
        <v>30.565999999999999</v>
      </c>
      <c r="AA7">
        <v>20.350999999999999</v>
      </c>
      <c r="AB7">
        <v>28.103000000000002</v>
      </c>
      <c r="AC7">
        <v>30.213999999999999</v>
      </c>
      <c r="AD7">
        <v>27.123999999999999</v>
      </c>
      <c r="AE7">
        <v>19.599</v>
      </c>
      <c r="AF7">
        <v>35.539000000000001</v>
      </c>
      <c r="AG7">
        <v>27.459</v>
      </c>
      <c r="AH7">
        <v>19.341999999999999</v>
      </c>
      <c r="AI7">
        <v>19.859000000000002</v>
      </c>
      <c r="AJ7">
        <v>22.59</v>
      </c>
      <c r="AK7">
        <v>25.324999999999999</v>
      </c>
      <c r="AL7">
        <v>40.810400000000001</v>
      </c>
      <c r="AM7">
        <v>24.111000000000001</v>
      </c>
      <c r="AN7">
        <v>24.41</v>
      </c>
      <c r="AO7">
        <v>25.524999999999999</v>
      </c>
      <c r="AP7">
        <v>20.443999999999999</v>
      </c>
      <c r="AQ7">
        <v>20.704999999999998</v>
      </c>
      <c r="AR7">
        <v>26.899000000000001</v>
      </c>
      <c r="AS7">
        <v>19.222000000000001</v>
      </c>
      <c r="AT7">
        <v>27.114000000000001</v>
      </c>
      <c r="AU7">
        <v>27.562000000000001</v>
      </c>
      <c r="AV7">
        <v>25.91</v>
      </c>
      <c r="AW7">
        <v>28.003</v>
      </c>
      <c r="AX7">
        <v>27.38</v>
      </c>
      <c r="AY7">
        <v>28.146999999999998</v>
      </c>
      <c r="AZ7">
        <v>33.573999999999998</v>
      </c>
      <c r="BA7">
        <v>29.135999999999999</v>
      </c>
      <c r="BB7">
        <v>27.683</v>
      </c>
      <c r="BC7">
        <v>28.318999999999999</v>
      </c>
      <c r="BD7">
        <v>29.08</v>
      </c>
      <c r="BE7">
        <v>30.146999999999998</v>
      </c>
      <c r="BF7">
        <v>32.899000000000001</v>
      </c>
      <c r="BG7">
        <v>35.975000000000001</v>
      </c>
      <c r="BH7">
        <v>29.841999999999999</v>
      </c>
      <c r="BI7">
        <v>19.844000000000001</v>
      </c>
      <c r="BJ7">
        <v>34.261000000000003</v>
      </c>
      <c r="BK7">
        <v>32.743000000000002</v>
      </c>
      <c r="BL7">
        <v>20.812000000000001</v>
      </c>
      <c r="BM7">
        <v>28.228000000000002</v>
      </c>
      <c r="BN7">
        <v>32.994</v>
      </c>
      <c r="BO7">
        <v>29.992000000000001</v>
      </c>
      <c r="BP7">
        <v>27.215</v>
      </c>
      <c r="BQ7">
        <v>19.504000000000001</v>
      </c>
      <c r="BR7">
        <v>25.35</v>
      </c>
      <c r="BS7">
        <v>21.948</v>
      </c>
      <c r="BT7">
        <v>27.933</v>
      </c>
      <c r="BU7">
        <v>25.344999999999999</v>
      </c>
      <c r="BV7">
        <v>25.719000000000001</v>
      </c>
      <c r="BW7">
        <v>21.992000000000001</v>
      </c>
      <c r="BX7">
        <v>30.698</v>
      </c>
      <c r="BY7">
        <v>34.340000000000003</v>
      </c>
      <c r="BZ7">
        <v>23.527999999999999</v>
      </c>
      <c r="CA7">
        <v>23.15</v>
      </c>
      <c r="CB7">
        <v>26.004000000000001</v>
      </c>
      <c r="CC7">
        <v>20.399000000000001</v>
      </c>
      <c r="CD7">
        <v>23.530999999999999</v>
      </c>
      <c r="CE7">
        <v>34.616999999999997</v>
      </c>
      <c r="CF7">
        <v>22.315999999999999</v>
      </c>
      <c r="CG7">
        <v>26.51</v>
      </c>
      <c r="CH7">
        <v>27.838000000000001</v>
      </c>
      <c r="CI7">
        <v>26.268000000000001</v>
      </c>
      <c r="CJ7">
        <v>20.773</v>
      </c>
      <c r="CK7">
        <v>23.129000000000001</v>
      </c>
      <c r="CL7" s="42">
        <v>20.747</v>
      </c>
      <c r="CM7" s="42">
        <v>23.646000000000001</v>
      </c>
      <c r="CN7" s="42">
        <v>37.676000000000002</v>
      </c>
      <c r="CO7" s="42">
        <v>22.791</v>
      </c>
      <c r="CP7" s="42">
        <v>28.074999999999999</v>
      </c>
      <c r="CQ7" s="42">
        <v>28.343</v>
      </c>
      <c r="CR7" s="42">
        <v>19.459</v>
      </c>
      <c r="CS7" s="42">
        <v>23.35</v>
      </c>
      <c r="CT7" s="42">
        <v>23.678999999999998</v>
      </c>
      <c r="CU7" s="42">
        <v>22.498000000000001</v>
      </c>
      <c r="CV7" s="42">
        <v>22.689</v>
      </c>
      <c r="CW7" s="42">
        <v>22.713000000000001</v>
      </c>
      <c r="CX7" s="42">
        <v>22.687000000000001</v>
      </c>
      <c r="CY7" s="42">
        <v>24.045000000000002</v>
      </c>
      <c r="CZ7" s="42">
        <v>20.998000000000001</v>
      </c>
      <c r="DA7" s="42">
        <v>22.135000000000002</v>
      </c>
      <c r="DB7" s="42">
        <v>22.138999999999999</v>
      </c>
      <c r="DC7" s="42">
        <v>23.684000000000001</v>
      </c>
      <c r="DD7" s="42">
        <v>33.713999999999999</v>
      </c>
      <c r="DE7" s="63">
        <v>29.783999999999999</v>
      </c>
      <c r="DF7" s="42">
        <v>20.437999999999999</v>
      </c>
      <c r="DG7" s="42">
        <v>21.593</v>
      </c>
      <c r="DH7" s="42">
        <v>20.16</v>
      </c>
      <c r="DI7">
        <v>22.968</v>
      </c>
      <c r="DJ7" s="42">
        <v>28.456</v>
      </c>
      <c r="DK7" s="42">
        <v>27.004000000000001</v>
      </c>
      <c r="DL7" s="42">
        <v>24.067</v>
      </c>
      <c r="DM7" s="42">
        <v>25.091999999999999</v>
      </c>
      <c r="DN7" s="42">
        <v>25.707999999999998</v>
      </c>
      <c r="DO7" s="42">
        <v>23.146999999999998</v>
      </c>
      <c r="DP7" s="42">
        <v>19.841000000000001</v>
      </c>
      <c r="DQ7" s="42">
        <v>20.952000000000002</v>
      </c>
      <c r="DR7" s="42">
        <v>21.777999999999999</v>
      </c>
      <c r="DS7" s="42">
        <v>25.509</v>
      </c>
      <c r="DT7" s="42">
        <v>26.152000000000001</v>
      </c>
      <c r="DU7" s="42">
        <v>36.078000000000003</v>
      </c>
      <c r="DV7" s="42">
        <v>31.942</v>
      </c>
      <c r="DW7" s="42"/>
    </row>
    <row r="8" spans="1:128" x14ac:dyDescent="0.35">
      <c r="A8">
        <v>25.524999999999999</v>
      </c>
      <c r="B8">
        <v>27.614999999999998</v>
      </c>
      <c r="C8">
        <v>27.687000000000001</v>
      </c>
      <c r="D8">
        <v>28.271999999999998</v>
      </c>
      <c r="E8">
        <v>34.802999999999997</v>
      </c>
      <c r="F8">
        <v>44.573</v>
      </c>
      <c r="G8">
        <v>28.35</v>
      </c>
      <c r="H8">
        <v>46.356999999999999</v>
      </c>
      <c r="I8">
        <v>48.895000000000003</v>
      </c>
      <c r="J8">
        <v>33.484000000000002</v>
      </c>
      <c r="K8">
        <v>38.966999999999999</v>
      </c>
      <c r="L8">
        <v>29.805</v>
      </c>
      <c r="M8">
        <v>19.535</v>
      </c>
      <c r="N8">
        <v>37.598999999999997</v>
      </c>
      <c r="O8">
        <v>32.652999999999999</v>
      </c>
      <c r="P8">
        <v>21.021000000000001</v>
      </c>
      <c r="Q8">
        <v>28.905999999999999</v>
      </c>
      <c r="R8">
        <v>35.81</v>
      </c>
      <c r="S8">
        <v>30.928000000000001</v>
      </c>
      <c r="T8">
        <v>28.747</v>
      </c>
      <c r="U8">
        <v>35.582000000000001</v>
      </c>
      <c r="V8">
        <v>37.47</v>
      </c>
      <c r="W8">
        <v>14.91</v>
      </c>
      <c r="X8">
        <v>35.939</v>
      </c>
      <c r="Y8">
        <v>19.766999999999999</v>
      </c>
      <c r="Z8">
        <v>37.234000000000002</v>
      </c>
      <c r="AA8">
        <v>23.003</v>
      </c>
      <c r="AB8">
        <v>29.998999999999999</v>
      </c>
      <c r="AC8">
        <v>32.722000000000001</v>
      </c>
      <c r="AD8">
        <v>28.765999999999998</v>
      </c>
      <c r="AE8">
        <v>22.582000000000001</v>
      </c>
      <c r="AF8">
        <v>35.851999999999997</v>
      </c>
      <c r="AG8">
        <v>29.081</v>
      </c>
      <c r="AH8">
        <v>19.155000000000001</v>
      </c>
      <c r="AI8">
        <v>20.161999999999999</v>
      </c>
      <c r="AJ8">
        <v>26.56</v>
      </c>
      <c r="AK8">
        <v>30.434899999999999</v>
      </c>
      <c r="AL8">
        <v>47.774000000000001</v>
      </c>
      <c r="AM8">
        <v>28.071000000000002</v>
      </c>
      <c r="AN8">
        <v>23.99</v>
      </c>
      <c r="AO8">
        <v>25.63</v>
      </c>
      <c r="AP8">
        <v>21.516999999999999</v>
      </c>
      <c r="AQ8">
        <v>22.375</v>
      </c>
      <c r="AR8">
        <v>31.088000000000001</v>
      </c>
      <c r="AS8">
        <v>21.582999999999998</v>
      </c>
      <c r="AT8">
        <v>28.978999999999999</v>
      </c>
      <c r="AU8">
        <v>30.082999999999998</v>
      </c>
      <c r="AV8">
        <v>26.077999999999999</v>
      </c>
      <c r="AW8">
        <v>27.661000000000001</v>
      </c>
      <c r="AX8">
        <v>26.908999999999999</v>
      </c>
      <c r="AY8">
        <v>28.030999999999999</v>
      </c>
      <c r="AZ8">
        <v>35.192999999999998</v>
      </c>
      <c r="BA8">
        <v>33.582000000000001</v>
      </c>
      <c r="BB8">
        <v>27.643999999999998</v>
      </c>
      <c r="BC8">
        <v>34.503</v>
      </c>
      <c r="BD8">
        <v>33.844000000000001</v>
      </c>
      <c r="BE8">
        <v>30.710999999999999</v>
      </c>
      <c r="BF8">
        <v>33.963999999999999</v>
      </c>
      <c r="BG8">
        <v>37.865000000000002</v>
      </c>
      <c r="BH8">
        <v>30.353000000000002</v>
      </c>
      <c r="BI8">
        <v>19.898</v>
      </c>
      <c r="BJ8">
        <v>37.655000000000001</v>
      </c>
      <c r="BK8">
        <v>33.755000000000003</v>
      </c>
      <c r="BL8">
        <v>21.047000000000001</v>
      </c>
      <c r="BM8">
        <v>28.69</v>
      </c>
      <c r="BN8">
        <v>30.71</v>
      </c>
      <c r="BO8">
        <v>30.353000000000002</v>
      </c>
      <c r="BP8">
        <v>28.472999999999999</v>
      </c>
      <c r="BQ8">
        <v>19.369</v>
      </c>
      <c r="BR8">
        <v>27.925999999999998</v>
      </c>
      <c r="BS8">
        <v>25.803000000000001</v>
      </c>
      <c r="BT8">
        <v>32.570999999999998</v>
      </c>
      <c r="BU8">
        <v>29.568000000000001</v>
      </c>
      <c r="BV8">
        <v>29.437000000000001</v>
      </c>
      <c r="BW8">
        <v>25.873999999999999</v>
      </c>
      <c r="BX8">
        <v>33.219000000000001</v>
      </c>
      <c r="BY8">
        <v>36.905999999999999</v>
      </c>
      <c r="BZ8">
        <v>28.155000000000001</v>
      </c>
      <c r="CA8">
        <v>28.11</v>
      </c>
      <c r="CB8">
        <v>30.152999999999999</v>
      </c>
      <c r="CC8">
        <v>23.654</v>
      </c>
      <c r="CD8">
        <v>24.707000000000001</v>
      </c>
      <c r="CE8">
        <v>38.229999999999997</v>
      </c>
      <c r="CF8">
        <v>26.1</v>
      </c>
      <c r="CG8">
        <v>30.861000000000001</v>
      </c>
      <c r="CH8">
        <v>32.709000000000003</v>
      </c>
      <c r="CI8">
        <v>30.423999999999999</v>
      </c>
      <c r="CJ8">
        <v>24.021999999999998</v>
      </c>
      <c r="CK8">
        <v>25.771999999999998</v>
      </c>
      <c r="CL8" s="42">
        <v>22.228999999999999</v>
      </c>
      <c r="CM8" s="42">
        <v>26.783999999999999</v>
      </c>
      <c r="CN8" s="42">
        <v>50.521000000000001</v>
      </c>
      <c r="CO8" s="42">
        <v>27.88</v>
      </c>
      <c r="CP8" s="42">
        <v>33.408999999999999</v>
      </c>
      <c r="CQ8" s="42">
        <v>38.235999999999997</v>
      </c>
      <c r="CR8" s="42">
        <v>22.11</v>
      </c>
      <c r="CS8" s="42">
        <v>23.018000000000001</v>
      </c>
      <c r="CT8" s="42">
        <v>27.149000000000001</v>
      </c>
      <c r="CU8" s="42">
        <v>25.795000000000002</v>
      </c>
      <c r="CV8" s="42">
        <v>26.878</v>
      </c>
      <c r="CW8" s="42">
        <v>25.812000000000001</v>
      </c>
      <c r="CX8" s="42">
        <v>26.727</v>
      </c>
      <c r="CY8" s="42">
        <v>25.157</v>
      </c>
      <c r="CZ8" s="42">
        <v>23.334</v>
      </c>
      <c r="DA8" s="42">
        <v>25.739000000000001</v>
      </c>
      <c r="DB8" s="42">
        <v>26.382999999999999</v>
      </c>
      <c r="DC8" s="42">
        <v>26.978000000000002</v>
      </c>
      <c r="DD8" s="42">
        <v>37.682000000000002</v>
      </c>
      <c r="DE8" s="63">
        <v>36.609000000000002</v>
      </c>
      <c r="DF8" s="42">
        <v>21.210999999999999</v>
      </c>
      <c r="DG8" s="42">
        <v>22.521999999999998</v>
      </c>
      <c r="DH8" s="42">
        <v>27.257000000000001</v>
      </c>
      <c r="DI8">
        <v>27.452999999999999</v>
      </c>
      <c r="DJ8" s="42">
        <v>33.695</v>
      </c>
      <c r="DK8" s="42">
        <v>33.616999999999997</v>
      </c>
      <c r="DL8" s="42">
        <v>26.741</v>
      </c>
      <c r="DM8" s="42">
        <v>29.882000000000001</v>
      </c>
      <c r="DN8" s="42">
        <v>26.321000000000002</v>
      </c>
      <c r="DO8" s="42">
        <v>27.928000000000001</v>
      </c>
      <c r="DP8" s="42">
        <v>23.405999999999999</v>
      </c>
      <c r="DQ8" s="42">
        <v>21.818999999999999</v>
      </c>
      <c r="DR8" s="42">
        <v>22.468</v>
      </c>
      <c r="DS8" s="42">
        <v>29.547999999999998</v>
      </c>
      <c r="DT8" s="42">
        <v>28.536999999999999</v>
      </c>
      <c r="DU8" s="42">
        <v>38.124000000000002</v>
      </c>
      <c r="DV8" s="42">
        <v>36.475999999999999</v>
      </c>
      <c r="DW8" s="42"/>
    </row>
    <row r="9" spans="1:128" x14ac:dyDescent="0.35">
      <c r="A9">
        <v>27.724</v>
      </c>
      <c r="B9">
        <v>27.45</v>
      </c>
      <c r="C9">
        <v>27.221</v>
      </c>
      <c r="D9">
        <v>28.114000000000001</v>
      </c>
      <c r="E9">
        <v>37.533999999999999</v>
      </c>
      <c r="F9">
        <v>49.512</v>
      </c>
      <c r="G9">
        <v>28.271999999999998</v>
      </c>
      <c r="H9">
        <v>50.003</v>
      </c>
      <c r="I9">
        <v>56.603000000000002</v>
      </c>
      <c r="J9">
        <v>35.226999999999997</v>
      </c>
      <c r="K9">
        <v>40.676000000000002</v>
      </c>
      <c r="L9">
        <v>31.15</v>
      </c>
      <c r="M9">
        <v>19.789000000000001</v>
      </c>
      <c r="N9">
        <v>39.829000000000001</v>
      </c>
      <c r="O9">
        <v>34.773000000000003</v>
      </c>
      <c r="P9">
        <v>20.510999999999999</v>
      </c>
      <c r="Q9">
        <v>29.693000000000001</v>
      </c>
      <c r="R9">
        <v>40.941000000000003</v>
      </c>
      <c r="S9">
        <v>30.404</v>
      </c>
      <c r="T9">
        <v>29.972000000000001</v>
      </c>
      <c r="U9">
        <v>37.442999999999998</v>
      </c>
      <c r="V9">
        <v>37.957999999999998</v>
      </c>
      <c r="W9">
        <v>15.423999999999999</v>
      </c>
      <c r="X9">
        <v>45.279000000000003</v>
      </c>
      <c r="Y9">
        <v>19.809000000000001</v>
      </c>
      <c r="Z9">
        <v>45.98</v>
      </c>
      <c r="AA9">
        <v>28.481000000000002</v>
      </c>
      <c r="AB9">
        <v>34.69</v>
      </c>
      <c r="AC9">
        <v>39.17</v>
      </c>
      <c r="AD9">
        <v>33.040999999999997</v>
      </c>
      <c r="AE9">
        <v>27.169</v>
      </c>
      <c r="AF9">
        <v>35.664999999999999</v>
      </c>
      <c r="AG9">
        <v>28.608000000000001</v>
      </c>
      <c r="AH9">
        <v>19.266999999999999</v>
      </c>
      <c r="AI9">
        <v>23.631499999999999</v>
      </c>
      <c r="AJ9">
        <v>31.216999999999999</v>
      </c>
      <c r="AK9">
        <v>35.627000000000002</v>
      </c>
      <c r="AL9">
        <v>51.085000000000001</v>
      </c>
      <c r="AM9">
        <v>33.481000000000002</v>
      </c>
      <c r="AN9">
        <v>24.324999999999999</v>
      </c>
      <c r="AO9">
        <v>27.454000000000001</v>
      </c>
      <c r="AP9">
        <v>26.776</v>
      </c>
      <c r="AQ9">
        <v>27.449000000000002</v>
      </c>
      <c r="AR9">
        <v>35.470999999999997</v>
      </c>
      <c r="AS9">
        <v>26.045999999999999</v>
      </c>
      <c r="AT9">
        <v>35.758000000000003</v>
      </c>
      <c r="AU9">
        <v>34.856000000000002</v>
      </c>
      <c r="AV9">
        <v>28.715</v>
      </c>
      <c r="AW9">
        <v>27.734999999999999</v>
      </c>
      <c r="AX9">
        <v>27.021000000000001</v>
      </c>
      <c r="AY9">
        <v>28.329000000000001</v>
      </c>
      <c r="AZ9">
        <v>36.752000000000002</v>
      </c>
      <c r="BA9">
        <v>39.070999999999998</v>
      </c>
      <c r="BB9">
        <v>28.462</v>
      </c>
      <c r="BC9">
        <v>39.698999999999998</v>
      </c>
      <c r="BD9">
        <v>40.356000000000002</v>
      </c>
      <c r="BE9">
        <v>30.818999999999999</v>
      </c>
      <c r="BF9">
        <v>37.371000000000002</v>
      </c>
      <c r="BG9">
        <v>40.463000000000001</v>
      </c>
      <c r="BH9">
        <v>31.376999999999999</v>
      </c>
      <c r="BI9">
        <v>19.7</v>
      </c>
      <c r="BJ9">
        <v>38.564999999999998</v>
      </c>
      <c r="BK9">
        <v>34.636000000000003</v>
      </c>
      <c r="BL9">
        <v>21.318999999999999</v>
      </c>
      <c r="BM9">
        <v>29.803000000000001</v>
      </c>
      <c r="BN9">
        <v>33.99</v>
      </c>
      <c r="BO9">
        <v>30.024999999999999</v>
      </c>
      <c r="BP9">
        <v>30.713000000000001</v>
      </c>
      <c r="BQ9">
        <v>19.45</v>
      </c>
      <c r="BR9">
        <v>33.630000000000003</v>
      </c>
      <c r="BS9">
        <v>30.593</v>
      </c>
      <c r="BT9">
        <v>37.817</v>
      </c>
      <c r="BU9">
        <v>33.814</v>
      </c>
      <c r="BV9">
        <v>34.690300000000001</v>
      </c>
      <c r="BW9">
        <v>31.327000000000002</v>
      </c>
      <c r="BX9">
        <v>37.479999999999997</v>
      </c>
      <c r="BY9">
        <v>42.399000000000001</v>
      </c>
      <c r="BZ9">
        <v>34.938000000000002</v>
      </c>
      <c r="CA9">
        <v>33.293999999999997</v>
      </c>
      <c r="CB9">
        <v>34.223999999999997</v>
      </c>
      <c r="CC9">
        <v>28.852</v>
      </c>
      <c r="CD9">
        <v>29.260999999999999</v>
      </c>
      <c r="CE9" t="s">
        <v>76</v>
      </c>
      <c r="CF9">
        <v>30.472999999999999</v>
      </c>
      <c r="CG9">
        <v>34.006</v>
      </c>
      <c r="CH9">
        <v>37.637999999999998</v>
      </c>
      <c r="CI9">
        <v>34.508000000000003</v>
      </c>
      <c r="CJ9">
        <v>26.285</v>
      </c>
      <c r="CK9">
        <v>29.11</v>
      </c>
      <c r="CL9" s="42">
        <v>26.469000000000001</v>
      </c>
      <c r="CM9" s="42">
        <v>31.393999999999998</v>
      </c>
      <c r="CN9" s="42">
        <v>65.650000000000006</v>
      </c>
      <c r="CO9" s="42">
        <v>32.884</v>
      </c>
      <c r="CP9" s="42">
        <v>41.466000000000001</v>
      </c>
      <c r="CQ9" s="42">
        <v>46.283000000000001</v>
      </c>
      <c r="CR9" s="42">
        <v>25.748000000000001</v>
      </c>
      <c r="CS9" s="42">
        <v>24.027000000000001</v>
      </c>
      <c r="CT9" s="42">
        <v>32.000999999999998</v>
      </c>
      <c r="CU9" s="42">
        <v>30.843</v>
      </c>
      <c r="CV9" s="42">
        <v>30.664000000000001</v>
      </c>
      <c r="CW9" s="42">
        <v>31.213999999999999</v>
      </c>
      <c r="CX9" s="42">
        <v>31.850999999999999</v>
      </c>
      <c r="CY9" s="42">
        <v>28.31</v>
      </c>
      <c r="CZ9" s="42">
        <v>27.178000000000001</v>
      </c>
      <c r="DA9" s="42">
        <v>29.824000000000002</v>
      </c>
      <c r="DB9" s="42">
        <v>31.155999999999999</v>
      </c>
      <c r="DC9" s="42">
        <v>31.411000000000001</v>
      </c>
      <c r="DD9" s="42">
        <v>42.252000000000002</v>
      </c>
      <c r="DE9" s="63">
        <v>42.573</v>
      </c>
      <c r="DF9" s="42">
        <v>22.344000000000001</v>
      </c>
      <c r="DG9" s="42">
        <v>25.661000000000001</v>
      </c>
      <c r="DH9" s="42">
        <v>34.511000000000003</v>
      </c>
      <c r="DI9">
        <v>31.667000000000002</v>
      </c>
      <c r="DJ9" s="42">
        <v>37.880000000000003</v>
      </c>
      <c r="DK9" s="42">
        <v>37.225000000000001</v>
      </c>
      <c r="DL9" s="42">
        <v>32.79</v>
      </c>
      <c r="DM9" s="42">
        <v>35.201000000000001</v>
      </c>
      <c r="DN9" s="42">
        <v>30.709</v>
      </c>
      <c r="DO9" s="42">
        <v>33.036000000000001</v>
      </c>
      <c r="DP9" s="42">
        <v>25.878</v>
      </c>
      <c r="DQ9" s="42">
        <v>22.966000000000001</v>
      </c>
      <c r="DR9" s="42">
        <v>25.437999999999999</v>
      </c>
      <c r="DS9" s="42">
        <v>34.668999999999997</v>
      </c>
      <c r="DT9" s="42">
        <v>33.948</v>
      </c>
      <c r="DU9" s="42">
        <v>41.168999999999997</v>
      </c>
      <c r="DV9" s="42">
        <v>42.048999999999999</v>
      </c>
      <c r="DW9" s="42"/>
    </row>
    <row r="10" spans="1:128" x14ac:dyDescent="0.35">
      <c r="A10">
        <v>32.491</v>
      </c>
      <c r="B10">
        <v>27.689</v>
      </c>
      <c r="C10">
        <v>27.614000000000001</v>
      </c>
      <c r="D10">
        <v>28.155000000000001</v>
      </c>
      <c r="E10">
        <v>39.146999999999998</v>
      </c>
      <c r="F10">
        <v>54.484999999999999</v>
      </c>
      <c r="G10">
        <v>28.759</v>
      </c>
      <c r="H10" t="s">
        <v>76</v>
      </c>
      <c r="I10" t="s">
        <v>76</v>
      </c>
      <c r="J10">
        <v>37.792999999999999</v>
      </c>
      <c r="K10">
        <v>43.412999999999997</v>
      </c>
      <c r="L10">
        <v>32.497</v>
      </c>
      <c r="M10">
        <v>19.66</v>
      </c>
      <c r="N10">
        <v>42.043999999999997</v>
      </c>
      <c r="O10">
        <v>38.015999999999998</v>
      </c>
      <c r="P10">
        <v>21.492999999999999</v>
      </c>
      <c r="Q10">
        <v>31.07</v>
      </c>
      <c r="R10">
        <v>49.667999999999999</v>
      </c>
      <c r="S10">
        <v>30.015000000000001</v>
      </c>
      <c r="T10">
        <v>33.116</v>
      </c>
      <c r="U10">
        <v>43.249000000000002</v>
      </c>
      <c r="V10">
        <v>41.47</v>
      </c>
      <c r="W10">
        <v>16.945</v>
      </c>
      <c r="X10">
        <v>54.146000000000001</v>
      </c>
      <c r="Y10">
        <v>20.204999999999998</v>
      </c>
      <c r="Z10">
        <v>51.03</v>
      </c>
      <c r="AA10">
        <v>33.305999999999997</v>
      </c>
      <c r="AB10">
        <v>35.951000000000001</v>
      </c>
      <c r="AC10">
        <v>49.076999999999998</v>
      </c>
      <c r="AD10">
        <v>40.307000000000002</v>
      </c>
      <c r="AE10">
        <v>32.104399999999998</v>
      </c>
      <c r="AF10">
        <v>36.887</v>
      </c>
      <c r="AG10">
        <v>28.692</v>
      </c>
      <c r="AH10">
        <v>19.527999999999999</v>
      </c>
      <c r="AI10">
        <v>28.953300000000002</v>
      </c>
      <c r="AJ10">
        <v>36.616699999999994</v>
      </c>
      <c r="AK10">
        <v>40.524000000000001</v>
      </c>
      <c r="AL10">
        <v>52.814</v>
      </c>
      <c r="AM10">
        <v>37.820999999999998</v>
      </c>
      <c r="AN10">
        <v>28.088999999999999</v>
      </c>
      <c r="AO10">
        <v>29.241</v>
      </c>
      <c r="AP10">
        <v>31.89</v>
      </c>
      <c r="AQ10">
        <v>32.67</v>
      </c>
      <c r="AR10">
        <v>40.110999999999997</v>
      </c>
      <c r="AS10">
        <v>31.966000000000001</v>
      </c>
      <c r="AT10">
        <v>42.09</v>
      </c>
      <c r="AU10">
        <v>42.767000000000003</v>
      </c>
      <c r="AV10">
        <v>33.136000000000003</v>
      </c>
      <c r="AW10">
        <v>27.786000000000001</v>
      </c>
      <c r="AX10">
        <v>27.052</v>
      </c>
      <c r="AY10">
        <v>27.837</v>
      </c>
      <c r="AZ10">
        <v>39.905999999999999</v>
      </c>
      <c r="BA10">
        <v>47.311</v>
      </c>
      <c r="BB10">
        <v>30.699000000000002</v>
      </c>
      <c r="BC10">
        <v>49.719000000000001</v>
      </c>
      <c r="BD10">
        <v>48.433</v>
      </c>
      <c r="BE10">
        <v>31.899000000000001</v>
      </c>
      <c r="BF10">
        <v>39.926000000000002</v>
      </c>
      <c r="BG10">
        <v>42.954999999999998</v>
      </c>
      <c r="BH10">
        <v>33.890999999999998</v>
      </c>
      <c r="BI10">
        <v>19.981999999999999</v>
      </c>
      <c r="BJ10">
        <v>42.4</v>
      </c>
      <c r="BK10">
        <v>36.779000000000003</v>
      </c>
      <c r="BL10">
        <v>22.491</v>
      </c>
      <c r="BM10">
        <v>32.518999999999998</v>
      </c>
      <c r="BN10">
        <v>41.29</v>
      </c>
      <c r="BO10">
        <v>29.811</v>
      </c>
      <c r="BP10">
        <v>33.374000000000002</v>
      </c>
      <c r="BQ10">
        <v>19.423999999999999</v>
      </c>
      <c r="BR10">
        <v>38.698999999999998</v>
      </c>
      <c r="BS10">
        <v>36.866</v>
      </c>
      <c r="BT10">
        <v>42.890999999999998</v>
      </c>
      <c r="BU10">
        <v>39.363999999999997</v>
      </c>
      <c r="BV10">
        <v>40.888500000000008</v>
      </c>
      <c r="BW10">
        <v>37.56</v>
      </c>
      <c r="BX10">
        <v>42.73</v>
      </c>
      <c r="BY10">
        <v>46.981999999999999</v>
      </c>
      <c r="BZ10">
        <v>42.414999999999999</v>
      </c>
      <c r="CA10">
        <v>39.466999999999999</v>
      </c>
      <c r="CB10">
        <v>38.643000000000001</v>
      </c>
      <c r="CC10">
        <v>36.213000000000001</v>
      </c>
      <c r="CD10">
        <v>33.576000000000001</v>
      </c>
      <c r="CE10" t="s">
        <v>76</v>
      </c>
      <c r="CF10">
        <v>33.889000000000003</v>
      </c>
      <c r="CG10">
        <v>38.686999999999998</v>
      </c>
      <c r="CH10">
        <v>42.156999999999996</v>
      </c>
      <c r="CI10" t="s">
        <v>76</v>
      </c>
      <c r="CJ10">
        <v>29.984000000000002</v>
      </c>
      <c r="CK10">
        <v>34.234999999999999</v>
      </c>
      <c r="CL10" s="42">
        <v>31.297999999999998</v>
      </c>
      <c r="CM10" s="42">
        <v>37.905000000000001</v>
      </c>
      <c r="CN10" s="42" t="s">
        <v>76</v>
      </c>
      <c r="CO10" s="42">
        <v>37.936999999999998</v>
      </c>
      <c r="CP10" s="42">
        <v>37.869</v>
      </c>
      <c r="CQ10" s="42">
        <v>53.487000000000002</v>
      </c>
      <c r="CR10" s="42">
        <v>29.773</v>
      </c>
      <c r="CS10" s="42">
        <v>26.713999999999999</v>
      </c>
      <c r="CT10" s="42">
        <v>36.566000000000003</v>
      </c>
      <c r="CU10" s="42">
        <v>35.798999999999999</v>
      </c>
      <c r="CV10" s="42">
        <v>35.845999999999997</v>
      </c>
      <c r="CW10" s="42">
        <v>35.012</v>
      </c>
      <c r="CX10" s="42">
        <v>37.499000000000002</v>
      </c>
      <c r="CY10" s="42">
        <v>33.645000000000003</v>
      </c>
      <c r="CZ10" s="42">
        <v>36.96</v>
      </c>
      <c r="DA10" s="42">
        <v>34.417000000000002</v>
      </c>
      <c r="DB10" s="42">
        <v>35.237000000000002</v>
      </c>
      <c r="DC10" s="42">
        <v>37.021999999999998</v>
      </c>
      <c r="DD10" s="42">
        <v>46.802</v>
      </c>
      <c r="DE10" s="63">
        <v>48.887</v>
      </c>
      <c r="DF10" s="42">
        <v>24.943999999999999</v>
      </c>
      <c r="DG10" s="42">
        <v>31.588000000000001</v>
      </c>
      <c r="DH10" s="42">
        <v>42.322000000000003</v>
      </c>
      <c r="DI10">
        <v>36.445999999999998</v>
      </c>
      <c r="DJ10" s="42">
        <v>43.363999999999997</v>
      </c>
      <c r="DK10" s="42">
        <v>43.072000000000003</v>
      </c>
      <c r="DL10" s="42">
        <v>38.408000000000001</v>
      </c>
      <c r="DM10" s="42">
        <v>41.158000000000001</v>
      </c>
      <c r="DN10" s="42">
        <v>34.357999999999997</v>
      </c>
      <c r="DO10" s="42">
        <v>40.930999999999997</v>
      </c>
      <c r="DP10" s="42">
        <v>36.280999999999999</v>
      </c>
      <c r="DQ10" s="42">
        <v>23.872</v>
      </c>
      <c r="DR10" s="42">
        <v>32.137</v>
      </c>
      <c r="DS10" s="42">
        <v>40.152000000000001</v>
      </c>
      <c r="DT10" s="42">
        <v>38.755000000000003</v>
      </c>
      <c r="DU10" s="42">
        <v>45.256</v>
      </c>
      <c r="DV10" s="42">
        <v>46.484000000000002</v>
      </c>
      <c r="DW10" s="42"/>
    </row>
    <row r="11" spans="1:128" x14ac:dyDescent="0.35">
      <c r="A11">
        <v>36.664000000000001</v>
      </c>
      <c r="B11">
        <v>28.286999999999999</v>
      </c>
      <c r="C11">
        <v>27.792000000000002</v>
      </c>
      <c r="D11">
        <v>28.196000000000002</v>
      </c>
      <c r="E11">
        <v>41.670999999999999</v>
      </c>
      <c r="F11" t="s">
        <v>76</v>
      </c>
      <c r="G11">
        <v>31.821000000000002</v>
      </c>
      <c r="H11" t="s">
        <v>76</v>
      </c>
      <c r="I11" t="s">
        <v>76</v>
      </c>
      <c r="J11">
        <v>41.722000000000001</v>
      </c>
      <c r="K11">
        <v>43.792000000000002</v>
      </c>
      <c r="L11">
        <v>37.518000000000001</v>
      </c>
      <c r="M11">
        <v>20.265999999999998</v>
      </c>
      <c r="N11">
        <v>44.776000000000003</v>
      </c>
      <c r="O11">
        <v>42.054000000000002</v>
      </c>
      <c r="P11">
        <v>23.698</v>
      </c>
      <c r="Q11">
        <v>34.417000000000002</v>
      </c>
      <c r="R11">
        <v>55.033000000000001</v>
      </c>
      <c r="S11">
        <v>31.228000000000002</v>
      </c>
      <c r="T11">
        <v>38.411000000000001</v>
      </c>
      <c r="U11">
        <v>47.177</v>
      </c>
      <c r="V11">
        <v>49.070999999999998</v>
      </c>
      <c r="W11">
        <v>21.97</v>
      </c>
      <c r="X11" t="s">
        <v>76</v>
      </c>
      <c r="Y11">
        <v>20.045999999999999</v>
      </c>
      <c r="Z11">
        <v>53.79</v>
      </c>
      <c r="AA11">
        <v>39.017000000000003</v>
      </c>
      <c r="AB11">
        <v>41.744</v>
      </c>
      <c r="AC11">
        <v>55.64</v>
      </c>
      <c r="AD11">
        <v>49.52</v>
      </c>
      <c r="AE11">
        <v>38.829000000000001</v>
      </c>
      <c r="AF11">
        <f>AVERAGE(54.019,54.827,54.933,54.55,54.639,55.474,55.589,56.015,54.68,54.974)</f>
        <v>54.970000000000006</v>
      </c>
      <c r="AG11">
        <v>28.216999999999999</v>
      </c>
      <c r="AH11">
        <v>19.634</v>
      </c>
      <c r="AI11">
        <v>35.429000000000002</v>
      </c>
      <c r="AJ11">
        <v>40.999099999999999</v>
      </c>
      <c r="AK11">
        <v>42.631999999999998</v>
      </c>
      <c r="AL11">
        <v>54.460799999999992</v>
      </c>
      <c r="AM11">
        <v>41.543999999999997</v>
      </c>
      <c r="AN11">
        <v>36.151000000000003</v>
      </c>
      <c r="AO11">
        <v>38.850999999999999</v>
      </c>
      <c r="AP11">
        <v>38.305999999999997</v>
      </c>
      <c r="AQ11">
        <v>37.564</v>
      </c>
      <c r="AR11">
        <v>42.645000000000003</v>
      </c>
      <c r="AS11">
        <v>36.997999999999998</v>
      </c>
      <c r="AT11">
        <v>50.543999999999997</v>
      </c>
      <c r="AU11">
        <v>48.935000000000002</v>
      </c>
      <c r="AV11">
        <v>37.707999999999998</v>
      </c>
      <c r="AW11">
        <v>28.8</v>
      </c>
      <c r="AX11">
        <v>27.231000000000002</v>
      </c>
      <c r="AY11">
        <v>29.292000000000002</v>
      </c>
      <c r="AZ11">
        <v>44.701999999999998</v>
      </c>
      <c r="BA11">
        <v>52.807000000000002</v>
      </c>
      <c r="BB11">
        <v>35.637</v>
      </c>
      <c r="BC11">
        <v>56.776000000000003</v>
      </c>
      <c r="BD11">
        <v>58.116999999999997</v>
      </c>
      <c r="BE11">
        <v>34.875999999999998</v>
      </c>
      <c r="BF11">
        <v>45.234999999999999</v>
      </c>
      <c r="BG11">
        <v>45.055999999999997</v>
      </c>
      <c r="BH11">
        <v>39.296999999999997</v>
      </c>
      <c r="BI11">
        <v>21.306999999999999</v>
      </c>
      <c r="BJ11">
        <v>45.273000000000003</v>
      </c>
      <c r="BK11">
        <v>41.725999999999999</v>
      </c>
      <c r="BL11">
        <v>25.89</v>
      </c>
      <c r="BM11">
        <v>35.826999999999998</v>
      </c>
      <c r="BN11">
        <v>48.264000000000003</v>
      </c>
      <c r="BO11">
        <v>34.371000000000002</v>
      </c>
      <c r="BP11">
        <v>38.619</v>
      </c>
      <c r="BQ11">
        <v>22.213999999999999</v>
      </c>
      <c r="BR11">
        <v>48.188000000000002</v>
      </c>
      <c r="BS11">
        <v>41.118000000000002</v>
      </c>
      <c r="BT11">
        <v>45.256999999999998</v>
      </c>
      <c r="BU11">
        <v>41.213999999999999</v>
      </c>
      <c r="BV11">
        <v>44.288699999999992</v>
      </c>
      <c r="BW11">
        <v>43.646000000000001</v>
      </c>
      <c r="BX11">
        <v>46.542000000000002</v>
      </c>
      <c r="BY11">
        <v>48.863</v>
      </c>
      <c r="BZ11">
        <v>49.265999999999998</v>
      </c>
      <c r="CA11">
        <v>46.445</v>
      </c>
      <c r="CB11" t="s">
        <v>76</v>
      </c>
      <c r="CC11">
        <v>42.482999999999997</v>
      </c>
      <c r="CD11">
        <v>39.011000000000003</v>
      </c>
      <c r="CE11" t="s">
        <v>76</v>
      </c>
      <c r="CF11">
        <v>37.622999999999998</v>
      </c>
      <c r="CG11" t="s">
        <v>76</v>
      </c>
      <c r="CH11" t="s">
        <v>76</v>
      </c>
      <c r="CI11" t="s">
        <v>76</v>
      </c>
      <c r="CJ11">
        <v>33.554000000000002</v>
      </c>
      <c r="CK11">
        <v>39.694000000000003</v>
      </c>
      <c r="CL11" s="42">
        <v>35.173999999999999</v>
      </c>
      <c r="CM11" s="42">
        <v>41.011000000000003</v>
      </c>
      <c r="CN11" s="42" t="s">
        <v>76</v>
      </c>
      <c r="CO11" s="42" t="s">
        <v>76</v>
      </c>
      <c r="CP11" s="42">
        <v>52.756</v>
      </c>
      <c r="CQ11" s="42">
        <v>55.396000000000001</v>
      </c>
      <c r="CR11" s="42">
        <v>36.183</v>
      </c>
      <c r="CS11" s="42">
        <v>32.143999999999998</v>
      </c>
      <c r="CT11" s="42">
        <v>42.881999999999998</v>
      </c>
      <c r="CU11" s="42">
        <v>40.543999999999997</v>
      </c>
      <c r="CV11" s="42">
        <v>41.914999999999999</v>
      </c>
      <c r="CW11" s="42">
        <v>36.316000000000003</v>
      </c>
      <c r="CX11" s="42">
        <v>42.496000000000002</v>
      </c>
      <c r="CY11" s="42">
        <v>40.700000000000003</v>
      </c>
      <c r="CZ11" s="42">
        <v>32.435000000000002</v>
      </c>
      <c r="DA11" s="42">
        <v>38.11</v>
      </c>
      <c r="DB11" s="42">
        <v>39.494</v>
      </c>
      <c r="DC11" s="42">
        <v>41.482999999999997</v>
      </c>
      <c r="DD11" s="42" t="s">
        <v>76</v>
      </c>
      <c r="DE11" s="63"/>
      <c r="DF11" s="42">
        <v>29.257000000000001</v>
      </c>
      <c r="DG11" s="42">
        <v>38.628</v>
      </c>
      <c r="DH11" s="42">
        <v>49.414999999999999</v>
      </c>
      <c r="DI11">
        <v>50.741</v>
      </c>
      <c r="DJ11" s="42">
        <v>48.143999999999998</v>
      </c>
      <c r="DK11" s="42">
        <v>44.225000000000001</v>
      </c>
      <c r="DL11" s="42">
        <v>42.734999999999999</v>
      </c>
      <c r="DM11" s="42">
        <v>43.878999999999998</v>
      </c>
      <c r="DN11" s="42">
        <v>41.570999999999998</v>
      </c>
      <c r="DO11" s="42">
        <v>45.517000000000003</v>
      </c>
      <c r="DP11" s="42">
        <v>40.779000000000003</v>
      </c>
      <c r="DQ11" s="42">
        <v>27.468</v>
      </c>
      <c r="DR11" s="42">
        <v>41.715000000000003</v>
      </c>
      <c r="DS11" s="42">
        <v>46.682000000000002</v>
      </c>
      <c r="DT11" s="42">
        <v>43.084000000000003</v>
      </c>
      <c r="DU11" s="42">
        <v>48.715000000000003</v>
      </c>
      <c r="DV11" s="42">
        <v>47.673999999999999</v>
      </c>
      <c r="DW11" s="42"/>
    </row>
    <row r="12" spans="1:128" x14ac:dyDescent="0.35">
      <c r="A12">
        <v>40.716999999999999</v>
      </c>
      <c r="B12">
        <v>29.949000000000002</v>
      </c>
      <c r="C12">
        <v>27.771999999999998</v>
      </c>
      <c r="D12">
        <v>31.49</v>
      </c>
      <c r="E12">
        <v>60.015000000000001</v>
      </c>
      <c r="F12" t="s">
        <v>76</v>
      </c>
      <c r="G12">
        <v>39.862000000000002</v>
      </c>
      <c r="H12" t="s">
        <v>76</v>
      </c>
      <c r="I12" t="s">
        <v>76</v>
      </c>
      <c r="J12">
        <v>46.462000000000003</v>
      </c>
      <c r="K12">
        <v>45.459000000000003</v>
      </c>
      <c r="L12">
        <v>42.220999999999997</v>
      </c>
      <c r="M12">
        <v>23.966999999999999</v>
      </c>
      <c r="N12">
        <v>47.005000000000003</v>
      </c>
      <c r="O12">
        <v>46.417999999999999</v>
      </c>
      <c r="P12">
        <v>27.622</v>
      </c>
      <c r="Q12">
        <v>39.106999999999999</v>
      </c>
      <c r="R12">
        <v>57.439</v>
      </c>
      <c r="S12">
        <v>36.887</v>
      </c>
      <c r="T12">
        <v>41.247999999999998</v>
      </c>
      <c r="U12">
        <v>53.619</v>
      </c>
      <c r="V12">
        <v>55.31</v>
      </c>
      <c r="W12">
        <v>31.18</v>
      </c>
      <c r="X12" t="s">
        <v>76</v>
      </c>
      <c r="Y12">
        <v>23.292000000000002</v>
      </c>
      <c r="Z12">
        <v>58.83</v>
      </c>
      <c r="AA12" t="s">
        <v>76</v>
      </c>
      <c r="AB12">
        <v>51.662999999999997</v>
      </c>
      <c r="AC12" t="s">
        <v>76</v>
      </c>
      <c r="AD12">
        <v>55.396999999999998</v>
      </c>
      <c r="AE12" t="s">
        <v>76</v>
      </c>
      <c r="AF12">
        <f>AVERAGE(59.147,59.666,60.556,60.086,59.946,59.666,60.111,59.929,59.682,59.987)</f>
        <v>59.877599999999994</v>
      </c>
      <c r="AG12">
        <v>28.513000000000002</v>
      </c>
      <c r="AH12">
        <v>19.617999999999999</v>
      </c>
      <c r="AI12" t="s">
        <v>76</v>
      </c>
      <c r="AJ12" t="s">
        <v>76</v>
      </c>
      <c r="AK12">
        <v>46.971699999999998</v>
      </c>
      <c r="AL12" t="s">
        <v>76</v>
      </c>
      <c r="AM12" t="s">
        <v>76</v>
      </c>
      <c r="AN12">
        <v>38.86</v>
      </c>
      <c r="AO12" t="s">
        <v>76</v>
      </c>
      <c r="AP12" t="s">
        <v>76</v>
      </c>
      <c r="AQ12" t="s">
        <v>76</v>
      </c>
      <c r="AR12" t="s">
        <v>76</v>
      </c>
      <c r="AS12" t="s">
        <v>76</v>
      </c>
      <c r="AT12" t="s">
        <v>76</v>
      </c>
      <c r="AU12" t="s">
        <v>76</v>
      </c>
      <c r="AV12">
        <v>43.182000000000002</v>
      </c>
      <c r="AW12">
        <v>31.263999999999999</v>
      </c>
      <c r="AX12">
        <v>28.585999999999999</v>
      </c>
      <c r="AY12">
        <v>34.347000000000001</v>
      </c>
      <c r="AZ12">
        <v>50.186</v>
      </c>
      <c r="BA12">
        <v>58.399000000000001</v>
      </c>
      <c r="BB12">
        <v>43.206000000000003</v>
      </c>
      <c r="BC12">
        <v>61.237000000000002</v>
      </c>
      <c r="BD12">
        <v>62.337000000000003</v>
      </c>
      <c r="BE12">
        <v>38.287999999999997</v>
      </c>
      <c r="BF12">
        <v>51.606000000000002</v>
      </c>
      <c r="BG12">
        <v>47.488999999999997</v>
      </c>
      <c r="BH12">
        <v>45.314999999999998</v>
      </c>
      <c r="BI12">
        <v>25.58</v>
      </c>
      <c r="BJ12">
        <v>47.003</v>
      </c>
      <c r="BK12">
        <v>48.256999999999998</v>
      </c>
      <c r="BL12">
        <v>30.55</v>
      </c>
      <c r="BM12">
        <v>41.884</v>
      </c>
      <c r="BN12">
        <v>54.831000000000003</v>
      </c>
      <c r="BO12">
        <v>39.259</v>
      </c>
      <c r="BP12">
        <v>43.896999999999998</v>
      </c>
      <c r="BQ12">
        <v>26.702999999999999</v>
      </c>
      <c r="BR12" t="s">
        <v>76</v>
      </c>
      <c r="BS12" t="s">
        <v>76</v>
      </c>
      <c r="BT12" t="s">
        <v>76</v>
      </c>
      <c r="BU12" t="s">
        <v>76</v>
      </c>
      <c r="BV12" t="s">
        <v>76</v>
      </c>
      <c r="BW12" t="s">
        <v>76</v>
      </c>
      <c r="BX12" t="s">
        <v>76</v>
      </c>
      <c r="BY12" t="s">
        <v>76</v>
      </c>
      <c r="BZ12" t="s">
        <v>76</v>
      </c>
      <c r="CA12" t="s">
        <v>76</v>
      </c>
      <c r="CB12" t="s">
        <v>76</v>
      </c>
      <c r="CC12" t="s">
        <v>76</v>
      </c>
      <c r="CD12" t="s">
        <v>76</v>
      </c>
      <c r="CE12" t="s">
        <v>76</v>
      </c>
      <c r="CF12" t="s">
        <v>76</v>
      </c>
      <c r="CG12" t="s">
        <v>76</v>
      </c>
      <c r="CH12" t="s">
        <v>76</v>
      </c>
      <c r="CI12" t="s">
        <v>76</v>
      </c>
      <c r="CJ12" t="s">
        <v>76</v>
      </c>
      <c r="CK12" t="s">
        <v>76</v>
      </c>
      <c r="CL12" s="42" t="s">
        <v>76</v>
      </c>
      <c r="CM12" s="42" t="s">
        <v>76</v>
      </c>
      <c r="CN12" s="42" t="s">
        <v>76</v>
      </c>
      <c r="CO12" s="42" t="s">
        <v>76</v>
      </c>
      <c r="CP12" s="42" t="s">
        <v>76</v>
      </c>
      <c r="CQ12" s="42" t="s">
        <v>76</v>
      </c>
      <c r="CR12" s="42">
        <v>43.456000000000003</v>
      </c>
      <c r="CS12" s="42">
        <v>36.128</v>
      </c>
      <c r="CT12" s="42">
        <v>46.929000000000002</v>
      </c>
      <c r="CU12" s="42">
        <v>44.421999999999997</v>
      </c>
      <c r="CV12" s="42">
        <v>48.646999999999998</v>
      </c>
      <c r="CW12" s="42">
        <v>42.082999999999998</v>
      </c>
      <c r="CX12" s="42">
        <v>44.776000000000003</v>
      </c>
      <c r="CY12" s="42">
        <v>44.735999999999997</v>
      </c>
      <c r="CZ12" s="42">
        <v>40.988999999999997</v>
      </c>
      <c r="DA12" s="42">
        <v>44.968000000000004</v>
      </c>
      <c r="DB12" s="42">
        <v>45.057000000000002</v>
      </c>
      <c r="DC12" s="42">
        <v>46.679000000000002</v>
      </c>
      <c r="DD12" s="42" t="s">
        <v>76</v>
      </c>
      <c r="DE12" s="63" t="s">
        <v>76</v>
      </c>
      <c r="DF12" s="42">
        <v>39.582000000000001</v>
      </c>
      <c r="DG12" s="42" t="s">
        <v>76</v>
      </c>
      <c r="DH12" s="42" t="s">
        <v>76</v>
      </c>
      <c r="DI12" s="42" t="s">
        <v>76</v>
      </c>
      <c r="DJ12" s="42" t="s">
        <v>76</v>
      </c>
      <c r="DK12" s="42" t="s">
        <v>76</v>
      </c>
      <c r="DL12" s="42">
        <v>46.106999999999999</v>
      </c>
      <c r="DM12" s="42" t="s">
        <v>76</v>
      </c>
      <c r="DN12" s="42" t="s">
        <v>76</v>
      </c>
      <c r="DO12" s="42" t="s">
        <v>76</v>
      </c>
      <c r="DP12" s="42" t="s">
        <v>76</v>
      </c>
      <c r="DQ12" s="42">
        <v>33.991999999999997</v>
      </c>
      <c r="DR12" s="42">
        <v>48.2</v>
      </c>
      <c r="DS12" s="42" t="s">
        <v>76</v>
      </c>
      <c r="DT12" s="42" t="s">
        <v>76</v>
      </c>
      <c r="DU12" s="42" t="s">
        <v>76</v>
      </c>
      <c r="DV12" s="42" t="s">
        <v>76</v>
      </c>
      <c r="DW12" s="42"/>
    </row>
    <row r="13" spans="1:128" x14ac:dyDescent="0.35">
      <c r="A13" t="s">
        <v>76</v>
      </c>
      <c r="B13">
        <v>33.305999999999997</v>
      </c>
      <c r="C13">
        <v>30.181999999999999</v>
      </c>
      <c r="D13">
        <v>37.845999999999997</v>
      </c>
      <c r="E13" t="s">
        <v>76</v>
      </c>
      <c r="F13" t="s">
        <v>76</v>
      </c>
      <c r="G13">
        <v>45.091999999999999</v>
      </c>
      <c r="H13" t="s">
        <v>76</v>
      </c>
      <c r="I13" t="s">
        <v>76</v>
      </c>
      <c r="J13">
        <v>49.917999999999999</v>
      </c>
      <c r="K13">
        <v>47.991999999999997</v>
      </c>
      <c r="L13">
        <v>47.32</v>
      </c>
      <c r="M13">
        <v>29.497</v>
      </c>
      <c r="N13" t="s">
        <v>76</v>
      </c>
      <c r="O13">
        <v>49.68</v>
      </c>
      <c r="P13">
        <v>31.710999999999999</v>
      </c>
      <c r="Q13">
        <v>44.594000000000001</v>
      </c>
      <c r="R13">
        <v>63.31</v>
      </c>
      <c r="S13">
        <v>41.703000000000003</v>
      </c>
      <c r="T13">
        <v>47.075000000000003</v>
      </c>
      <c r="U13" t="s">
        <v>76</v>
      </c>
      <c r="V13">
        <v>61.795999999999999</v>
      </c>
      <c r="W13">
        <v>41.814999999999998</v>
      </c>
      <c r="X13" t="s">
        <v>76</v>
      </c>
      <c r="Y13">
        <v>28.006</v>
      </c>
      <c r="Z13">
        <v>65.180000000000007</v>
      </c>
      <c r="AA13" t="s">
        <v>76</v>
      </c>
      <c r="AB13">
        <v>58.64</v>
      </c>
      <c r="AC13" t="s">
        <v>76</v>
      </c>
      <c r="AD13">
        <v>59.497</v>
      </c>
      <c r="AE13" t="s">
        <v>76</v>
      </c>
      <c r="AF13">
        <v>63.622</v>
      </c>
      <c r="AG13">
        <v>30.027000000000001</v>
      </c>
      <c r="AH13">
        <v>22.972000000000001</v>
      </c>
      <c r="AI13" t="s">
        <v>76</v>
      </c>
      <c r="AJ13" t="s">
        <v>76</v>
      </c>
      <c r="AK13" t="s">
        <v>76</v>
      </c>
      <c r="AL13" t="s">
        <v>76</v>
      </c>
      <c r="AM13" t="s">
        <v>76</v>
      </c>
      <c r="AN13" t="s">
        <v>76</v>
      </c>
      <c r="AO13" t="s">
        <v>76</v>
      </c>
      <c r="AP13" t="s">
        <v>76</v>
      </c>
      <c r="AQ13" t="s">
        <v>76</v>
      </c>
      <c r="AR13" t="s">
        <v>76</v>
      </c>
      <c r="AS13" t="s">
        <v>76</v>
      </c>
      <c r="AT13" t="s">
        <v>76</v>
      </c>
      <c r="AU13" t="s">
        <v>76</v>
      </c>
      <c r="AV13" t="s">
        <v>76</v>
      </c>
      <c r="AW13">
        <v>34.795000000000002</v>
      </c>
      <c r="AX13">
        <v>34.976999999999997</v>
      </c>
      <c r="AY13">
        <v>40.840000000000003</v>
      </c>
      <c r="AZ13">
        <v>56.439</v>
      </c>
      <c r="BA13" t="s">
        <v>76</v>
      </c>
      <c r="BB13">
        <v>53.308999999999997</v>
      </c>
      <c r="BC13" t="s">
        <v>76</v>
      </c>
      <c r="BD13" t="s">
        <v>76</v>
      </c>
      <c r="BE13">
        <v>45.08</v>
      </c>
      <c r="BF13" t="s">
        <v>76</v>
      </c>
      <c r="BG13">
        <v>49.798999999999999</v>
      </c>
      <c r="BH13">
        <v>48.6</v>
      </c>
      <c r="BI13">
        <v>31.768999999999998</v>
      </c>
      <c r="BJ13">
        <v>50.116</v>
      </c>
      <c r="BK13">
        <v>51.62</v>
      </c>
      <c r="BL13">
        <v>35.338999999999999</v>
      </c>
      <c r="BM13">
        <v>46.15</v>
      </c>
      <c r="BN13">
        <v>63.186999999999998</v>
      </c>
      <c r="BO13">
        <v>44.582999999999998</v>
      </c>
      <c r="BP13">
        <v>49.29</v>
      </c>
      <c r="BQ13">
        <v>32.215000000000003</v>
      </c>
      <c r="BR13" t="s">
        <v>76</v>
      </c>
      <c r="BS13" t="s">
        <v>76</v>
      </c>
      <c r="BT13" t="s">
        <v>76</v>
      </c>
      <c r="BU13" t="s">
        <v>76</v>
      </c>
      <c r="BV13" t="s">
        <v>76</v>
      </c>
      <c r="BW13" t="s">
        <v>76</v>
      </c>
      <c r="BX13" t="s">
        <v>76</v>
      </c>
      <c r="BY13" t="s">
        <v>76</v>
      </c>
      <c r="BZ13" t="s">
        <v>76</v>
      </c>
      <c r="CA13" t="s">
        <v>76</v>
      </c>
      <c r="CB13" t="s">
        <v>76</v>
      </c>
      <c r="CC13" t="s">
        <v>76</v>
      </c>
      <c r="CD13" t="s">
        <v>76</v>
      </c>
      <c r="CE13" t="s">
        <v>76</v>
      </c>
      <c r="CF13" t="s">
        <v>76</v>
      </c>
      <c r="CG13" t="s">
        <v>76</v>
      </c>
      <c r="CH13" t="s">
        <v>76</v>
      </c>
      <c r="CI13" t="s">
        <v>76</v>
      </c>
      <c r="CJ13" t="s">
        <v>76</v>
      </c>
      <c r="CK13" t="s">
        <v>76</v>
      </c>
      <c r="CL13" s="42" t="s">
        <v>76</v>
      </c>
      <c r="CM13" s="42" t="s">
        <v>76</v>
      </c>
      <c r="CN13" s="42" t="s">
        <v>76</v>
      </c>
      <c r="CO13" s="42" t="s">
        <v>76</v>
      </c>
      <c r="CP13" s="42" t="s">
        <v>76</v>
      </c>
      <c r="CQ13" s="42" t="s">
        <v>76</v>
      </c>
      <c r="CR13" s="42">
        <v>47.625999999999998</v>
      </c>
      <c r="CS13" s="42">
        <v>42.71</v>
      </c>
      <c r="CT13" s="42" t="s">
        <v>76</v>
      </c>
      <c r="CU13" s="42" t="s">
        <v>76</v>
      </c>
      <c r="CV13" s="42" t="s">
        <v>76</v>
      </c>
      <c r="CW13" s="42" t="s">
        <v>76</v>
      </c>
      <c r="CX13" s="42" t="s">
        <v>76</v>
      </c>
      <c r="CY13" s="42" t="s">
        <v>76</v>
      </c>
      <c r="CZ13" s="42" t="s">
        <v>76</v>
      </c>
      <c r="DA13" s="42" t="s">
        <v>76</v>
      </c>
      <c r="DB13" s="42" t="s">
        <v>76</v>
      </c>
      <c r="DC13" s="42" t="s">
        <v>76</v>
      </c>
      <c r="DD13" s="42" t="s">
        <v>76</v>
      </c>
      <c r="DE13" s="42" t="s">
        <v>76</v>
      </c>
      <c r="DF13" s="42" t="s">
        <v>76</v>
      </c>
      <c r="DG13" s="42" t="s">
        <v>76</v>
      </c>
      <c r="DH13" s="42" t="s">
        <v>76</v>
      </c>
      <c r="DI13" s="42" t="s">
        <v>76</v>
      </c>
      <c r="DJ13" s="42" t="s">
        <v>76</v>
      </c>
      <c r="DK13" s="42" t="s">
        <v>76</v>
      </c>
      <c r="DL13" s="42" t="s">
        <v>76</v>
      </c>
      <c r="DM13" s="42" t="s">
        <v>76</v>
      </c>
      <c r="DN13" s="42" t="s">
        <v>76</v>
      </c>
      <c r="DO13" s="42" t="s">
        <v>76</v>
      </c>
      <c r="DP13" s="42" t="s">
        <v>76</v>
      </c>
      <c r="DQ13" s="42">
        <v>41.177999999999997</v>
      </c>
      <c r="DR13" s="42" t="s">
        <v>76</v>
      </c>
      <c r="DS13" s="42" t="s">
        <v>76</v>
      </c>
      <c r="DT13" s="42" t="s">
        <v>76</v>
      </c>
      <c r="DU13" s="42" t="s">
        <v>76</v>
      </c>
      <c r="DV13" s="42" t="s">
        <v>76</v>
      </c>
      <c r="DW13" s="42"/>
    </row>
    <row r="14" spans="1:128" x14ac:dyDescent="0.35">
      <c r="A14" t="s">
        <v>76</v>
      </c>
      <c r="B14">
        <v>39.991999999999997</v>
      </c>
      <c r="C14">
        <v>38.968000000000004</v>
      </c>
      <c r="D14">
        <v>43.158000000000001</v>
      </c>
      <c r="E14" t="s">
        <v>76</v>
      </c>
      <c r="F14" t="s">
        <v>76</v>
      </c>
      <c r="G14">
        <v>50.447000000000003</v>
      </c>
      <c r="H14" t="s">
        <v>76</v>
      </c>
      <c r="I14" t="s">
        <v>76</v>
      </c>
      <c r="J14">
        <v>53.149000000000001</v>
      </c>
      <c r="K14">
        <v>51.887</v>
      </c>
      <c r="L14">
        <v>53.875999999999998</v>
      </c>
      <c r="M14">
        <v>34.707000000000001</v>
      </c>
      <c r="N14" t="s">
        <v>76</v>
      </c>
      <c r="O14">
        <v>52.42</v>
      </c>
      <c r="P14">
        <v>36.878</v>
      </c>
      <c r="Q14">
        <v>50.706000000000003</v>
      </c>
      <c r="R14" t="s">
        <v>76</v>
      </c>
      <c r="S14">
        <v>47.366999999999997</v>
      </c>
      <c r="T14" t="s">
        <v>76</v>
      </c>
      <c r="U14" t="s">
        <v>76</v>
      </c>
      <c r="V14" t="s">
        <v>76</v>
      </c>
      <c r="W14">
        <v>51.642000000000003</v>
      </c>
      <c r="X14" t="s">
        <v>76</v>
      </c>
      <c r="Y14">
        <v>34.039000000000001</v>
      </c>
      <c r="Z14">
        <v>65.92</v>
      </c>
      <c r="AA14" t="s">
        <v>76</v>
      </c>
      <c r="AB14" t="s">
        <v>76</v>
      </c>
      <c r="AC14" t="s">
        <v>76</v>
      </c>
      <c r="AD14" t="s">
        <v>76</v>
      </c>
      <c r="AE14" t="s">
        <v>76</v>
      </c>
      <c r="AF14" t="s">
        <v>76</v>
      </c>
      <c r="AG14">
        <f>AVERAGE(47.68,49.862,49.31,49.473,47.777,49.789,48.969,50.033,49.846,50)</f>
        <v>49.273899999999998</v>
      </c>
      <c r="AH14">
        <v>26.61</v>
      </c>
      <c r="AI14" t="s">
        <v>76</v>
      </c>
      <c r="AJ14" t="s">
        <v>76</v>
      </c>
      <c r="AK14" t="s">
        <v>76</v>
      </c>
      <c r="AL14" t="s">
        <v>76</v>
      </c>
      <c r="AM14" t="s">
        <v>76</v>
      </c>
      <c r="AN14" t="s">
        <v>76</v>
      </c>
      <c r="AO14" t="s">
        <v>76</v>
      </c>
      <c r="AP14" t="s">
        <v>76</v>
      </c>
      <c r="AQ14" t="s">
        <v>76</v>
      </c>
      <c r="AR14" t="s">
        <v>76</v>
      </c>
      <c r="AS14" t="s">
        <v>76</v>
      </c>
      <c r="AT14" t="s">
        <v>76</v>
      </c>
      <c r="AU14" t="s">
        <v>76</v>
      </c>
      <c r="AV14" t="s">
        <v>76</v>
      </c>
      <c r="AW14">
        <v>41.121000000000002</v>
      </c>
      <c r="AX14">
        <v>41.802999999999997</v>
      </c>
      <c r="AY14">
        <v>51.281999999999996</v>
      </c>
      <c r="AZ14" t="s">
        <v>76</v>
      </c>
      <c r="BA14" t="s">
        <v>76</v>
      </c>
      <c r="BB14" t="s">
        <v>76</v>
      </c>
      <c r="BC14" t="s">
        <v>76</v>
      </c>
      <c r="BD14" t="s">
        <v>76</v>
      </c>
      <c r="BE14">
        <v>52.468000000000004</v>
      </c>
      <c r="BF14" t="s">
        <v>76</v>
      </c>
      <c r="BG14">
        <v>54.566000000000003</v>
      </c>
      <c r="BH14">
        <v>57.8</v>
      </c>
      <c r="BI14">
        <v>37.984000000000002</v>
      </c>
      <c r="BJ14" t="s">
        <v>76</v>
      </c>
      <c r="BK14">
        <v>54.795999999999999</v>
      </c>
      <c r="BL14">
        <v>40.887999999999998</v>
      </c>
      <c r="BM14">
        <v>50.011000000000003</v>
      </c>
      <c r="BN14" t="s">
        <v>76</v>
      </c>
      <c r="BO14">
        <v>50.082999999999998</v>
      </c>
      <c r="BP14" t="s">
        <v>76</v>
      </c>
      <c r="BQ14">
        <v>36.951999999999998</v>
      </c>
      <c r="BR14" t="s">
        <v>76</v>
      </c>
      <c r="BS14" t="s">
        <v>76</v>
      </c>
      <c r="BT14" t="s">
        <v>76</v>
      </c>
      <c r="BU14" t="s">
        <v>76</v>
      </c>
      <c r="BV14" t="s">
        <v>76</v>
      </c>
      <c r="BW14" t="s">
        <v>76</v>
      </c>
      <c r="BX14" t="s">
        <v>76</v>
      </c>
      <c r="BY14" t="s">
        <v>76</v>
      </c>
      <c r="BZ14" t="s">
        <v>76</v>
      </c>
      <c r="CA14" t="s">
        <v>76</v>
      </c>
      <c r="CB14" t="s">
        <v>76</v>
      </c>
      <c r="CC14" t="s">
        <v>76</v>
      </c>
      <c r="CD14" t="s">
        <v>76</v>
      </c>
      <c r="CE14" t="s">
        <v>76</v>
      </c>
      <c r="CF14" t="s">
        <v>76</v>
      </c>
      <c r="CG14" t="s">
        <v>76</v>
      </c>
      <c r="CH14" t="s">
        <v>76</v>
      </c>
      <c r="CI14" t="s">
        <v>76</v>
      </c>
      <c r="CJ14" t="s">
        <v>76</v>
      </c>
      <c r="CK14" t="s">
        <v>76</v>
      </c>
      <c r="CL14" s="42" t="s">
        <v>76</v>
      </c>
      <c r="CM14" s="42" t="s">
        <v>76</v>
      </c>
      <c r="CN14" s="42" t="s">
        <v>76</v>
      </c>
      <c r="CO14" s="42" t="s">
        <v>76</v>
      </c>
      <c r="CP14" s="42" t="s">
        <v>76</v>
      </c>
      <c r="CQ14" s="42" t="s">
        <v>76</v>
      </c>
      <c r="CR14" s="42">
        <v>51.408000000000001</v>
      </c>
      <c r="CS14" s="42">
        <v>45.844000000000001</v>
      </c>
      <c r="CT14" s="42" t="s">
        <v>76</v>
      </c>
      <c r="CU14" s="42" t="s">
        <v>76</v>
      </c>
      <c r="CV14" s="42" t="s">
        <v>76</v>
      </c>
      <c r="CW14" s="42" t="s">
        <v>76</v>
      </c>
      <c r="CX14" s="42" t="s">
        <v>76</v>
      </c>
      <c r="CY14" s="42" t="s">
        <v>76</v>
      </c>
      <c r="CZ14" s="42" t="s">
        <v>76</v>
      </c>
      <c r="DA14" s="42" t="s">
        <v>76</v>
      </c>
      <c r="DB14" s="42" t="s">
        <v>76</v>
      </c>
      <c r="DC14" s="42" t="s">
        <v>76</v>
      </c>
      <c r="DD14" s="42" t="s">
        <v>76</v>
      </c>
      <c r="DE14" s="42" t="s">
        <v>76</v>
      </c>
      <c r="DF14" s="42" t="s">
        <v>76</v>
      </c>
      <c r="DG14" s="42" t="s">
        <v>76</v>
      </c>
      <c r="DH14" s="42" t="s">
        <v>76</v>
      </c>
      <c r="DI14" s="42" t="s">
        <v>76</v>
      </c>
      <c r="DJ14" s="42" t="s">
        <v>76</v>
      </c>
      <c r="DK14" s="42" t="s">
        <v>76</v>
      </c>
      <c r="DL14" s="42" t="s">
        <v>76</v>
      </c>
      <c r="DM14" s="42" t="s">
        <v>76</v>
      </c>
      <c r="DN14" s="42" t="s">
        <v>76</v>
      </c>
      <c r="DO14" s="42" t="s">
        <v>76</v>
      </c>
      <c r="DP14" s="42" t="s">
        <v>76</v>
      </c>
      <c r="DQ14" s="42" t="s">
        <v>76</v>
      </c>
      <c r="DR14" s="42" t="s">
        <v>76</v>
      </c>
      <c r="DS14" s="42" t="s">
        <v>76</v>
      </c>
      <c r="DT14" s="42" t="s">
        <v>76</v>
      </c>
      <c r="DU14" s="42" t="s">
        <v>76</v>
      </c>
      <c r="DV14" s="42" t="s">
        <v>76</v>
      </c>
      <c r="DW14" s="42"/>
    </row>
    <row r="15" spans="1:128" x14ac:dyDescent="0.35">
      <c r="A15" t="s">
        <v>76</v>
      </c>
      <c r="B15">
        <v>45.537999999999997</v>
      </c>
      <c r="C15">
        <v>44.375</v>
      </c>
      <c r="D15">
        <v>45.942</v>
      </c>
      <c r="E15" t="s">
        <v>76</v>
      </c>
      <c r="F15" t="s">
        <v>76</v>
      </c>
      <c r="G15" t="s">
        <v>76</v>
      </c>
      <c r="H15" t="s">
        <v>76</v>
      </c>
      <c r="I15" t="s">
        <v>76</v>
      </c>
      <c r="K15">
        <v>54.671999999999997</v>
      </c>
      <c r="L15">
        <v>59.951000000000001</v>
      </c>
      <c r="M15">
        <v>40.088999999999999</v>
      </c>
      <c r="N15" t="s">
        <v>76</v>
      </c>
      <c r="O15" t="s">
        <v>76</v>
      </c>
      <c r="P15">
        <v>43.8</v>
      </c>
      <c r="Q15">
        <v>52.646999999999998</v>
      </c>
      <c r="R15" t="s">
        <v>76</v>
      </c>
      <c r="S15">
        <v>50.713000000000001</v>
      </c>
      <c r="T15" t="s">
        <v>76</v>
      </c>
      <c r="U15" t="s">
        <v>76</v>
      </c>
      <c r="V15" t="s">
        <v>76</v>
      </c>
      <c r="W15" t="s">
        <v>76</v>
      </c>
      <c r="X15" t="s">
        <v>76</v>
      </c>
      <c r="Y15">
        <v>42.802</v>
      </c>
      <c r="Z15" t="s">
        <v>76</v>
      </c>
      <c r="AA15" t="s">
        <v>76</v>
      </c>
      <c r="AB15" t="s">
        <v>76</v>
      </c>
      <c r="AC15" t="s">
        <v>76</v>
      </c>
      <c r="AD15" t="s">
        <v>76</v>
      </c>
      <c r="AE15" t="s">
        <v>76</v>
      </c>
      <c r="AF15" t="s">
        <v>76</v>
      </c>
      <c r="AG15">
        <f>AVERAGE(52.558,52.705,52.542,52.615,52.321,52.648,51.955,52.754,52.885,52.623)</f>
        <v>52.560600000000001</v>
      </c>
      <c r="AH15">
        <f>AVERAGE(34.945,35.175,35.405,35.428,35.674,36.032,35.777,35.92,35.96,35.928)</f>
        <v>35.624399999999994</v>
      </c>
      <c r="AI15" t="s">
        <v>76</v>
      </c>
      <c r="AJ15" t="s">
        <v>76</v>
      </c>
      <c r="AK15" t="s">
        <v>76</v>
      </c>
      <c r="AL15" t="s">
        <v>76</v>
      </c>
      <c r="AM15" t="s">
        <v>76</v>
      </c>
      <c r="AN15" t="s">
        <v>76</v>
      </c>
      <c r="AO15" t="s">
        <v>76</v>
      </c>
      <c r="AP15" t="s">
        <v>76</v>
      </c>
      <c r="AQ15" t="s">
        <v>76</v>
      </c>
      <c r="AR15" t="s">
        <v>76</v>
      </c>
      <c r="AS15" t="s">
        <v>76</v>
      </c>
      <c r="AT15" t="s">
        <v>76</v>
      </c>
      <c r="AU15" t="s">
        <v>76</v>
      </c>
      <c r="AV15" t="s">
        <v>76</v>
      </c>
      <c r="AW15">
        <v>47.481000000000002</v>
      </c>
      <c r="AX15">
        <v>49.027999999999999</v>
      </c>
      <c r="AY15" t="s">
        <v>76</v>
      </c>
      <c r="AZ15" t="s">
        <v>76</v>
      </c>
      <c r="BA15" t="s">
        <v>76</v>
      </c>
      <c r="BB15" t="s">
        <v>76</v>
      </c>
      <c r="BC15" t="s">
        <v>76</v>
      </c>
      <c r="BD15" t="s">
        <v>76</v>
      </c>
      <c r="BE15" t="s">
        <v>76</v>
      </c>
      <c r="BF15" t="s">
        <v>76</v>
      </c>
      <c r="BG15">
        <v>56.557000000000002</v>
      </c>
      <c r="BH15">
        <v>63.439</v>
      </c>
      <c r="BI15">
        <v>42.606999999999999</v>
      </c>
      <c r="BJ15" t="s">
        <v>76</v>
      </c>
      <c r="BK15" t="s">
        <v>76</v>
      </c>
      <c r="BL15">
        <v>44.264000000000003</v>
      </c>
      <c r="BM15" t="s">
        <v>76</v>
      </c>
      <c r="BN15" t="s">
        <v>76</v>
      </c>
      <c r="BO15" t="s">
        <v>76</v>
      </c>
      <c r="BP15" t="s">
        <v>76</v>
      </c>
      <c r="BQ15">
        <v>42.103999999999999</v>
      </c>
      <c r="BR15" t="s">
        <v>76</v>
      </c>
      <c r="BS15" t="s">
        <v>76</v>
      </c>
      <c r="BT15" t="s">
        <v>76</v>
      </c>
      <c r="BU15" t="s">
        <v>76</v>
      </c>
      <c r="BV15" t="s">
        <v>76</v>
      </c>
      <c r="BW15" t="s">
        <v>76</v>
      </c>
      <c r="BX15" t="s">
        <v>76</v>
      </c>
      <c r="BY15" t="s">
        <v>76</v>
      </c>
      <c r="BZ15" t="s">
        <v>76</v>
      </c>
      <c r="CA15" t="s">
        <v>76</v>
      </c>
      <c r="CB15" t="s">
        <v>76</v>
      </c>
      <c r="CC15" t="s">
        <v>76</v>
      </c>
      <c r="CD15" t="s">
        <v>76</v>
      </c>
      <c r="CE15" t="s">
        <v>76</v>
      </c>
      <c r="CF15" t="s">
        <v>76</v>
      </c>
      <c r="CG15" t="s">
        <v>76</v>
      </c>
      <c r="CH15" t="s">
        <v>76</v>
      </c>
      <c r="CI15" t="s">
        <v>76</v>
      </c>
      <c r="CJ15" t="s">
        <v>76</v>
      </c>
      <c r="CK15" t="s">
        <v>76</v>
      </c>
      <c r="CL15" s="42" t="s">
        <v>76</v>
      </c>
      <c r="CM15" s="42" t="s">
        <v>76</v>
      </c>
      <c r="CN15" s="42" t="s">
        <v>76</v>
      </c>
      <c r="CO15" s="42" t="s">
        <v>76</v>
      </c>
      <c r="CP15" s="42" t="s">
        <v>76</v>
      </c>
      <c r="CQ15" s="42" t="s">
        <v>76</v>
      </c>
      <c r="CR15" s="42">
        <v>54.472999999999999</v>
      </c>
      <c r="CS15" s="42">
        <v>50.811999999999998</v>
      </c>
      <c r="CT15" s="42" t="s">
        <v>76</v>
      </c>
      <c r="CU15" s="42" t="s">
        <v>76</v>
      </c>
      <c r="CV15" s="42" t="s">
        <v>76</v>
      </c>
      <c r="CW15" s="42" t="s">
        <v>76</v>
      </c>
      <c r="CX15" s="42" t="s">
        <v>76</v>
      </c>
      <c r="CY15" s="42" t="s">
        <v>76</v>
      </c>
      <c r="CZ15" s="42" t="s">
        <v>76</v>
      </c>
      <c r="DA15" s="42" t="s">
        <v>76</v>
      </c>
      <c r="DB15" s="42" t="s">
        <v>76</v>
      </c>
      <c r="DC15" s="42" t="s">
        <v>76</v>
      </c>
      <c r="DD15" s="42" t="s">
        <v>76</v>
      </c>
      <c r="DE15" s="42" t="s">
        <v>76</v>
      </c>
      <c r="DF15" s="42" t="s">
        <v>76</v>
      </c>
      <c r="DG15" s="42" t="s">
        <v>76</v>
      </c>
      <c r="DH15" s="42" t="s">
        <v>76</v>
      </c>
      <c r="DI15" s="42" t="s">
        <v>76</v>
      </c>
      <c r="DJ15" s="42" t="s">
        <v>76</v>
      </c>
      <c r="DK15" s="42" t="s">
        <v>76</v>
      </c>
      <c r="DL15" s="42" t="s">
        <v>76</v>
      </c>
      <c r="DM15" s="42" t="s">
        <v>76</v>
      </c>
      <c r="DN15" s="42" t="s">
        <v>76</v>
      </c>
      <c r="DO15" s="42" t="s">
        <v>76</v>
      </c>
      <c r="DP15" s="42" t="s">
        <v>76</v>
      </c>
      <c r="DQ15" s="42" t="s">
        <v>76</v>
      </c>
      <c r="DR15" s="42" t="s">
        <v>76</v>
      </c>
      <c r="DS15" s="42" t="s">
        <v>76</v>
      </c>
      <c r="DT15" s="42" t="s">
        <v>76</v>
      </c>
      <c r="DU15" s="42" t="s">
        <v>76</v>
      </c>
      <c r="DV15" s="42" t="s">
        <v>76</v>
      </c>
      <c r="DW15" s="42"/>
    </row>
    <row r="16" spans="1:128" x14ac:dyDescent="0.35">
      <c r="A16" t="s">
        <v>76</v>
      </c>
      <c r="B16" t="s">
        <v>76</v>
      </c>
      <c r="C16" t="s">
        <v>76</v>
      </c>
      <c r="D16" t="s">
        <v>76</v>
      </c>
      <c r="E16" t="s">
        <v>76</v>
      </c>
      <c r="F16" t="s">
        <v>76</v>
      </c>
      <c r="G16" t="s">
        <v>76</v>
      </c>
      <c r="H16" t="s">
        <v>76</v>
      </c>
      <c r="I16" t="s">
        <v>76</v>
      </c>
      <c r="J16" t="s">
        <v>76</v>
      </c>
      <c r="K16" t="s">
        <v>76</v>
      </c>
      <c r="L16" t="s">
        <v>76</v>
      </c>
      <c r="M16" t="s">
        <v>76</v>
      </c>
      <c r="N16" t="s">
        <v>76</v>
      </c>
      <c r="O16" t="s">
        <v>76</v>
      </c>
      <c r="P16" t="s">
        <v>76</v>
      </c>
      <c r="Q16" t="s">
        <v>76</v>
      </c>
      <c r="R16" t="s">
        <v>76</v>
      </c>
      <c r="S16" t="s">
        <v>76</v>
      </c>
      <c r="T16" t="s">
        <v>76</v>
      </c>
      <c r="U16" t="s">
        <v>76</v>
      </c>
      <c r="V16" t="s">
        <v>76</v>
      </c>
      <c r="W16" t="s">
        <v>76</v>
      </c>
      <c r="X16" t="s">
        <v>76</v>
      </c>
      <c r="Y16" t="s">
        <v>76</v>
      </c>
      <c r="Z16" t="s">
        <v>76</v>
      </c>
      <c r="AA16" t="s">
        <v>76</v>
      </c>
      <c r="AB16" t="s">
        <v>76</v>
      </c>
      <c r="AC16" t="s">
        <v>76</v>
      </c>
      <c r="AD16" t="s">
        <v>76</v>
      </c>
      <c r="AE16" t="s">
        <v>76</v>
      </c>
      <c r="AF16" t="s">
        <v>76</v>
      </c>
      <c r="AG16">
        <v>59.847999999999999</v>
      </c>
      <c r="AH16">
        <f>AVERAGE(40.433,40.297,40.786,40.923,40.971,40.754,40.281,40.161,40.201,40.04)</f>
        <v>40.484700000000004</v>
      </c>
      <c r="AI16" t="s">
        <v>76</v>
      </c>
      <c r="AJ16" t="s">
        <v>76</v>
      </c>
      <c r="AK16" t="s">
        <v>76</v>
      </c>
      <c r="AL16" t="s">
        <v>76</v>
      </c>
      <c r="AM16" t="s">
        <v>76</v>
      </c>
      <c r="AN16" t="s">
        <v>76</v>
      </c>
      <c r="AO16" t="s">
        <v>76</v>
      </c>
      <c r="AP16" t="s">
        <v>76</v>
      </c>
      <c r="AQ16" t="s">
        <v>76</v>
      </c>
      <c r="AR16" t="s">
        <v>76</v>
      </c>
      <c r="AS16" t="s">
        <v>76</v>
      </c>
      <c r="AT16" t="s">
        <v>76</v>
      </c>
      <c r="AU16" t="s">
        <v>76</v>
      </c>
      <c r="AV16" t="s">
        <v>76</v>
      </c>
      <c r="AW16" t="s">
        <v>76</v>
      </c>
      <c r="AX16" t="s">
        <v>76</v>
      </c>
      <c r="AY16" t="s">
        <v>76</v>
      </c>
      <c r="AZ16" t="s">
        <v>76</v>
      </c>
      <c r="BA16" t="s">
        <v>76</v>
      </c>
      <c r="BB16" t="s">
        <v>76</v>
      </c>
      <c r="BC16" t="s">
        <v>76</v>
      </c>
      <c r="BD16" t="s">
        <v>76</v>
      </c>
      <c r="BE16" t="s">
        <v>76</v>
      </c>
      <c r="BF16" t="s">
        <v>76</v>
      </c>
      <c r="BG16" t="s">
        <v>76</v>
      </c>
      <c r="BH16" t="s">
        <v>76</v>
      </c>
      <c r="BI16" t="s">
        <v>76</v>
      </c>
      <c r="BJ16" t="s">
        <v>76</v>
      </c>
      <c r="BK16" t="s">
        <v>76</v>
      </c>
      <c r="BL16" t="s">
        <v>76</v>
      </c>
      <c r="BM16" t="s">
        <v>76</v>
      </c>
      <c r="BN16" t="s">
        <v>76</v>
      </c>
      <c r="BO16" t="s">
        <v>76</v>
      </c>
      <c r="BP16" t="s">
        <v>76</v>
      </c>
      <c r="BQ16" t="s">
        <v>76</v>
      </c>
      <c r="BR16" t="s">
        <v>76</v>
      </c>
      <c r="BS16" t="s">
        <v>76</v>
      </c>
      <c r="BT16" t="s">
        <v>76</v>
      </c>
      <c r="BU16" t="s">
        <v>76</v>
      </c>
      <c r="BV16" t="s">
        <v>76</v>
      </c>
      <c r="BW16" t="s">
        <v>76</v>
      </c>
      <c r="BX16" t="s">
        <v>76</v>
      </c>
      <c r="BY16" t="s">
        <v>76</v>
      </c>
      <c r="BZ16" t="s">
        <v>76</v>
      </c>
      <c r="CA16" t="s">
        <v>76</v>
      </c>
      <c r="CB16" t="s">
        <v>76</v>
      </c>
      <c r="CC16" t="s">
        <v>76</v>
      </c>
      <c r="CD16" t="s">
        <v>76</v>
      </c>
      <c r="CE16" t="s">
        <v>76</v>
      </c>
      <c r="CF16" t="s">
        <v>76</v>
      </c>
      <c r="CG16" t="s">
        <v>76</v>
      </c>
      <c r="CH16" t="s">
        <v>76</v>
      </c>
      <c r="CI16" t="s">
        <v>76</v>
      </c>
      <c r="CJ16" t="s">
        <v>76</v>
      </c>
      <c r="CK16" t="s">
        <v>76</v>
      </c>
      <c r="CL16" s="42" t="s">
        <v>76</v>
      </c>
      <c r="CM16" s="42" t="s">
        <v>76</v>
      </c>
      <c r="CN16" s="42" t="s">
        <v>76</v>
      </c>
      <c r="CO16" s="42" t="s">
        <v>76</v>
      </c>
      <c r="CP16" s="42" t="s">
        <v>76</v>
      </c>
      <c r="CQ16" s="42" t="s">
        <v>76</v>
      </c>
      <c r="CR16" s="42" t="s">
        <v>76</v>
      </c>
      <c r="CS16" s="42" t="s">
        <v>76</v>
      </c>
      <c r="CT16" s="42" t="s">
        <v>76</v>
      </c>
      <c r="CU16" s="42" t="s">
        <v>76</v>
      </c>
      <c r="CV16" s="42" t="s">
        <v>76</v>
      </c>
      <c r="CW16" s="42" t="s">
        <v>76</v>
      </c>
      <c r="CX16" s="42" t="s">
        <v>76</v>
      </c>
      <c r="CY16" s="42" t="s">
        <v>76</v>
      </c>
      <c r="CZ16" s="42" t="s">
        <v>76</v>
      </c>
      <c r="DA16" s="42" t="s">
        <v>76</v>
      </c>
      <c r="DB16" s="42" t="s">
        <v>76</v>
      </c>
      <c r="DC16" s="42" t="s">
        <v>76</v>
      </c>
      <c r="DD16" s="42" t="s">
        <v>76</v>
      </c>
      <c r="DE16" s="42" t="s">
        <v>76</v>
      </c>
      <c r="DF16" s="42" t="s">
        <v>76</v>
      </c>
      <c r="DG16" s="42" t="s">
        <v>76</v>
      </c>
      <c r="DH16" s="42" t="s">
        <v>76</v>
      </c>
      <c r="DI16" s="42" t="s">
        <v>76</v>
      </c>
      <c r="DJ16" s="42" t="s">
        <v>76</v>
      </c>
      <c r="DK16" s="42" t="s">
        <v>76</v>
      </c>
      <c r="DL16" s="42" t="s">
        <v>76</v>
      </c>
      <c r="DM16" s="42" t="s">
        <v>76</v>
      </c>
      <c r="DN16" s="42" t="s">
        <v>76</v>
      </c>
      <c r="DO16" s="42" t="s">
        <v>76</v>
      </c>
      <c r="DP16" s="42" t="s">
        <v>76</v>
      </c>
      <c r="DQ16" s="42" t="s">
        <v>76</v>
      </c>
      <c r="DR16" s="42" t="s">
        <v>76</v>
      </c>
      <c r="DS16" s="42" t="s">
        <v>76</v>
      </c>
      <c r="DT16" s="42" t="s">
        <v>76</v>
      </c>
      <c r="DU16" s="42" t="s">
        <v>76</v>
      </c>
      <c r="DV16" s="42" t="s">
        <v>76</v>
      </c>
      <c r="DW16" s="4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Z5"/>
  <sheetViews>
    <sheetView workbookViewId="0">
      <selection activeCell="L19" sqref="L19"/>
    </sheetView>
  </sheetViews>
  <sheetFormatPr defaultRowHeight="14.5" x14ac:dyDescent="0.35"/>
  <cols>
    <col min="9" max="9" width="14.36328125" customWidth="1"/>
    <col min="12" max="12" width="10" bestFit="1" customWidth="1"/>
    <col min="33" max="33" width="11" customWidth="1"/>
    <col min="38" max="38" width="8.6328125" style="43"/>
    <col min="55" max="55" width="18.08984375" customWidth="1"/>
    <col min="74" max="74" width="13" customWidth="1"/>
    <col min="81" max="81" width="22.6328125" customWidth="1"/>
    <col min="87" max="87" width="22" bestFit="1" customWidth="1"/>
    <col min="88" max="88" width="18.6328125" customWidth="1"/>
    <col min="92" max="92" width="8.90625" style="60"/>
    <col min="108" max="108" width="8.90625" style="60"/>
  </cols>
  <sheetData>
    <row r="1" spans="1:130" x14ac:dyDescent="0.35">
      <c r="A1" t="s">
        <v>98</v>
      </c>
    </row>
    <row r="2" spans="1:130" s="1" customFormat="1" x14ac:dyDescent="0.35">
      <c r="AL2" s="12"/>
    </row>
    <row r="3" spans="1:130" s="1" customFormat="1" ht="58" x14ac:dyDescent="0.35">
      <c r="A3" s="1" t="str">
        <f>'Indiv. Surfactant Key'!A3</f>
        <v>TMN6</v>
      </c>
      <c r="B3" s="1" t="str">
        <f>'Indiv. Surfactant Key'!A4</f>
        <v>T15-S-7</v>
      </c>
      <c r="C3" s="1" t="str">
        <f>'Indiv. Surfactant Key'!A5</f>
        <v>TrX45</v>
      </c>
      <c r="D3" s="1" t="str">
        <f>'Indiv. Surfactant Key'!A6</f>
        <v>TrX114</v>
      </c>
      <c r="E3" s="1" t="str">
        <f>'Indiv. Surfactant Key'!A74</f>
        <v>LinSucSulf</v>
      </c>
      <c r="F3" s="1" t="str">
        <f>'Indiv. Surfactant Key'!A7</f>
        <v>T4</v>
      </c>
      <c r="G3" s="1" t="str">
        <f>'Indiv. Surfactant Key'!A75</f>
        <v>TrCG-425</v>
      </c>
      <c r="H3" s="1" t="str">
        <f>'Indiv. Surfactant Key'!A8</f>
        <v>AlfSodSalt</v>
      </c>
      <c r="I3" s="1" t="str">
        <f>'Indiv. Surfactant Key'!A76</f>
        <v>AlphaFoam</v>
      </c>
      <c r="J3" s="1" t="str">
        <f>'Indiv. Surfactant Key'!A77</f>
        <v>D5575</v>
      </c>
      <c r="K3" s="1" t="str">
        <f>'Indiv. Surfactant Key'!A78</f>
        <v>D5244</v>
      </c>
      <c r="L3" s="1" t="str">
        <f>'Indiv. Surfactant Key'!A79</f>
        <v>D193</v>
      </c>
      <c r="M3" s="1" t="str">
        <f>'Indiv. Surfactant Key'!A80</f>
        <v>D501W</v>
      </c>
      <c r="N3" s="1" t="str">
        <f>'Indiv. Surfactant Key'!A81</f>
        <v>D198</v>
      </c>
      <c r="O3" s="1" t="str">
        <f>'Indiv. Surfactant Key'!A82</f>
        <v>D5604</v>
      </c>
      <c r="P3" s="1" t="str">
        <f>'Indiv. Surfactant Key'!A10</f>
        <v>D502W</v>
      </c>
      <c r="Q3" s="1" t="str">
        <f>'Indiv. Surfactant Key'!A83</f>
        <v>D5098</v>
      </c>
      <c r="R3" s="1" t="str">
        <f>'Indiv. Surfactant Key'!A11</f>
        <v>SDS</v>
      </c>
      <c r="S3" s="1" t="str">
        <f>'Indiv. Surfactant Key'!A12</f>
        <v>TrX100</v>
      </c>
      <c r="T3" s="1" t="str">
        <f>'Indiv. Surfactant Key'!A84</f>
        <v>Silphos</v>
      </c>
      <c r="U3" s="1" t="str">
        <f>'Indiv. Surfactant Key'!A85</f>
        <v>Silsurf</v>
      </c>
      <c r="V3" s="1" t="str">
        <f>'Indiv. Surfactant Key'!A13</f>
        <v>CTAB</v>
      </c>
      <c r="W3" s="12" t="str">
        <f>'Formulation Names Mix CMC Data'!A38</f>
        <v>Cap_DGBE</v>
      </c>
      <c r="X3" s="1" t="str">
        <f>'Indiv. Surfactant Key'!A14</f>
        <v>Cap</v>
      </c>
      <c r="Y3" s="1" t="str">
        <f>'Indiv. Surfactant Key'!A15</f>
        <v>L77</v>
      </c>
      <c r="Z3" s="1" t="str">
        <f>'Indiv. Surfactant Key'!A16</f>
        <v>PFOA</v>
      </c>
      <c r="AA3" s="1" t="str">
        <f>'Indiv. Surfactant Key'!A86</f>
        <v>D67</v>
      </c>
      <c r="AB3" s="1" t="str">
        <f>'Formulation Names Mix CMC Data'!A39</f>
        <v>G225_DGBE</v>
      </c>
      <c r="AC3" s="1" t="str">
        <f>'Formulation Names Mix CMC Data'!A40</f>
        <v>G600_DGBE</v>
      </c>
      <c r="AD3" s="1" t="str">
        <f>'Formulation Names Mix CMC Data'!A41</f>
        <v>G215_DGBE</v>
      </c>
      <c r="AE3" s="1" t="str">
        <f>'Formulation Names Mix CMC Data'!A42</f>
        <v>Gel6185_DGBE</v>
      </c>
      <c r="AF3" s="12" t="str">
        <f>'Indiv. Surfactant Key'!A17</f>
        <v>NRL_N10358-107</v>
      </c>
      <c r="AG3" s="12" t="str">
        <f>'Indiv. Surfactant Key'!A18</f>
        <v>NRL_N10358-106</v>
      </c>
      <c r="AH3" s="12" t="str">
        <f>'Indiv. Surfactant Key'!A19</f>
        <v>NRL_N10358-135</v>
      </c>
      <c r="AI3" s="12" t="str">
        <f>'Indiv. Surfactant Key'!A20</f>
        <v>NRL_N10477-12</v>
      </c>
      <c r="AJ3" s="12" t="str">
        <f>'Indiv. Surfactant Key'!A21</f>
        <v>NRL_N10358-176</v>
      </c>
      <c r="AK3" s="12" t="str">
        <f>'Indiv. Surfactant Key'!A22</f>
        <v>NRL_N10358-174</v>
      </c>
      <c r="AL3" s="12" t="str">
        <f>'Indiv. Surfactant Key'!A23</f>
        <v>NRL_N10358-169</v>
      </c>
      <c r="AM3" s="12" t="str">
        <f>'Indiv. Surfactant Key'!A24</f>
        <v>NRL_N10477-01</v>
      </c>
      <c r="AN3" s="12" t="str">
        <f>'Indiv. Surfactant Key'!A25</f>
        <v>NRL_N10358-161</v>
      </c>
      <c r="AO3" s="12" t="str">
        <f>'Indiv. Surfactant Key'!A26</f>
        <v>NRL_N10477-09</v>
      </c>
      <c r="AP3" s="12" t="str">
        <f>'Indiv. Surfactant Key'!A27</f>
        <v>NRL_N10477-07</v>
      </c>
      <c r="AQ3" s="12" t="str">
        <f>'Indiv. Surfactant Key'!A28</f>
        <v>NRL_N10477-03</v>
      </c>
      <c r="AR3" s="12" t="str">
        <f>'Indiv. Surfactant Key'!A29</f>
        <v>NRL_N10477-05</v>
      </c>
      <c r="AS3" s="12" t="str">
        <f>'Indiv. Surfactant Key'!A30</f>
        <v>Gel6185</v>
      </c>
      <c r="AT3" s="12" t="str">
        <f>'Indiv. Surfactant Key'!A31</f>
        <v>G215</v>
      </c>
      <c r="AU3" s="12" t="str">
        <f>'Indiv. Surfactant Key'!A32</f>
        <v>G225</v>
      </c>
      <c r="AV3" s="1" t="str">
        <f>'Formulation Names Mix CMC Data'!A4</f>
        <v>TMN6_G215_3_2</v>
      </c>
      <c r="AW3" s="1" t="str">
        <f>'Formulation Names Mix CMC Data'!A5</f>
        <v>T15-S-7_G215_3_2</v>
      </c>
      <c r="AX3" s="1" t="str">
        <f>'Formulation Names Mix CMC Data'!A6</f>
        <v>TrX45_G215_3_2</v>
      </c>
      <c r="AY3" s="1" t="str">
        <f>'Formulation Names Mix CMC Data'!A7</f>
        <v>TrX114_G215_3_2</v>
      </c>
      <c r="AZ3" s="1" t="str">
        <f>'Formulation Names Mix CMC Data'!A8</f>
        <v>LinSucSulf_G215_3_2</v>
      </c>
      <c r="BA3" s="1" t="str">
        <f>'Formulation Names Mix CMC Data'!A9</f>
        <v>T4_G215_3_2</v>
      </c>
      <c r="BB3" s="1" t="str">
        <f>'Formulation Names Mix CMC Data'!A10</f>
        <v>TrCG-425_G215_3_2</v>
      </c>
      <c r="BC3" s="1" t="str">
        <f>'Formulation Names Mix CMC Data'!A11</f>
        <v>AlfSodSalt_G215_3_2</v>
      </c>
      <c r="BD3" s="1" t="str">
        <f>'Formulation Names Mix CMC Data'!A12</f>
        <v>AlphaFoam_G215_3_2</v>
      </c>
      <c r="BE3" s="1" t="str">
        <f>'Formulation Names Mix CMC Data'!A13</f>
        <v>Mys_G215_3_2</v>
      </c>
      <c r="BF3" s="1" t="str">
        <f>'Formulation Names Mix CMC Data'!A14</f>
        <v>D5575_G215_3_2</v>
      </c>
      <c r="BG3" s="1" t="str">
        <f>'Formulation Names Mix CMC Data'!A15</f>
        <v>D5244_G215_3_2</v>
      </c>
      <c r="BH3" s="1" t="str">
        <f>'Formulation Names Mix CMC Data'!A16</f>
        <v>D193_G215_3_2</v>
      </c>
      <c r="BI3" s="1" t="str">
        <f>'Formulation Names Mix CMC Data'!A17</f>
        <v>D501W_G215_3_2</v>
      </c>
      <c r="BJ3" s="1" t="str">
        <f>'Formulation Names Mix CMC Data'!A18</f>
        <v>D198_G215_3_2</v>
      </c>
      <c r="BK3" s="1" t="str">
        <f>'Formulation Names Mix CMC Data'!A19</f>
        <v>D5604_G215_3_2</v>
      </c>
      <c r="BL3" s="1" t="str">
        <f>'Formulation Names Mix CMC Data'!A20</f>
        <v>D502W_G215_3_2</v>
      </c>
      <c r="BM3" s="1" t="str">
        <f>'Formulation Names Mix CMC Data'!A21</f>
        <v>D5098_G215_3_2</v>
      </c>
      <c r="BN3" s="1" t="str">
        <f>'Formulation Names Mix CMC Data'!A22</f>
        <v>SDS_G215_3_2</v>
      </c>
      <c r="BO3" s="1" t="str">
        <f>'Formulation Names Mix CMC Data'!A23</f>
        <v>TrX100_G215_3_2</v>
      </c>
      <c r="BP3" s="1" t="str">
        <f>'Formulation Names Mix CMC Data'!A24</f>
        <v>Silphos_G215_3_2</v>
      </c>
      <c r="BQ3" s="1" t="str">
        <f>'Formulation Names Mix CMC Data'!A25</f>
        <v>L77_G215_3_2</v>
      </c>
      <c r="BR3" s="1" t="str">
        <f>'Formulation Names Mix CMC Data'!A26</f>
        <v>D502W_TrX100_3_2</v>
      </c>
      <c r="BS3" s="1" t="str">
        <f>'Formulation Names Mix CMC Data'!A27</f>
        <v>D67_G215_3_2</v>
      </c>
      <c r="BT3" s="1" t="str">
        <f>'Formulation Names Mix CMC Data'!A28</f>
        <v>D502W_G215_2_3</v>
      </c>
      <c r="BU3" s="1" t="str">
        <f>'Formulation Names Mix CMC Data'!A29</f>
        <v>D502W_G225_2_3</v>
      </c>
      <c r="BV3" s="1" t="str">
        <f>'Formulation Names Mix CMC Data'!A30</f>
        <v>D502W_G600_2_3</v>
      </c>
      <c r="BW3" s="1" t="str">
        <f>'Formulation Names Mix CMC Data'!A31</f>
        <v>Gel6492.6_G215_3_2</v>
      </c>
      <c r="BX3" s="1" t="str">
        <f>'Formulation Names Mix CMC Data'!A32</f>
        <v>T15-S-9_G215_3_2</v>
      </c>
      <c r="BY3" s="1" t="str">
        <f>'Formulation Names Mix CMC Data'!A33</f>
        <v>T15-S-12_G215_3_2</v>
      </c>
      <c r="BZ3" s="1" t="str">
        <f>'Formulation Names Mix CMC Data'!A34</f>
        <v>L77_G225_2_3</v>
      </c>
      <c r="CA3" s="1" t="str">
        <f>'Formulation Names Mix CMC Data'!A35</f>
        <v>D67_G225_2_3</v>
      </c>
      <c r="CB3" s="1" t="str">
        <f>'Formulation Names Mix CMC Data'!A36</f>
        <v>D502W_C6G2_1_1</v>
      </c>
      <c r="CC3" s="1" t="str">
        <f>'Formulation Names Mix CMC Data'!A37</f>
        <v>Gel6185_G215_3_2</v>
      </c>
      <c r="CD3" s="1" t="str">
        <f>'Indiv. Surfactant Key'!A53</f>
        <v>CL_MD2086-97</v>
      </c>
      <c r="CE3" s="1" t="str">
        <f>'Indiv. Surfactant Key'!A54</f>
        <v>CL_MD2012-16</v>
      </c>
      <c r="CF3" s="1" t="str">
        <f>'Indiv. Surfactant Key'!A55</f>
        <v>NRL_CB-1-123</v>
      </c>
      <c r="CG3" s="1" t="str">
        <f>'Formulation Names Mix CMC Data'!A43</f>
        <v>CL_MD2086-97_G225_2_3</v>
      </c>
      <c r="CH3" s="1" t="str">
        <f>'Formulation Names Mix CMC Data'!A44</f>
        <v>CL_MD2012-16_G225_2_3</v>
      </c>
      <c r="CI3" s="1" t="str">
        <f>'Formulation Names Mix CMC Data'!A45</f>
        <v>NRL_CB-1-123_G225_2_3</v>
      </c>
      <c r="CJ3" s="1" t="str">
        <f>'Indiv. Surfactant Key'!A59</f>
        <v>CL_MD2102-54</v>
      </c>
      <c r="CK3" s="1" t="str">
        <f>'Formulation Names Mix CMC Data'!A46</f>
        <v>CL_MD2102-54_G225_2_3</v>
      </c>
      <c r="CL3" s="1" t="str">
        <f>'Indiv. Surfactant Key'!A64</f>
        <v>NRL_LBII43</v>
      </c>
      <c r="CM3" s="1" t="str">
        <f>'Formulation Names Mix CMC Data'!A47</f>
        <v>NRL_LBII43_G225_2_3</v>
      </c>
      <c r="CN3" s="1" t="str">
        <f>'Formulation Names Mix CMC Data'!A48</f>
        <v>NRL_CB_DTBTS_SB_G225_2_3</v>
      </c>
      <c r="CO3" s="1" t="str">
        <f>'Formulation Names Mix CMC Data'!A49</f>
        <v>NRL_N10478-233_G225_2_3</v>
      </c>
      <c r="CP3" s="1" t="str">
        <f>'Formulation Names Mix CMC Data'!A50</f>
        <v>Cap_TrX100_3_2</v>
      </c>
      <c r="CQ3" s="1" t="str">
        <f>'Formulation Names Mix CMC Data'!A51</f>
        <v>Cap_G225_3_2</v>
      </c>
      <c r="CR3" s="1" t="str">
        <f>'Formulation Names Mix CMC Data'!A52</f>
        <v>CL_MD2062-57_G225_2_3</v>
      </c>
      <c r="CS3" s="1" t="str">
        <f>'Formulation Names Mix CMC Data'!A53</f>
        <v>NRL_N10477-05_G225_2_3</v>
      </c>
      <c r="CT3" s="1" t="str">
        <f>'Formulation Names Mix CMC Data'!A54</f>
        <v>D502W_C7G1_1_1</v>
      </c>
      <c r="CU3" s="1" t="str">
        <f>'Formulation Names Mix CMC Data'!A55</f>
        <v>D502W_C7G1_1_1</v>
      </c>
      <c r="CV3" s="1" t="str">
        <f>'Formulation Names Mix CMC Data'!A56</f>
        <v>D502W_C8G1_1_1</v>
      </c>
      <c r="CW3" s="1" t="str">
        <f>'Formulation Names Mix CMC Data'!A57</f>
        <v>D502W_C9G2_1_1</v>
      </c>
      <c r="CX3" s="1" t="str">
        <f>'Formulation Names Mix CMC Data'!A58</f>
        <v>D502W_C10G2_1_1</v>
      </c>
      <c r="CY3" s="1" t="str">
        <f>'Formulation Names Mix CMC Data'!A59</f>
        <v>D502W_C12G2_1_1</v>
      </c>
      <c r="CZ3" s="1" t="str">
        <f>'Formulation Names Mix CMC Data'!A60</f>
        <v>D502W_C8G2_1_1</v>
      </c>
      <c r="DA3" s="1" t="str">
        <f>'Formulation Names Mix CMC Data'!A61</f>
        <v>D502W_iC8G2_1_1</v>
      </c>
      <c r="DB3" s="1" t="str">
        <f>'Formulation Names Mix CMC Data'!A62</f>
        <v>D502W_Cymal_1_1</v>
      </c>
      <c r="DC3" s="1" t="str">
        <f>'Formulation Names Mix CMC Data'!A63</f>
        <v>D502W_C8SG2_1_1</v>
      </c>
      <c r="DD3" s="1" t="str">
        <f>'Indiv. Surfactant Key'!A69</f>
        <v>CL_MD2102-90</v>
      </c>
      <c r="DE3" s="1" t="str">
        <f>'Formulation Names Mix CMC Data'!A64</f>
        <v>CL_MD2102-90_G225_2_3</v>
      </c>
      <c r="DF3" s="1" t="str">
        <f>'Indiv. Surfactant Key'!A71</f>
        <v>CL_MD2102-118</v>
      </c>
      <c r="DG3" s="1" t="str">
        <f>'Formulation Names Mix CMC Data'!A65</f>
        <v>CL_MD2102-118_G225_2_3</v>
      </c>
      <c r="DH3" s="1" t="str">
        <f>'Formulation Names Mix CMC Data'!A66</f>
        <v>Cap_TrGR-5M_3_2</v>
      </c>
      <c r="DI3" s="1" t="str">
        <f>'Formulation Names Mix CMC Data'!A67</f>
        <v>NRL_N10478-198_G225_1_5</v>
      </c>
      <c r="DJ3" s="1" t="str">
        <f>'Formulation Names Mix CMC Data'!A68</f>
        <v>NRL_N10358-174_G225_2_3</v>
      </c>
      <c r="DK3" s="1" t="str">
        <f>'Formulation Names Mix CMC Data'!A69</f>
        <v>NRL_N10358-176_G225_2_3</v>
      </c>
      <c r="DL3" s="1" t="str">
        <f>'Formulation Names Mix CMC Data'!A70</f>
        <v>NRL_N10477-01_G225_2_3</v>
      </c>
      <c r="DM3" s="1" t="str">
        <f>'Formulation Names Mix CMC Data'!A71</f>
        <v>NRL_N10477-03_G225_2_3</v>
      </c>
      <c r="DN3" s="1" t="str">
        <f>'Formulation Names Mix CMC Data'!A72</f>
        <v>NRL_N10477-09_G225_2_3</v>
      </c>
      <c r="DO3" s="1" t="str">
        <f>'Formulation Names Mix CMC Data'!A73</f>
        <v>NRL_N10477-07_G225_2_3</v>
      </c>
      <c r="DP3" s="1" t="str">
        <f>'Formulation Names Mix CMC Data'!A74</f>
        <v>NRL_N10477-12_G225_2_3</v>
      </c>
      <c r="DQ3" s="1" t="str">
        <f>'Indiv. Surfactant Key'!A70</f>
        <v>CL_MD2102-112</v>
      </c>
      <c r="DR3" s="1" t="str">
        <f>'Formulation Names Mix CMC Data'!A76</f>
        <v>CL_MD2102-112_G225_2_3</v>
      </c>
      <c r="DS3" s="1" t="str">
        <f>'Formulation Names Mix CMC Data'!A77</f>
        <v>CL_MD2062-124_G225_1_4.6</v>
      </c>
      <c r="DT3" s="1" t="str">
        <f>'Formulation Names Mix CMC Data'!A78</f>
        <v>NRL_N10477-189_G225_1_6</v>
      </c>
      <c r="DU3" s="1" t="str">
        <f>'Indiv. Surfactant Key'!A72</f>
        <v>NRL_CB-1-192</v>
      </c>
      <c r="DV3" s="1" t="str">
        <f>'Formulation Names Mix CMC Data'!A80</f>
        <v>NRL_CB-1-192_G225_2_3</v>
      </c>
      <c r="DW3" s="1" t="str">
        <f>'Indiv. Surfactant Key'!A56</f>
        <v>NRL_N10477-189</v>
      </c>
      <c r="DX3" s="1" t="str">
        <f>'Indiv. Surfactant Key'!A66</f>
        <v>NRL_N10478-227</v>
      </c>
      <c r="DY3" s="1" t="str">
        <f>'Indiv. Surfactant Key'!A67</f>
        <v>NRL_N10478-233</v>
      </c>
      <c r="DZ3" s="1" t="str">
        <f>'Indiv. Surfactant Key'!A68</f>
        <v>NRL_N10478-240</v>
      </c>
    </row>
    <row r="4" spans="1:130" x14ac:dyDescent="0.35">
      <c r="A4">
        <v>7.0000000000000007E-2</v>
      </c>
      <c r="B4" s="7">
        <v>8.0000000000000002E-3</v>
      </c>
      <c r="C4">
        <v>4.4000000000000003E-3</v>
      </c>
      <c r="D4">
        <v>8.9999999999999993E-3</v>
      </c>
      <c r="E4">
        <v>0.06</v>
      </c>
      <c r="F4">
        <v>0.6</v>
      </c>
      <c r="G4">
        <v>1.7999999999999999E-2</v>
      </c>
      <c r="H4">
        <v>1.0900000000000001</v>
      </c>
      <c r="I4">
        <v>0.38</v>
      </c>
      <c r="J4">
        <v>3.6999999999999998E-2</v>
      </c>
      <c r="K4">
        <v>3.7999999999999999E-2</v>
      </c>
      <c r="L4">
        <v>4.9000000000000002E-2</v>
      </c>
      <c r="M4">
        <v>1.2999999999999999E-2</v>
      </c>
      <c r="N4">
        <v>8.5000000000000006E-2</v>
      </c>
      <c r="O4">
        <v>0.04</v>
      </c>
      <c r="P4">
        <v>0.02</v>
      </c>
      <c r="Q4" s="7">
        <v>1.7999999999999999E-2</v>
      </c>
      <c r="R4">
        <v>0.13</v>
      </c>
      <c r="S4">
        <v>1.7999999999999999E-2</v>
      </c>
      <c r="T4">
        <v>0.04</v>
      </c>
      <c r="U4">
        <v>7.0000000000000007E-2</v>
      </c>
      <c r="V4">
        <v>3.5000000000000003E-2</v>
      </c>
      <c r="W4">
        <v>2.9000000000000001E-2</v>
      </c>
      <c r="X4" s="8">
        <v>0.04</v>
      </c>
      <c r="Y4" s="8">
        <v>0.01</v>
      </c>
      <c r="Z4" s="7">
        <v>2.8999999999999998E-3</v>
      </c>
      <c r="AA4" s="8">
        <v>1.0999999999999999E-2</v>
      </c>
      <c r="AB4" s="7">
        <v>8.2000000000000003E-2</v>
      </c>
      <c r="AC4" s="7">
        <v>1.9E-2</v>
      </c>
      <c r="AD4" s="7">
        <v>0.12</v>
      </c>
      <c r="AE4" s="7">
        <v>9.5999999999999992E-3</v>
      </c>
      <c r="AF4" s="7">
        <v>3.1E-2</v>
      </c>
      <c r="AG4" s="8">
        <v>4.0000000000000001E-3</v>
      </c>
      <c r="AH4" s="8">
        <v>7.1000000000000004E-3</v>
      </c>
      <c r="AI4">
        <v>5.8999999999999999E-3</v>
      </c>
      <c r="AJ4">
        <v>1.7000000000000001E-2</v>
      </c>
      <c r="AK4">
        <v>5.2999999999999999E-2</v>
      </c>
      <c r="AL4" s="43">
        <v>9.9000000000000005E-2</v>
      </c>
      <c r="AM4">
        <v>2.5000000000000001E-2</v>
      </c>
      <c r="AN4">
        <v>3.5999999999999999E-3</v>
      </c>
      <c r="AO4">
        <v>4.1999999999999997E-3</v>
      </c>
      <c r="AP4" s="7">
        <v>8.5000000000000006E-3</v>
      </c>
      <c r="AQ4">
        <v>0.01</v>
      </c>
      <c r="AR4">
        <v>3.5000000000000003E-2</v>
      </c>
      <c r="AS4" s="8">
        <v>1.0200000000000001E-2</v>
      </c>
      <c r="AT4" s="7">
        <v>0.12</v>
      </c>
      <c r="AU4" s="7">
        <v>0.16</v>
      </c>
      <c r="AV4">
        <v>7.0000000000000007E-2</v>
      </c>
      <c r="AW4">
        <v>8.6E-3</v>
      </c>
      <c r="AX4">
        <v>5.4000000000000003E-3</v>
      </c>
      <c r="AY4">
        <v>0.01</v>
      </c>
      <c r="AZ4">
        <v>0.06</v>
      </c>
      <c r="BA4">
        <v>0.14000000000000001</v>
      </c>
      <c r="BB4">
        <v>3.2000000000000001E-2</v>
      </c>
      <c r="BC4">
        <v>0.14000000000000001</v>
      </c>
      <c r="BD4">
        <v>0.13</v>
      </c>
      <c r="BE4">
        <v>1.7000000000000001E-2</v>
      </c>
      <c r="BF4">
        <v>7.2999999999999995E-2</v>
      </c>
      <c r="BG4">
        <v>7.0000000000000007E-2</v>
      </c>
      <c r="BH4">
        <v>3.1E-2</v>
      </c>
      <c r="BI4">
        <v>0.01</v>
      </c>
      <c r="BJ4">
        <v>8.2000000000000003E-2</v>
      </c>
      <c r="BK4">
        <v>3.4000000000000002E-2</v>
      </c>
      <c r="BL4">
        <v>2.5000000000000001E-2</v>
      </c>
      <c r="BM4">
        <v>3.4000000000000002E-2</v>
      </c>
      <c r="BN4">
        <v>0.09</v>
      </c>
      <c r="BO4">
        <v>2.8000000000000001E-2</v>
      </c>
      <c r="BP4">
        <v>0.114</v>
      </c>
      <c r="BQ4">
        <v>1.6E-2</v>
      </c>
      <c r="BR4">
        <v>1.5800000000000002E-2</v>
      </c>
      <c r="BS4">
        <v>1.55E-2</v>
      </c>
      <c r="BT4">
        <v>0.03</v>
      </c>
      <c r="BU4">
        <v>0.02</v>
      </c>
      <c r="BV4">
        <v>2.8799999999999999E-2</v>
      </c>
      <c r="BW4">
        <v>8.9999999999999993E-3</v>
      </c>
      <c r="BX4">
        <v>8.9999999999999993E-3</v>
      </c>
      <c r="BY4">
        <v>1.7000000000000001E-2</v>
      </c>
      <c r="BZ4">
        <v>0.02</v>
      </c>
      <c r="CA4">
        <v>0.02</v>
      </c>
      <c r="CB4">
        <v>8.9999999999999993E-3</v>
      </c>
      <c r="CC4">
        <v>0.01</v>
      </c>
      <c r="CD4">
        <v>6.4000000000000001E-2</v>
      </c>
      <c r="CE4">
        <v>0.25</v>
      </c>
      <c r="CF4">
        <v>0.312</v>
      </c>
      <c r="CG4">
        <v>0.18</v>
      </c>
      <c r="CH4">
        <v>0.216</v>
      </c>
      <c r="CI4">
        <v>0.24</v>
      </c>
      <c r="CJ4">
        <v>6.4000000000000001E-2</v>
      </c>
      <c r="CK4">
        <v>6.4000000000000001E-2</v>
      </c>
      <c r="CL4">
        <v>0.02</v>
      </c>
      <c r="CM4">
        <v>3.7999999999999999E-2</v>
      </c>
      <c r="CN4">
        <v>6.2E-2</v>
      </c>
      <c r="CO4">
        <v>2.1000000000000001E-2</v>
      </c>
      <c r="CP4">
        <v>6.4000000000000001E-2</v>
      </c>
      <c r="CQ4">
        <v>5.7000000000000002E-2</v>
      </c>
      <c r="CR4">
        <v>0.124</v>
      </c>
      <c r="CS4">
        <v>5.3999999999999999E-2</v>
      </c>
      <c r="CT4">
        <v>2.9000000000000001E-2</v>
      </c>
      <c r="CU4">
        <v>0.03</v>
      </c>
      <c r="CV4">
        <v>2.5999999999999999E-2</v>
      </c>
      <c r="CW4">
        <v>3.5999999999999997E-2</v>
      </c>
      <c r="CX4">
        <v>3.3000000000000002E-2</v>
      </c>
      <c r="CY4">
        <v>1.6E-2</v>
      </c>
      <c r="CZ4">
        <v>2.7E-2</v>
      </c>
      <c r="DA4">
        <v>2.8000000000000001E-2</v>
      </c>
      <c r="DB4">
        <v>3.3000000000000002E-2</v>
      </c>
      <c r="DC4">
        <v>2.8000000000000001E-2</v>
      </c>
      <c r="DD4">
        <v>0.30399999999999999</v>
      </c>
      <c r="DE4">
        <v>9.8000000000000004E-2</v>
      </c>
      <c r="DF4" s="42">
        <v>3.7000000000000002E-3</v>
      </c>
      <c r="DG4" s="42">
        <v>7.7999999999999996E-3</v>
      </c>
      <c r="DH4" s="43">
        <v>1.9900000000000001E-2</v>
      </c>
      <c r="DI4">
        <v>3.0599999999999999E-2</v>
      </c>
      <c r="DJ4">
        <v>5.6800000000000003E-2</v>
      </c>
      <c r="DK4">
        <v>4.1599999999999998E-2</v>
      </c>
      <c r="DL4">
        <v>2.8799999999999999E-2</v>
      </c>
      <c r="DM4">
        <v>2.8400000000000002E-2</v>
      </c>
      <c r="DN4">
        <v>1.2E-2</v>
      </c>
      <c r="DO4">
        <v>0.02</v>
      </c>
      <c r="DP4">
        <v>1.44E-2</v>
      </c>
      <c r="DQ4">
        <v>3.0000000000000001E-3</v>
      </c>
      <c r="DR4">
        <v>1.15E-2</v>
      </c>
      <c r="DS4" s="42">
        <v>8.7999999999999995E-2</v>
      </c>
      <c r="DT4">
        <v>4.0599999999999997E-2</v>
      </c>
      <c r="DU4">
        <v>0.13700000000000001</v>
      </c>
      <c r="DV4">
        <v>0.35099999999999998</v>
      </c>
      <c r="DW4">
        <v>1.35E-2</v>
      </c>
      <c r="DX4">
        <v>1.23E-2</v>
      </c>
      <c r="DY4">
        <v>6.0000000000000001E-3</v>
      </c>
      <c r="DZ4">
        <v>1.95E-2</v>
      </c>
    </row>
    <row r="5" spans="1:130" x14ac:dyDescent="0.35">
      <c r="AB5" s="10"/>
      <c r="AC5" s="10"/>
      <c r="AD5" s="10"/>
      <c r="AE5" s="10"/>
      <c r="AF5" s="10"/>
      <c r="AP5" s="10"/>
      <c r="AQ5" s="9"/>
      <c r="AR5" s="10"/>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E3"/>
  <sheetViews>
    <sheetView workbookViewId="0">
      <selection activeCell="FE2" sqref="A2:FE2"/>
    </sheetView>
  </sheetViews>
  <sheetFormatPr defaultRowHeight="14.5" x14ac:dyDescent="0.35"/>
  <cols>
    <col min="18" max="18" width="17.90625" customWidth="1"/>
    <col min="143" max="143" width="8.6328125" style="43"/>
    <col min="159" max="159" width="8.6328125" style="42"/>
  </cols>
  <sheetData>
    <row r="1" spans="1:161" x14ac:dyDescent="0.35">
      <c r="A1" t="s">
        <v>99</v>
      </c>
    </row>
    <row r="2" spans="1:161" s="1" customFormat="1" ht="87" x14ac:dyDescent="0.35">
      <c r="A2" s="1" t="str">
        <f>'Formulation Name Data'!A4&amp;"_T1"</f>
        <v>Cap_TrX100_DGBE_0.3_0.2_0.5_T1</v>
      </c>
      <c r="B2" s="1" t="str">
        <f>'Formulation Name Data'!A4&amp;"_T2"</f>
        <v>Cap_TrX100_DGBE_0.3_0.2_0.5_T2</v>
      </c>
      <c r="C2" s="1" t="str">
        <f>'Formulation Name Data'!A4&amp;"_T3"</f>
        <v>Cap_TrX100_DGBE_0.3_0.2_0.5_T3</v>
      </c>
      <c r="D2" s="1" t="str">
        <f>'Formulation Name Data'!A5&amp;"_T1"</f>
        <v>TrX100_DGBE_0.5_0.5_T1</v>
      </c>
      <c r="E2" s="1" t="str">
        <f>'Formulation Name Data'!A5&amp;"_T2"</f>
        <v>TrX100_DGBE_0.5_0.5_T2</v>
      </c>
      <c r="F2" s="1" t="str">
        <f>'Formulation Name Data'!A6&amp;"_T1"</f>
        <v>Cap_DGBE_0.5_0.5_T1</v>
      </c>
      <c r="G2" s="1" t="str">
        <f>'Formulation Name Data'!A6&amp;"_T2"</f>
        <v>Cap_DGBE_0.5_0.5_T2</v>
      </c>
      <c r="H2" s="1" t="str">
        <f>'Formulation Name Data'!A6&amp;"_T3"</f>
        <v>Cap_DGBE_0.5_0.5_T3</v>
      </c>
      <c r="I2" s="1" t="str">
        <f>'Formulation Name Data'!A7&amp;"_T1"</f>
        <v>G215_DGBE_0.5_0.5_T1</v>
      </c>
      <c r="J2" s="1" t="str">
        <f>'Formulation Name Data'!A7&amp;"_T2"</f>
        <v>G215_DGBE_0.5_0.5_T2</v>
      </c>
      <c r="K2" s="1" t="str">
        <f>'Formulation Name Data'!A8&amp;"_T1"</f>
        <v>Cap_G215_DGBE_0.3_0.2_0.5_T1</v>
      </c>
      <c r="L2" s="1" t="str">
        <f>'Formulation Name Data'!A9&amp;"_T1"</f>
        <v>Cap_TrX100_DGBE_0.15_0.05_0.5_T1</v>
      </c>
      <c r="M2" s="1" t="str">
        <f>'Formulation Name Data'!A9&amp;"_T2"</f>
        <v>Cap_TrX100_DGBE_0.15_0.05_0.5_T2</v>
      </c>
      <c r="N2" s="1" t="str">
        <f>'Formulation Name Data'!A10&amp;"_T1"</f>
        <v>Buckeye 3%_3_T1</v>
      </c>
      <c r="O2" s="1" t="str">
        <f>'Formulation Name Data'!A11&amp;"_T1"</f>
        <v>RF6_6_T1</v>
      </c>
      <c r="P2" s="1" t="str">
        <f>'Formulation Name Data'!A12&amp;"_T1"</f>
        <v>SDS_1_T1</v>
      </c>
      <c r="Q2" s="1" t="str">
        <f>'Formulation Name Data'!A13&amp;"_T1"</f>
        <v>Cap_TrX100_DGBE_0.6_0.2_0.5_T1</v>
      </c>
      <c r="R2" s="1" t="str">
        <f>'Formulation Name Data'!A13&amp;"_T2"</f>
        <v>Cap_TrX100_DGBE_0.6_0.2_0.5_T2</v>
      </c>
      <c r="S2" s="1" t="str">
        <f>'Formulation Name Data'!A14&amp;"_T1"</f>
        <v>Cap_TrX100_DGBE_0.6_0.4_0.5_T1</v>
      </c>
      <c r="T2" s="1" t="str">
        <f>'Formulation Name Data'!A14&amp;"_T2"</f>
        <v>Cap_TrX100_DGBE_0.6_0.4_0.5_T2</v>
      </c>
      <c r="U2" s="1" t="str">
        <f>'Formulation Name Data'!A15&amp;"_T1"</f>
        <v>Cap_TrX100_DGBE_1.2_0.8_0.5_T1</v>
      </c>
      <c r="V2" s="1" t="str">
        <f>'Formulation Name Data'!A15&amp;"_T2"</f>
        <v>Cap_TrX100_DGBE_1.2_0.8_0.5_T2</v>
      </c>
      <c r="W2" s="1" t="str">
        <f>'Formulation Name Data'!A16&amp;"_T1"</f>
        <v>Cap_TrX100_DGBE_0.3_0.2_1_T1</v>
      </c>
      <c r="X2" s="1" t="str">
        <f>'Formulation Name Data'!A16&amp;"_T2"</f>
        <v>Cap_TrX100_DGBE_0.3_0.2_1_T2</v>
      </c>
      <c r="Y2" s="1" t="str">
        <f>'Formulation Name Data'!A17&amp;"_T1"</f>
        <v>Silsurf_G215_DGBE_0.14_0.09_0.5_T1</v>
      </c>
      <c r="Z2" s="1" t="str">
        <f>'Formulation Name Data'!A17&amp;"_T2"</f>
        <v>Silsurf_G215_DGBE_0.14_0.09_0.5_T2</v>
      </c>
      <c r="AA2" s="1" t="str">
        <f>'Formulation Name Data'!A18&amp;"_T1"</f>
        <v>Silphos_G215_DGBE_0.3_0.2_0.5_T1</v>
      </c>
      <c r="AB2" s="1" t="str">
        <f>'Formulation Name Data'!A18&amp;"_T2"</f>
        <v>Silphos_G215_DGBE_0.3_0.2_0.5_T2</v>
      </c>
      <c r="AC2" s="1" t="str">
        <f>'Formulation Name Data'!A19&amp;"_T1"</f>
        <v>TMN6_G215_DGBE_0.3_0.2_0.5_T1</v>
      </c>
      <c r="AD2" s="1" t="str">
        <f>'Formulation Name Data'!A19&amp;"_T2"</f>
        <v>TMN6_G215_DGBE_0.3_0.2_0.5_T2</v>
      </c>
      <c r="AE2" s="1" t="str">
        <f>'Formulation Name Data'!A20&amp;"_T1"</f>
        <v>T15-S-7_G215_DGBE_0.03_0.02_0.5_T1</v>
      </c>
      <c r="AF2" s="1" t="str">
        <f>'Formulation Name Data'!A20&amp;"_T2"</f>
        <v>T15-S-7_G215_DGBE_0.03_0.02_0.5_T2</v>
      </c>
      <c r="AG2" s="1" t="str">
        <f>'Formulation Name Data'!A21&amp;"_T1"</f>
        <v>TrX45_G215_DGBE_0.022_0.015_0.5_T1</v>
      </c>
      <c r="AH2" s="1" t="str">
        <f>'Formulation Name Data'!A21&amp;"_T2"</f>
        <v>TrX45_G215_DGBE_0.022_0.015_0.5_T2</v>
      </c>
      <c r="AI2" s="1" t="str">
        <f>'Formulation Name Data'!A22&amp;"_T1"</f>
        <v>TrX114_G215_DGBE_0.04_0.027_0.5_T1</v>
      </c>
      <c r="AJ2" s="1" t="str">
        <f>'Formulation Name Data'!A22&amp;"_T2"</f>
        <v>TrX114_G215_DGBE_0.04_0.027_0.5_T2</v>
      </c>
      <c r="AK2" s="1" t="str">
        <f>'Formulation Name Data'!A23&amp;"_T1"</f>
        <v>LinSucSulf_G215_DGBE_0.24_0.16_0.5_T1</v>
      </c>
      <c r="AL2" s="1" t="str">
        <f>'Formulation Name Data'!A23&amp;"_T2"</f>
        <v>LinSucSulf_G215_DGBE_0.24_0.16_0.5_T2</v>
      </c>
      <c r="AM2" s="1" t="str">
        <f>'Formulation Name Data'!A24&amp;"_T1"</f>
        <v>T4_G215_DGBE_0.56_0.37_0.5_T1</v>
      </c>
      <c r="AN2" s="1" t="str">
        <f>'Formulation Name Data'!A24&amp;"_T2"</f>
        <v>T4_G215_DGBE_0.56_0.37_0.5_T2</v>
      </c>
      <c r="AO2" s="1" t="str">
        <f>'Formulation Name Data'!A25&amp;"_T1"</f>
        <v>TrCG-425_G215_DGBE_0.13_0.09_0.5_T1</v>
      </c>
      <c r="AP2" s="1" t="str">
        <f>'Formulation Name Data'!A25&amp;"_T2"</f>
        <v>TrCG-425_G215_DGBE_0.13_0.09_0.5_T2</v>
      </c>
      <c r="AQ2" s="1" t="str">
        <f>'Formulation Name Data'!A26&amp;"_T1"</f>
        <v>AlfSodSalt_G215_DGBE_0.56_0.37_0.5_T1</v>
      </c>
      <c r="AR2" s="1" t="str">
        <f>'Formulation Name Data'!A26&amp;"_T2"</f>
        <v>AlfSodSalt_G215_DGBE_0.56_0.37_0.5_T2</v>
      </c>
      <c r="AS2" s="1" t="str">
        <f>'Formulation Name Data'!A27&amp;"_T1"</f>
        <v>AlphaFoam_G215_DGBE_0.52_0.35_0.5_T1</v>
      </c>
      <c r="AT2" s="1" t="str">
        <f>'Formulation Name Data'!A27&amp;"_T2"</f>
        <v>AlphaFoam_G215_DGBE_0.52_0.35_0.5_T2</v>
      </c>
      <c r="AU2" s="1" t="str">
        <f>'Formulation Name Data'!A28&amp;"_T1"</f>
        <v>Mys_G215_DGBE_0.068_0.045_0.5_T1</v>
      </c>
      <c r="AV2" s="1" t="str">
        <f>'Formulation Name Data'!A28&amp;"_T2"</f>
        <v>Mys_G215_DGBE_0.068_0.045_0.5_T2</v>
      </c>
      <c r="AW2" s="1" t="str">
        <f>'Formulation Name Data'!A29&amp;"_T1"</f>
        <v>D5575_G215_DGBE_0.3_0.2_0.5_T1</v>
      </c>
      <c r="AX2" s="1" t="str">
        <f>'Formulation Name Data'!A29&amp;"_T2"</f>
        <v>D5575_G215_DGBE_0.3_0.2_0.5_T2</v>
      </c>
      <c r="AY2" s="1" t="str">
        <f>'Formulation Name Data'!A30&amp;"_T1"</f>
        <v>D5244_G215_DGBE_0.3_0.2_0.5_T1</v>
      </c>
      <c r="AZ2" s="1" t="str">
        <f>'Formulation Name Data'!A30&amp;"_T2"</f>
        <v>D5244_G215_DGBE_0.3_0.2_0.5_T2</v>
      </c>
      <c r="BA2" s="1" t="str">
        <f>'Formulation Name Data'!A31&amp;"_T1"</f>
        <v>D193_G215_DGBE_0.12_0.08_0.5_T1</v>
      </c>
      <c r="BB2" s="1" t="str">
        <f>'Formulation Name Data'!A31&amp;"_T2"</f>
        <v>D193_G215_DGBE_0.12_0.08_0.5_T2</v>
      </c>
      <c r="BC2" s="1" t="str">
        <f>'Formulation Name Data'!A31&amp;"_T3"</f>
        <v>D193_G215_DGBE_0.12_0.08_0.5_T3</v>
      </c>
      <c r="BD2" s="1" t="str">
        <f>'Formulation Name Data'!A32&amp;"_T1"</f>
        <v>D501W_G215_DGBE_0.04_0.027_0.5_T1</v>
      </c>
      <c r="BE2" s="1" t="str">
        <f>'Formulation Name Data'!A32&amp;"_T2"</f>
        <v>D501W_G215_DGBE_0.04_0.027_0.5_T2</v>
      </c>
      <c r="BF2" s="1" t="str">
        <f>'Formulation Name Data'!A33&amp;"_T1"</f>
        <v>D502W_G215_DGBE_0.075_0.05_0.5_T1</v>
      </c>
      <c r="BG2" s="1" t="str">
        <f>'Formulation Name Data'!A33&amp;"_T2"</f>
        <v>D502W_G215_DGBE_0.075_0.05_0.5_T2</v>
      </c>
      <c r="BH2" s="1" t="str">
        <f>'Formulation Name Data'!A34&amp;"_T1"</f>
        <v>D5098_G215_DGBE_0.14_0.09_0.5_T1</v>
      </c>
      <c r="BI2" s="1" t="str">
        <f>'Formulation Name Data'!A34&amp;"_T2"</f>
        <v>D5098_G215_DGBE_0.14_0.09_0.5_T2</v>
      </c>
      <c r="BJ2" s="1" t="str">
        <f>'Formulation Name Data'!A35&amp;"_T1"</f>
        <v>L77_G215_DGBE_0.11_0.08_0.5_T1</v>
      </c>
      <c r="BK2" s="1" t="str">
        <f>'Formulation Name Data'!A35&amp;"_T2"</f>
        <v>L77_G215_DGBE_0.11_0.08_0.5_T2</v>
      </c>
      <c r="BL2" s="1" t="str">
        <f>'Formulation Name Data'!A36&amp;"_T1"</f>
        <v>D67_G215_DGBE_0.06_0.04_0.5_T1</v>
      </c>
      <c r="BM2" s="1" t="str">
        <f>'Formulation Name Data'!A36&amp;"_T2"</f>
        <v>D67_G215_DGBE_0.06_0.04_0.5_T2</v>
      </c>
      <c r="BN2" s="1" t="str">
        <f>'Formulation Name Data'!A37&amp;"_T1"</f>
        <v>D502W_G225_DGBE_0.2_0.3_0.5_T1</v>
      </c>
      <c r="BO2" s="1" t="str">
        <f>'Formulation Name Data'!A38&amp;"_T1"</f>
        <v>D502W_G225_0.2_0.3_T1</v>
      </c>
      <c r="BP2" s="1" t="str">
        <f>'Formulation Name Data'!A38&amp;"_T2"</f>
        <v>D502W_G225_0.2_0.3_T2</v>
      </c>
      <c r="BQ2" s="1" t="str">
        <f>'Formulation Name Data'!A39&amp;"_T1"</f>
        <v>NRL_N10358-176_G225_DGBE_0.2_0.3_0.5_T1</v>
      </c>
      <c r="BR2" s="1" t="str">
        <f>'Formulation Name Data'!A40&amp;"_T1"</f>
        <v>NRL_N10358-174_G225_DGBE_0.2_0.3_0.5_T1</v>
      </c>
      <c r="BS2" s="1" t="str">
        <f>'Formulation Name Data'!A41&amp;"_T1"</f>
        <v>G225_0.5_T1</v>
      </c>
      <c r="BT2" s="1" t="str">
        <f>'Formulation Name Data'!A41&amp;"_T2"</f>
        <v>G225_0.5_T2</v>
      </c>
      <c r="BU2" s="1" t="str">
        <f>'Formulation Name Data'!A42&amp;"_T1"</f>
        <v>D501W_0.5_T1</v>
      </c>
      <c r="BV2" s="1" t="str">
        <f>'Formulation Name Data'!A42&amp;"_T2"</f>
        <v>D501W_0.5_T2</v>
      </c>
      <c r="BW2" s="1" t="str">
        <f>'Formulation Name Data'!A43&amp;"_T1"</f>
        <v>D67_0.5_T1</v>
      </c>
      <c r="BX2" s="1" t="str">
        <f>'Formulation Name Data'!A43&amp;"_T2"</f>
        <v>D67_0.5_T2</v>
      </c>
      <c r="BY2" s="1" t="str">
        <f>'Formulation Name Data'!A44&amp;"_T1"</f>
        <v>Cap_0.5_T1</v>
      </c>
      <c r="BZ2" s="1" t="str">
        <f>'Formulation Name Data'!A44&amp;"_T2"</f>
        <v>Cap_0.5_T2</v>
      </c>
      <c r="CA2" s="12" t="str">
        <f>'Formulation Name Data'!A45&amp;"_T1"</f>
        <v>Gel6185_G215_DGBE_0.06_0.04_0.5_T1</v>
      </c>
      <c r="CB2" s="1" t="str">
        <f>'Formulation Name Data'!A45&amp;"_T2"</f>
        <v>Gel6185_G215_DGBE_0.06_0.04_0.5_T2</v>
      </c>
      <c r="CC2" s="1" t="str">
        <f>'Formulation Name Data'!A46&amp;"_T1"</f>
        <v>ComSor181360_G225_DGBE_0.2_0.3_0.5_T1</v>
      </c>
      <c r="CD2" s="1" t="str">
        <f>'Formulation Name Data'!A46&amp;"_T2"</f>
        <v>ComSor181360_G225_DGBE_0.2_0.3_0.5_T2</v>
      </c>
      <c r="CE2" s="1" t="str">
        <f>'Formulation Name Data'!A46&amp;"_T3"</f>
        <v>ComSor181360_G225_DGBE_0.2_0.3_0.5_T3</v>
      </c>
      <c r="CF2" s="1" t="str">
        <f>'Formulation Name Data'!A47&amp;"_T1"</f>
        <v>ComSor181360_DGBE_0.5_0.5_T1</v>
      </c>
      <c r="CG2" s="1" t="str">
        <f>'Formulation Name Data'!A47&amp;"_T2"</f>
        <v>ComSor181360_DGBE_0.5_0.5_T2</v>
      </c>
      <c r="CH2" s="1" t="str">
        <f>'Formulation Name Data'!A48&amp;"_T1"</f>
        <v>D502W_C8G2_DGBE_0.2_0.19_0.5_T1</v>
      </c>
      <c r="CI2" s="1" t="str">
        <f>'Formulation Name Data'!A48&amp;"_T2"</f>
        <v>D502W_C8G2_DGBE_0.2_0.19_0.5_T2</v>
      </c>
      <c r="CJ2" s="1" t="str">
        <f>'Formulation Name Data'!A49&amp;"_T1"</f>
        <v>D502W_C10G2_DGBE_0.2_0.19_0.5_T1</v>
      </c>
      <c r="CK2" s="1" t="str">
        <f>'Formulation Name Data'!A49&amp;"_T2"</f>
        <v>D502W_C10G2_DGBE_0.2_0.19_0.5_T2</v>
      </c>
      <c r="CL2" s="1" t="str">
        <f>'Formulation Name Data'!A50&amp;"_T1"</f>
        <v>D502W_C12G2_DGBE_0.2_0.19_0.5_T1</v>
      </c>
      <c r="CM2" s="1" t="str">
        <f>'Formulation Name Data'!A50&amp;"_T2"</f>
        <v>D502W_C12G2_DGBE_0.2_0.19_0.5_T2</v>
      </c>
      <c r="CN2" s="1" t="str">
        <f>'Formulation Name Data'!A51&amp;"_T1"</f>
        <v>D502W_C8G1_DGBE_0.2_0.19_0.5_T1</v>
      </c>
      <c r="CO2" s="1" t="str">
        <f>'Formulation Name Data'!A51&amp;"_T2"</f>
        <v>D502W_C8G1_DGBE_0.2_0.19_0.5_T2</v>
      </c>
      <c r="CP2" s="1" t="str">
        <f>'Formulation Name Data'!A52&amp;"_T1"</f>
        <v>L77_0.5_T1</v>
      </c>
      <c r="CQ2" s="1" t="str">
        <f>'Formulation Name Data'!A52&amp;"_T2"</f>
        <v>L77_0.5_T2</v>
      </c>
      <c r="CR2" s="1" t="str">
        <f>'Formulation Name Data'!A53&amp;"_T1"</f>
        <v>Gel6185_0.5_T1</v>
      </c>
      <c r="CS2" s="1" t="str">
        <f>'Formulation Name Data'!A53&amp;"_T2"</f>
        <v>Gel6185_0.5_T2</v>
      </c>
      <c r="CT2" s="1" t="str">
        <f>'Formulation Name Data'!A54&amp;"_T1"</f>
        <v>D502W_0.5_T1</v>
      </c>
      <c r="CU2" s="1" t="str">
        <f>'Formulation Name Data'!A54&amp;"_T2"</f>
        <v>D502W_0.5_T2</v>
      </c>
      <c r="CV2" s="1" t="str">
        <f>'Formulation Name Data'!A55&amp;"_T1"</f>
        <v>D193_0.5_T1</v>
      </c>
      <c r="CW2" s="1" t="str">
        <f>'Formulation Name Data'!A55&amp;"_T2"</f>
        <v>D193_0.5_T2</v>
      </c>
      <c r="CX2" s="1" t="str">
        <f>'Formulation Name Data'!A56&amp;"_T1"</f>
        <v>G215_0.5_T1</v>
      </c>
      <c r="CY2" s="1" t="str">
        <f>'Formulation Name Data'!A56&amp;"_T2"</f>
        <v>G215_0.5_T2</v>
      </c>
      <c r="CZ2" s="1" t="str">
        <f>'Formulation Name Data'!A57&amp;"_T1"</f>
        <v>ComSor_EXP-20-C10628-A_T1</v>
      </c>
      <c r="DA2" s="1" t="str">
        <f>'Formulation Name Data'!A57&amp;"_T2"</f>
        <v>ComSor_EXP-20-C10628-A_T2</v>
      </c>
      <c r="DB2" s="1" t="str">
        <f>'Formulation Name Data'!A58&amp;"_T1"</f>
        <v>ComSor_EXP-20-C10628-B_T1</v>
      </c>
      <c r="DC2" s="1" t="str">
        <f>'Formulation Name Data'!A58&amp;"_T2"</f>
        <v>ComSor_EXP-20-C10628-B_T2</v>
      </c>
      <c r="DD2" s="1" t="str">
        <f>'Formulation Name Data'!A59&amp;"_T1"</f>
        <v>ComSor_EXP-20-C10628-C_T1</v>
      </c>
      <c r="DE2" s="1" t="str">
        <f>'Formulation Name Data'!A59&amp;"_T2"</f>
        <v>ComSor_EXP-20-C10628-C_T2</v>
      </c>
      <c r="DF2" s="1" t="str">
        <f>'Formulation Name Data'!A60&amp;"_T1"</f>
        <v>ComSor_EXP-20-C10628-D_T1</v>
      </c>
      <c r="DG2" s="1" t="str">
        <f>'Formulation Name Data'!A60&amp;"_T2"</f>
        <v>ComSor_EXP-20-C10628-D_T2</v>
      </c>
      <c r="DH2" s="1" t="str">
        <f>'Formulation Name Data'!A60&amp;"_T3"</f>
        <v>ComSor_EXP-20-C10628-D_T3</v>
      </c>
      <c r="DI2" s="1" t="str">
        <f>'Formulation Name Data'!A61&amp;"_T1"</f>
        <v>ComSor_EXP-20-C10628-E_T1</v>
      </c>
      <c r="DJ2" s="1" t="str">
        <f>'Formulation Name Data'!A61&amp;"_T2"</f>
        <v>ComSor_EXP-20-C10628-E_T2</v>
      </c>
      <c r="DK2" s="1" t="str">
        <f>'Formulation Name Data'!A61&amp;"_T3"</f>
        <v>ComSor_EXP-20-C10628-E_T3</v>
      </c>
      <c r="DL2" s="1" t="str">
        <f>'Formulation Name Data'!A62&amp;"_T1"</f>
        <v>ComSor_EXP-21-2_T1</v>
      </c>
      <c r="DM2" s="1" t="str">
        <f>'Formulation Name Data'!A63&amp;"_T1"</f>
        <v>ComSor_EXP-21-1_T1</v>
      </c>
      <c r="DN2" s="1" t="str">
        <f>'Formulation Name Data'!A64&amp;"_T1"</f>
        <v>Avio®F3 Green KHC_T1</v>
      </c>
      <c r="DO2" s="1" t="str">
        <f>'Formulation Name Data'!A64&amp;"_T2"</f>
        <v>Avio®F3 Green KHC_T2</v>
      </c>
      <c r="DP2" s="1" t="str">
        <f>'Formulation Name Data'!A64&amp;"_T3"</f>
        <v>Avio®F3 Green KHC_T3</v>
      </c>
      <c r="DQ2" s="1" t="str">
        <f>'Formulation Name Data'!A65&amp;"_T1"</f>
        <v>JetFoam 3%_T1</v>
      </c>
      <c r="DR2" s="1" t="str">
        <f>'Formulation Name Data'!A65&amp;"_T2"</f>
        <v>JetFoam 3%_T2</v>
      </c>
      <c r="DS2" s="1" t="str">
        <f>'Formulation Name Data'!A65&amp;"_T3"</f>
        <v>JetFoam 3%_T3</v>
      </c>
      <c r="DT2" s="1" t="str">
        <f>'Formulation Name Data'!A66&amp;"_T1"</f>
        <v>Solberg® Rehealing RF3 3%_T1</v>
      </c>
      <c r="DU2" s="1" t="str">
        <f>'Formulation Name Data'!A66&amp;"_T2"</f>
        <v>Solberg® Rehealing RF3 3%_T2</v>
      </c>
      <c r="DV2" s="1" t="str">
        <f>'Formulation Name Data'!A67&amp;"_T1"</f>
        <v>FomtecEnviroUSP 3%_T1</v>
      </c>
      <c r="DW2" s="1" t="str">
        <f>'Formulation Name Data'!A67&amp;"_T2"</f>
        <v>FomtecEnviroUSP 3%_T2</v>
      </c>
      <c r="DX2" s="1" t="str">
        <f>'Formulation Name Data'!A68&amp;"_T1"</f>
        <v>ComSor_EXP-21-3_T1</v>
      </c>
      <c r="DY2" s="1" t="str">
        <f>'Formulation Name Data'!A69&amp;"_T1"</f>
        <v>ComSor_EXP-21-5_T1</v>
      </c>
      <c r="DZ2" s="1" t="str">
        <f>'Formulation Name Data'!A70&amp;"_T1"</f>
        <v>ComSor_EXP-21-6_T1</v>
      </c>
      <c r="EA2" s="1" t="str">
        <f>'Formulation Name Data'!A71&amp;"_T1"</f>
        <v>ComSor_EXP-21-7_T1</v>
      </c>
      <c r="EB2" s="1" t="str">
        <f>'Formulation Name Data'!A72&amp;"_T1"</f>
        <v>D502W_DGBE_0.1_0.5_T1</v>
      </c>
      <c r="EC2" s="1" t="str">
        <f>'Formulation Name Data'!A73&amp;"_T1"</f>
        <v>Cap_0.225_T1</v>
      </c>
      <c r="ED2" s="1" t="str">
        <f>'Formulation Name Data'!A74&amp;"_T1"</f>
        <v>Cap_DGBE_0.225_0.5_T1</v>
      </c>
      <c r="EE2" s="1" t="str">
        <f>'Formulation Name Data'!A75&amp;"_T1"</f>
        <v>D193_G215_DGBE_0.3_0.2_0.5_T1</v>
      </c>
      <c r="EF2" s="1" t="str">
        <f>'Formulation Name Data'!A99&amp;"_T1"</f>
        <v>ComSor_26990-95B_T1</v>
      </c>
      <c r="EG2" s="1" t="str">
        <f>'Formulation Name Data'!A137&amp;"_T1"</f>
        <v>Gel6185_G215_DGBE_1.8_1.2_0.5_T1</v>
      </c>
      <c r="EH2" s="1" t="str">
        <f>'Formulation Name Data'!A138&amp;"_T1"</f>
        <v>CL_MD2086-97_G225_DGBE_0.34_0.56_0.5_T1</v>
      </c>
      <c r="EI2" s="1" t="str">
        <f>'Formulation Name Data'!A139&amp;"_T1"</f>
        <v>CL_MD2086-97_0.5_T1</v>
      </c>
      <c r="EJ2" s="1" t="str">
        <f>'Formulation Name Data'!A113&amp;"_T1"</f>
        <v>D502W_DGBE_0.5_0.5_T1</v>
      </c>
      <c r="EK2" s="1" t="str">
        <f>'Formulation Name Data'!A154&amp;"_T1"</f>
        <v>CL_MD2012-16_G225_DGBE_0.52_0.78_0.5_T1</v>
      </c>
      <c r="EL2" s="1" t="str">
        <f>'Formulation Name Data'!A155&amp;"_T1"</f>
        <v>NRL_N10478-198_G225_DGBE_0.065_0.3_0.5_T1</v>
      </c>
      <c r="EM2" s="12" t="str">
        <f>'Formulation Name Data'!A158&amp;"_T1"</f>
        <v>CL_MD2102-54_G225_DGBE_0.2_0.3_0.5_T1</v>
      </c>
      <c r="EN2" s="1" t="str">
        <f>'Formulation Name Data'!A182&amp;"_T1"</f>
        <v>NRL_LBII43_G225_DGBE_0.2_0.3_0.5_T1</v>
      </c>
      <c r="EO2" s="1" t="str">
        <f>'Formulation Name Data'!A183&amp;"_T1"</f>
        <v>NRL_CB_DTBTS_SB_G225_DGBE_0.02_0.3_0.5_T1</v>
      </c>
      <c r="EP2" s="1" t="str">
        <f>'Formulation Name Data'!A184&amp;"_T1"</f>
        <v>NRL_CB-1-123_G225_DGBE_0.2_0.3_0.5_T1</v>
      </c>
      <c r="EQ2" s="1" t="str">
        <f>'Formulation Name Data'!A185&amp;"_T1"</f>
        <v>NRL_N10478-227_G225_DGBE_0.063_0.3_0.5_T1</v>
      </c>
      <c r="ER2" s="1" t="str">
        <f>'Formulation Name Data'!A186&amp;"_T1"</f>
        <v>NRL_N10478-233_G225_DGBE_0.03_0.3_0.5_T1</v>
      </c>
      <c r="ES2" s="1" t="str">
        <f>'Formulation Name Data'!A187&amp;"_T1"</f>
        <v>NRL_N10478-240_G225_DGBE_#_0.3_0.5_T1</v>
      </c>
      <c r="ET2" s="1" t="str">
        <f>'Formulation Name Data'!A188&amp;"_T1"</f>
        <v>CL_MD2102-90_G225_DGBE_0.2_0.3_0.5_T1</v>
      </c>
      <c r="EU2" s="1" t="str">
        <f>'Formulation Name Data'!A191&amp;"_T1"</f>
        <v>ComSor_EXP-21-CH1070-1_3_T1</v>
      </c>
      <c r="EV2" s="1" t="str">
        <f>'Formulation Name Data'!A189&amp;"_T1"</f>
        <v>CL_MD2102-112_G225_DGBE_0.05_0.3_0.5_T1</v>
      </c>
      <c r="EW2" s="1" t="str">
        <f>'Formulation Name Data'!A190&amp;"_T1"</f>
        <v>CL_MD2102-118_G225_DGBE_0.2_0.3_0.5_T1</v>
      </c>
      <c r="EX2" s="1" t="str">
        <f>'Formulation Name Data'!A192&amp;"_T1"</f>
        <v>ComSor_EXP-21-CH1070-2_3_T1</v>
      </c>
      <c r="EY2" s="1" t="str">
        <f>'Formulation Name Data'!A193&amp;"_T1"</f>
        <v>ComSor_EXP-21-CH1070-4_1_T1</v>
      </c>
      <c r="EZ2" s="1" t="str">
        <f>'Formulation Name Data'!A179&amp;"_T1"</f>
        <v>CL_MD2062-124_G225_DGBE_0.065_0.3_0.5_T1</v>
      </c>
      <c r="FA2" s="1" t="str">
        <f>'Formulation Name Data'!A156&amp;"_T1"</f>
        <v>NRL_N10477-189_G225_DGBE_0.05_0.3_0.5_T1</v>
      </c>
      <c r="FB2" s="1" t="str">
        <f>'Formulation Name Data'!A157&amp;"_T1"</f>
        <v>NRL_N10478-81_G225_DGBE_0.116_0.3_0.5_T1</v>
      </c>
      <c r="FC2" s="1" t="str">
        <f>'Formulation Name Data'!A157&amp;"_T2"</f>
        <v>NRL_N10478-81_G225_DGBE_0.116_0.3_0.5_T2</v>
      </c>
      <c r="FD2" s="1" t="str">
        <f>'Formulation Name Data'!A198&amp;"_T1"</f>
        <v>CL_MD2102-90_0.5_T1</v>
      </c>
      <c r="FE2" s="1" t="str">
        <f>'Formulation Name Data'!A197&amp;"_T1"</f>
        <v>NRL_CB-1-192_G225_DGBE_0.14_0.21_0.5_T1</v>
      </c>
    </row>
    <row r="3" spans="1:161" x14ac:dyDescent="0.35">
      <c r="A3">
        <v>16.939</v>
      </c>
      <c r="B3">
        <v>16.667000000000002</v>
      </c>
      <c r="C3">
        <v>16.45</v>
      </c>
      <c r="D3">
        <v>31.149000000000001</v>
      </c>
      <c r="E3">
        <v>31.155000000000001</v>
      </c>
      <c r="F3">
        <v>15.206</v>
      </c>
      <c r="G3">
        <v>15.393000000000001</v>
      </c>
      <c r="H3">
        <v>16.190000000000001</v>
      </c>
      <c r="I3">
        <v>27.626000000000001</v>
      </c>
      <c r="J3">
        <v>27.98</v>
      </c>
      <c r="K3">
        <v>16.7</v>
      </c>
      <c r="L3">
        <v>16.38</v>
      </c>
      <c r="M3">
        <v>16.23</v>
      </c>
      <c r="N3">
        <v>16.399999999999999</v>
      </c>
      <c r="O3">
        <v>26.4</v>
      </c>
      <c r="P3">
        <v>37.6</v>
      </c>
      <c r="Q3">
        <v>16.736999999999998</v>
      </c>
      <c r="R3">
        <v>16.786999999999999</v>
      </c>
      <c r="S3">
        <v>16.460999999999999</v>
      </c>
      <c r="T3">
        <v>16.641999999999999</v>
      </c>
      <c r="U3">
        <v>16.395</v>
      </c>
      <c r="V3">
        <v>16.463999999999999</v>
      </c>
      <c r="W3">
        <v>16.408000000000001</v>
      </c>
      <c r="X3">
        <v>16.385000000000002</v>
      </c>
      <c r="Y3">
        <v>30.95</v>
      </c>
      <c r="Z3">
        <v>31.683</v>
      </c>
      <c r="AA3">
        <v>27.818999999999999</v>
      </c>
      <c r="AB3">
        <v>27.873999999999999</v>
      </c>
      <c r="AC3">
        <v>25.541</v>
      </c>
      <c r="AD3">
        <v>25.128</v>
      </c>
      <c r="AE3">
        <v>28.009</v>
      </c>
      <c r="AF3">
        <v>27.951000000000001</v>
      </c>
      <c r="AG3">
        <v>27.009</v>
      </c>
      <c r="AH3">
        <v>27.428999999999998</v>
      </c>
      <c r="AI3">
        <v>28.620999999999999</v>
      </c>
      <c r="AJ3">
        <v>28.823</v>
      </c>
      <c r="AK3">
        <v>26.849</v>
      </c>
      <c r="AL3">
        <v>26.428999999999998</v>
      </c>
      <c r="AM3">
        <v>28.303999999999998</v>
      </c>
      <c r="AN3">
        <v>28.241</v>
      </c>
      <c r="AO3">
        <v>28.218</v>
      </c>
      <c r="AP3">
        <v>28.265000000000001</v>
      </c>
      <c r="AQ3">
        <v>27.356000000000002</v>
      </c>
      <c r="AR3">
        <v>27.693000000000001</v>
      </c>
      <c r="AS3">
        <v>29.288</v>
      </c>
      <c r="AT3">
        <v>29.504000000000001</v>
      </c>
      <c r="AU3">
        <v>31.914000000000001</v>
      </c>
      <c r="AV3">
        <v>31.82</v>
      </c>
      <c r="AW3">
        <v>31.559000000000001</v>
      </c>
      <c r="AX3">
        <v>31.954000000000001</v>
      </c>
      <c r="AY3">
        <v>32.908000000000001</v>
      </c>
      <c r="AZ3">
        <v>33.667000000000002</v>
      </c>
      <c r="BA3">
        <v>28.870999999999999</v>
      </c>
      <c r="BB3">
        <v>29.332999999999998</v>
      </c>
      <c r="BC3">
        <v>28.484000000000002</v>
      </c>
      <c r="BD3">
        <v>19.98</v>
      </c>
      <c r="BE3">
        <v>19.748999999999999</v>
      </c>
      <c r="BF3">
        <v>21.204000000000001</v>
      </c>
      <c r="BG3">
        <v>21.506</v>
      </c>
      <c r="BH3">
        <v>28.152000000000001</v>
      </c>
      <c r="BI3">
        <v>28.901</v>
      </c>
      <c r="BJ3">
        <v>19.658999999999999</v>
      </c>
      <c r="BK3">
        <v>19.716000000000001</v>
      </c>
      <c r="BL3">
        <v>20.292999999999999</v>
      </c>
      <c r="BM3">
        <v>19.893000000000001</v>
      </c>
      <c r="BN3">
        <v>22.449000000000002</v>
      </c>
      <c r="BO3">
        <v>22.038</v>
      </c>
      <c r="BP3">
        <v>22.085000000000001</v>
      </c>
      <c r="BQ3">
        <v>21.405999999999999</v>
      </c>
      <c r="BR3">
        <v>25.559000000000001</v>
      </c>
      <c r="BS3">
        <v>27.613</v>
      </c>
      <c r="BT3">
        <v>27.969000000000001</v>
      </c>
      <c r="BU3">
        <f>19.819</f>
        <v>19.818999999999999</v>
      </c>
      <c r="BV3">
        <v>19.643000000000001</v>
      </c>
      <c r="BW3">
        <v>19.812999999999999</v>
      </c>
      <c r="BX3">
        <v>19.734000000000002</v>
      </c>
      <c r="BY3">
        <v>15.7</v>
      </c>
      <c r="BZ3">
        <v>15.965999999999999</v>
      </c>
      <c r="CA3">
        <v>19.39</v>
      </c>
      <c r="CB3">
        <v>19.466999999999999</v>
      </c>
      <c r="CC3">
        <v>20.207000000000001</v>
      </c>
      <c r="CD3">
        <v>20.248999999999999</v>
      </c>
      <c r="CE3">
        <v>20.113</v>
      </c>
      <c r="CF3">
        <v>19.131</v>
      </c>
      <c r="CG3">
        <v>19.306999999999999</v>
      </c>
      <c r="CH3">
        <v>21.821000000000002</v>
      </c>
      <c r="CI3">
        <v>21.544</v>
      </c>
      <c r="CJ3">
        <v>23.838000000000001</v>
      </c>
      <c r="CK3">
        <v>23.856999999999999</v>
      </c>
      <c r="CL3">
        <v>23.858000000000001</v>
      </c>
      <c r="CM3">
        <v>24.344000000000001</v>
      </c>
      <c r="CN3">
        <v>21.497</v>
      </c>
      <c r="CO3">
        <v>21.571999999999999</v>
      </c>
      <c r="CP3">
        <v>19.317</v>
      </c>
      <c r="CQ3">
        <v>19.606000000000002</v>
      </c>
      <c r="CR3">
        <v>19.385000000000002</v>
      </c>
      <c r="CS3">
        <v>19.288</v>
      </c>
      <c r="CT3">
        <v>20.591999999999999</v>
      </c>
      <c r="CU3">
        <v>20.411999999999999</v>
      </c>
      <c r="CV3">
        <v>28.731999999999999</v>
      </c>
      <c r="CW3">
        <v>28.920999999999999</v>
      </c>
      <c r="CX3">
        <v>27.094999999999999</v>
      </c>
      <c r="CY3">
        <v>26.835000000000001</v>
      </c>
      <c r="CZ3">
        <v>18.648</v>
      </c>
      <c r="DA3">
        <v>18.606999999999999</v>
      </c>
      <c r="DB3">
        <v>19.670999999999999</v>
      </c>
      <c r="DC3">
        <v>19.914999999999999</v>
      </c>
      <c r="DD3">
        <v>19.099</v>
      </c>
      <c r="DE3">
        <v>19.199000000000002</v>
      </c>
      <c r="DF3">
        <v>29.308</v>
      </c>
      <c r="DG3">
        <v>29.285</v>
      </c>
      <c r="DH3">
        <v>29.463999999999999</v>
      </c>
      <c r="DI3">
        <v>27.001999999999999</v>
      </c>
      <c r="DJ3">
        <v>27.096</v>
      </c>
      <c r="DK3">
        <v>27.157</v>
      </c>
      <c r="DL3">
        <v>20.151</v>
      </c>
      <c r="DM3">
        <v>19.832000000000001</v>
      </c>
      <c r="DN3">
        <v>24.02</v>
      </c>
      <c r="DO3">
        <v>23.681999999999999</v>
      </c>
      <c r="DP3">
        <v>24.13</v>
      </c>
      <c r="DQ3">
        <v>24.06</v>
      </c>
      <c r="DR3">
        <v>24.256</v>
      </c>
      <c r="DS3">
        <v>23.951000000000001</v>
      </c>
      <c r="DT3" s="11">
        <v>25.626000000000001</v>
      </c>
      <c r="DU3" s="11">
        <v>25.274999999999999</v>
      </c>
      <c r="DV3" s="11">
        <v>23.317</v>
      </c>
      <c r="DW3" s="11">
        <v>23.396000000000001</v>
      </c>
      <c r="DX3">
        <v>21.152000000000001</v>
      </c>
      <c r="DY3">
        <v>20.231000000000002</v>
      </c>
      <c r="DZ3">
        <v>20.765999999999998</v>
      </c>
      <c r="EA3">
        <v>20.98</v>
      </c>
      <c r="EB3">
        <v>21.1</v>
      </c>
      <c r="EC3">
        <v>15.4</v>
      </c>
      <c r="ED3">
        <v>15.5</v>
      </c>
      <c r="EE3">
        <v>28.9</v>
      </c>
      <c r="EF3">
        <v>19.260999999999999</v>
      </c>
      <c r="EG3">
        <v>20.081</v>
      </c>
      <c r="EH3">
        <v>20.29</v>
      </c>
      <c r="EI3">
        <v>20.21</v>
      </c>
      <c r="EJ3">
        <v>21.170999999999999</v>
      </c>
      <c r="EK3">
        <v>25.9</v>
      </c>
      <c r="EL3">
        <v>21.222000000000001</v>
      </c>
      <c r="EM3" s="43">
        <v>21.997</v>
      </c>
      <c r="EN3">
        <v>22.044</v>
      </c>
      <c r="EO3">
        <v>23.934999999999999</v>
      </c>
      <c r="EP3">
        <v>22.763999999999999</v>
      </c>
      <c r="EQ3">
        <v>20.547000000000001</v>
      </c>
      <c r="ER3" s="42">
        <v>22.206</v>
      </c>
      <c r="ES3" s="42">
        <v>20.43</v>
      </c>
      <c r="ET3" s="42">
        <v>26.524000000000001</v>
      </c>
      <c r="EU3">
        <v>20.189</v>
      </c>
      <c r="EV3">
        <v>21.167000000000002</v>
      </c>
      <c r="EW3">
        <v>20.417000000000002</v>
      </c>
      <c r="EX3">
        <v>21.041</v>
      </c>
      <c r="EY3">
        <v>21.1</v>
      </c>
      <c r="EZ3">
        <v>21.469000000000001</v>
      </c>
      <c r="FA3">
        <v>24.998999999999999</v>
      </c>
      <c r="FB3">
        <v>24.312999999999999</v>
      </c>
      <c r="FC3" s="42">
        <v>23.492000000000001</v>
      </c>
      <c r="FD3">
        <v>28.725000000000001</v>
      </c>
      <c r="FE3">
        <v>27.431000000000001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K7"/>
  <sheetViews>
    <sheetView workbookViewId="0">
      <selection activeCell="N18" sqref="N18"/>
    </sheetView>
  </sheetViews>
  <sheetFormatPr defaultRowHeight="14.5" x14ac:dyDescent="0.35"/>
  <cols>
    <col min="60" max="60" width="8.6328125" style="43"/>
    <col min="71" max="71" width="8.6328125" style="43"/>
  </cols>
  <sheetData>
    <row r="1" spans="1:89" x14ac:dyDescent="0.35">
      <c r="A1" t="s">
        <v>514</v>
      </c>
    </row>
    <row r="2" spans="1:89" s="1" customFormat="1" x14ac:dyDescent="0.35">
      <c r="BH2" s="12"/>
      <c r="BS2" s="12"/>
    </row>
    <row r="3" spans="1:89" s="1" customFormat="1" ht="87" x14ac:dyDescent="0.35">
      <c r="A3" s="1" t="str">
        <f>'Formulation Name Data'!A4&amp;"_T1"</f>
        <v>Cap_TrX100_DGBE_0.3_0.2_0.5_T1</v>
      </c>
      <c r="B3" s="1" t="str">
        <f>'Formulation Name Data'!A5&amp;"_T1"</f>
        <v>TrX100_DGBE_0.5_0.5_T1</v>
      </c>
      <c r="C3" s="1" t="str">
        <f>'Formulation Name Data'!A6&amp;"_T1"</f>
        <v>Cap_DGBE_0.5_0.5_T1</v>
      </c>
      <c r="D3" s="1" t="str">
        <f>'Formulation Name Data'!A7&amp;"_T1"</f>
        <v>G215_DGBE_0.5_0.5_T1</v>
      </c>
      <c r="E3" s="1" t="str">
        <f>'Formulation Name Data'!A8&amp;"_T1"</f>
        <v>Cap_G215_DGBE_0.3_0.2_0.5_T1</v>
      </c>
      <c r="F3" s="1" t="str">
        <f>'Formulation Name Data'!A9&amp;"_T1"</f>
        <v>Cap_TrX100_DGBE_0.15_0.05_0.5_T1</v>
      </c>
      <c r="G3" s="1" t="str">
        <f>'Formulation Name Data'!A10&amp;"_T1"</f>
        <v>Buckeye 3%_3_T1</v>
      </c>
      <c r="H3" s="1" t="str">
        <f>'Formulation Name Data'!A11&amp;"_T1"</f>
        <v>RF6_6_T1</v>
      </c>
      <c r="I3" s="1" t="str">
        <f>'Formulation Name Data'!A12&amp;"_T1"</f>
        <v>SDS_1_T1</v>
      </c>
      <c r="J3" s="1" t="str">
        <f>'Formulation Name Data'!A17&amp;"_T1"</f>
        <v>Silsurf_G215_DGBE_0.14_0.09_0.5_T1</v>
      </c>
      <c r="K3" s="1" t="str">
        <f>'Formulation Name Data'!A18&amp;"_T1"</f>
        <v>Silphos_G215_DGBE_0.3_0.2_0.5_T1</v>
      </c>
      <c r="L3" s="1" t="str">
        <f>'Formulation Name Data'!A19&amp;"_T1"</f>
        <v>TMN6_G215_DGBE_0.3_0.2_0.5_T1</v>
      </c>
      <c r="M3" s="1" t="str">
        <f>'Formulation Name Data'!A20&amp;"_T1"</f>
        <v>T15-S-7_G215_DGBE_0.03_0.02_0.5_T1</v>
      </c>
      <c r="N3" s="1" t="str">
        <f>'Formulation Name Data'!A21&amp;"_T1"</f>
        <v>TrX45_G215_DGBE_0.022_0.015_0.5_T1</v>
      </c>
      <c r="O3" s="1" t="str">
        <f>'Formulation Name Data'!A22&amp;"_T1"</f>
        <v>TrX114_G215_DGBE_0.04_0.027_0.5_T1</v>
      </c>
      <c r="P3" s="1" t="str">
        <f>'Formulation Name Data'!A23&amp;"_T1"</f>
        <v>LinSucSulf_G215_DGBE_0.24_0.16_0.5_T1</v>
      </c>
      <c r="Q3" s="1" t="str">
        <f>'Formulation Name Data'!A24&amp;"_T1"</f>
        <v>T4_G215_DGBE_0.56_0.37_0.5_T1</v>
      </c>
      <c r="R3" s="1" t="str">
        <f>'Formulation Name Data'!A25&amp;"_T1"</f>
        <v>TrCG-425_G215_DGBE_0.13_0.09_0.5_T1</v>
      </c>
      <c r="S3" s="1" t="str">
        <f>'Formulation Name Data'!A26&amp;"_T1"</f>
        <v>AlfSodSalt_G215_DGBE_0.56_0.37_0.5_T1</v>
      </c>
      <c r="T3" s="1" t="str">
        <f>'Formulation Name Data'!A27&amp;"_T1"</f>
        <v>AlphaFoam_G215_DGBE_0.52_0.35_0.5_T1</v>
      </c>
      <c r="U3" s="1" t="str">
        <f>'Formulation Name Data'!A28&amp;"_T1"</f>
        <v>Mys_G215_DGBE_0.068_0.045_0.5_T1</v>
      </c>
      <c r="V3" s="1" t="str">
        <f>'Formulation Name Data'!A29&amp;"_T1"</f>
        <v>D5575_G215_DGBE_0.3_0.2_0.5_T1</v>
      </c>
      <c r="W3" s="1" t="str">
        <f>'Formulation Name Data'!A30&amp;"_T1"</f>
        <v>D5244_G215_DGBE_0.3_0.2_0.5_T1</v>
      </c>
      <c r="X3" s="1" t="str">
        <f>'Formulation Name Data'!A31&amp;"_T1"</f>
        <v>D193_G215_DGBE_0.12_0.08_0.5_T1</v>
      </c>
      <c r="Y3" s="1" t="str">
        <f>'Formulation Name Data'!A32&amp;"_T1"</f>
        <v>D501W_G215_DGBE_0.04_0.027_0.5_T1</v>
      </c>
      <c r="Z3" s="1" t="str">
        <f>'Formulation Name Data'!A33&amp;"_T1"</f>
        <v>D502W_G215_DGBE_0.075_0.05_0.5_T1</v>
      </c>
      <c r="AA3" s="1" t="str">
        <f>'Formulation Name Data'!A34&amp;"_T1"</f>
        <v>D5098_G215_DGBE_0.14_0.09_0.5_T1</v>
      </c>
      <c r="AB3" s="1" t="str">
        <f>'Formulation Name Data'!A35&amp;"_T1"</f>
        <v>L77_G215_DGBE_0.11_0.08_0.5_T1</v>
      </c>
      <c r="AC3" s="1" t="str">
        <f>'Formulation Name Data'!A36&amp;"_T1"</f>
        <v>D67_G215_DGBE_0.06_0.04_0.5_T1</v>
      </c>
      <c r="AD3" s="1" t="str">
        <f>'Formulation Name Data'!A37&amp;"_T1"</f>
        <v>D502W_G225_DGBE_0.2_0.3_0.5_T1</v>
      </c>
      <c r="AE3" s="1" t="str">
        <f>'Formulation Name Data'!A38&amp;"_T1"</f>
        <v>D502W_G225_0.2_0.3_T1</v>
      </c>
      <c r="AF3" s="1" t="str">
        <f>'Formulation Name Data'!A39&amp;"_T1"</f>
        <v>NRL_N10358-176_G225_DGBE_0.2_0.3_0.5_T1</v>
      </c>
      <c r="AG3" s="1" t="str">
        <f>'Formulation Name Data'!A40&amp;"_T1"</f>
        <v>NRL_N10358-174_G225_DGBE_0.2_0.3_0.5_T1</v>
      </c>
      <c r="AH3" s="1" t="str">
        <f>'Formulation Name Data'!A41&amp;"_T1"</f>
        <v>G225_0.5_T1</v>
      </c>
      <c r="AI3" s="1" t="str">
        <f>'Formulation Name Data'!A42&amp;"_T1"</f>
        <v>D501W_0.5_T1</v>
      </c>
      <c r="AJ3" s="1" t="str">
        <f>'Formulation Name Data'!A43&amp;"_T1"</f>
        <v>D67_0.5_T1</v>
      </c>
      <c r="AK3" s="1" t="str">
        <f>'Formulation Name Data'!A44&amp;"_T1"</f>
        <v>Cap_0.5_T1</v>
      </c>
      <c r="AL3" s="1" t="str">
        <f>'Formulation Name Data'!A45&amp;"_T1"</f>
        <v>Gel6185_G215_DGBE_0.06_0.04_0.5_T1</v>
      </c>
      <c r="AM3" s="1" t="str">
        <f>'Formulation Name Data'!A46&amp;"_T1"</f>
        <v>ComSor181360_G225_DGBE_0.2_0.3_0.5_T1</v>
      </c>
      <c r="AN3" s="1" t="str">
        <f>'Formulation Name Data'!A47&amp;"_T1"</f>
        <v>ComSor181360_DGBE_0.5_0.5_T1</v>
      </c>
      <c r="AO3" s="1" t="str">
        <f>'Formulation Name Data'!A48&amp;"_T1"</f>
        <v>D502W_C8G2_DGBE_0.2_0.19_0.5_T1</v>
      </c>
      <c r="AP3" s="1" t="str">
        <f>'Formulation Name Data'!A49&amp;"_T1"</f>
        <v>D502W_C10G2_DGBE_0.2_0.19_0.5_T1</v>
      </c>
      <c r="AQ3" s="1" t="str">
        <f>'Formulation Name Data'!A50&amp;"_T1"</f>
        <v>D502W_C12G2_DGBE_0.2_0.19_0.5_T1</v>
      </c>
      <c r="AR3" s="1" t="str">
        <f>'Formulation Name Data'!A51&amp;"_T1"</f>
        <v>D502W_C8G1_DGBE_0.2_0.19_0.5_T1</v>
      </c>
      <c r="AS3" s="1" t="str">
        <f>'Formulation Name Data'!A52&amp;"_T1"</f>
        <v>L77_0.5_T1</v>
      </c>
      <c r="AT3" s="1" t="str">
        <f>'Formulation Name Data'!A53&amp;"_T1"</f>
        <v>Gel6185_0.5_T1</v>
      </c>
      <c r="AU3" s="1" t="str">
        <f>'Formulation Name Data'!A54&amp;"_T1"</f>
        <v>D502W_0.5_T1</v>
      </c>
      <c r="AV3" s="1" t="str">
        <f>'Formulation Name Data'!A55&amp;"_T1"</f>
        <v>D193_0.5_T1</v>
      </c>
      <c r="AW3" s="1" t="str">
        <f>'Formulation Name Data'!A56&amp;"_T1"</f>
        <v>G215_0.5_T1</v>
      </c>
      <c r="AX3" s="1" t="str">
        <f>'Formulation Name Data'!A57&amp;"_T1"</f>
        <v>ComSor_EXP-20-C10628-A_T1</v>
      </c>
      <c r="AY3" s="1" t="str">
        <f>'Formulation Name Data'!A58&amp;"_T1"</f>
        <v>ComSor_EXP-20-C10628-B_T1</v>
      </c>
      <c r="AZ3" s="1" t="str">
        <f>'Formulation Name Data'!A59&amp;"_T1"</f>
        <v>ComSor_EXP-20-C10628-C_T1</v>
      </c>
      <c r="BA3" s="1" t="str">
        <f>'Formulation Name Data'!A60&amp;"_T1"</f>
        <v>ComSor_EXP-20-C10628-D_T1</v>
      </c>
      <c r="BB3" s="1" t="str">
        <f>'Formulation Name Data'!A61&amp;"_T1"</f>
        <v>ComSor_EXP-20-C10628-E_T1</v>
      </c>
      <c r="BC3" s="1" t="str">
        <f>'Formulation Name Data'!A62&amp;"_T1"</f>
        <v>ComSor_EXP-21-2_T1</v>
      </c>
      <c r="BD3" s="1" t="str">
        <f>'Formulation Name Data'!A63&amp;"_T1"</f>
        <v>ComSor_EXP-21-1_T1</v>
      </c>
      <c r="BE3" s="1" t="str">
        <f>'Formulation Name Data'!A64&amp;"_T1"</f>
        <v>Avio®F3 Green KHC_T1</v>
      </c>
      <c r="BF3" s="1" t="str">
        <f>'Formulation Name Data'!A65&amp;"_T1"</f>
        <v>JetFoam 3%_T1</v>
      </c>
      <c r="BG3" s="1" t="str">
        <f>'Formulation Name Data'!A67&amp;"_T1"</f>
        <v>FomtecEnviroUSP 3%_T1</v>
      </c>
      <c r="BH3" s="12" t="str">
        <f>'Formulation Name Data'!A68&amp;"_T1"</f>
        <v>ComSor_EXP-21-3_T1</v>
      </c>
      <c r="BI3" s="1" t="str">
        <f>'Formulation Name Data'!A69&amp;"_T1"</f>
        <v>ComSor_EXP-21-5_T1</v>
      </c>
      <c r="BJ3" s="1" t="str">
        <f>'Formulation Name Data'!A70&amp;"_T1"</f>
        <v>ComSor_EXP-21-6_T1</v>
      </c>
      <c r="BK3" s="1" t="str">
        <f>'Formulation Name Data'!A71&amp;"_T1"</f>
        <v>ComSor_EXP-21-7_T1</v>
      </c>
      <c r="BL3" s="1" t="str">
        <f>'Formulation Name Data'!A72&amp;"_T1"</f>
        <v>D502W_DGBE_0.1_0.5_T1</v>
      </c>
      <c r="BM3" s="1" t="str">
        <f>'Formulation Name Data'!A73&amp;"_T1"</f>
        <v>Cap_0.225_T1</v>
      </c>
      <c r="BN3" s="1" t="str">
        <f>'Formulation Name Data'!A74&amp;"_T1"</f>
        <v>Cap_DGBE_0.225_0.5_T1</v>
      </c>
      <c r="BO3" s="1" t="str">
        <f>'Formulation Name Data'!A75&amp;"_T1"</f>
        <v>D193_G215_DGBE_0.3_0.2_0.5_T1</v>
      </c>
      <c r="BP3" s="12" t="str">
        <f>'Formulation Name Data'!A99&amp;"_T1"</f>
        <v>ComSor_26990-95B_T1</v>
      </c>
      <c r="BQ3" s="1" t="str">
        <f>'Formulation Name Data'!A137&amp;"_T1"</f>
        <v>Gel6185_G215_DGBE_1.8_1.2_0.5_T1</v>
      </c>
      <c r="BR3" s="1" t="str">
        <f>'Formulation Name Data'!A138&amp;"_T1"</f>
        <v>CL_MD2086-97_G225_DGBE_0.34_0.56_0.5_T1</v>
      </c>
      <c r="BS3" s="12" t="str">
        <f>'Formulation Name Data'!A154&amp;"_T1"</f>
        <v>CL_MD2012-16_G225_DGBE_0.52_0.78_0.5_T1</v>
      </c>
      <c r="BT3" s="1" t="str">
        <f>'Formulation Name Data'!A155&amp;"_T1"</f>
        <v>NRL_N10478-198_G225_DGBE_0.065_0.3_0.5_T1</v>
      </c>
      <c r="BU3" s="1" t="str">
        <f>'Formulation Name Data'!A158&amp;"_T1"</f>
        <v>CL_MD2102-54_G225_DGBE_0.2_0.3_0.5_T1</v>
      </c>
      <c r="BV3" s="1" t="str">
        <f>'Formulation Name Data'!A182&amp;"_T1"</f>
        <v>NRL_LBII43_G225_DGBE_0.2_0.3_0.5_T1</v>
      </c>
      <c r="BW3" s="1" t="str">
        <f>'Formulation Name Data'!A183&amp;"_T1"</f>
        <v>NRL_CB_DTBTS_SB_G225_DGBE_0.02_0.3_0.5_T1</v>
      </c>
      <c r="BX3" s="1" t="str">
        <f>'Formulation Name Data'!A184&amp;"_T1"</f>
        <v>NRL_CB-1-123_G225_DGBE_0.2_0.3_0.5_T1</v>
      </c>
      <c r="BY3" s="1" t="str">
        <f>'Formulation Name Data'!A185&amp;"_T1"</f>
        <v>NRL_N10478-227_G225_DGBE_0.063_0.3_0.5_T1</v>
      </c>
      <c r="BZ3" s="1" t="str">
        <f>'Formulation Name Data'!A186&amp;"_T1"</f>
        <v>NRL_N10478-233_G225_DGBE_0.03_0.3_0.5_T1</v>
      </c>
      <c r="CA3" s="1" t="str">
        <f>'Formulation Name Data'!A187&amp;"_T1"</f>
        <v>NRL_N10478-240_G225_DGBE_#_0.3_0.5_T1</v>
      </c>
      <c r="CB3" s="1" t="str">
        <f>'Formulation Name Data'!A188&amp;"_T1"</f>
        <v>CL_MD2102-90_G225_DGBE_0.2_0.3_0.5_T1</v>
      </c>
      <c r="CC3" s="1" t="str">
        <f>'Formulation Name Data'!A191&amp;"_T1"</f>
        <v>ComSor_EXP-21-CH1070-1_3_T1</v>
      </c>
      <c r="CD3" s="1" t="str">
        <f>'Formulation Name Data'!A189&amp;"_T1"</f>
        <v>CL_MD2102-112_G225_DGBE_0.05_0.3_0.5_T1</v>
      </c>
      <c r="CE3" s="1" t="str">
        <f>'Formulation Name Data'!A190&amp;"_T1"</f>
        <v>CL_MD2102-118_G225_DGBE_0.2_0.3_0.5_T1</v>
      </c>
      <c r="CF3" s="1" t="str">
        <f>'Formulation Name Data'!A192&amp;"_T1"</f>
        <v>ComSor_EXP-21-CH1070-2_3_T1</v>
      </c>
      <c r="CG3" s="1" t="str">
        <f>'Formulation Name Data'!A193&amp;"_T1"</f>
        <v>ComSor_EXP-21-CH1070-4_1_T1</v>
      </c>
      <c r="CH3" s="1" t="str">
        <f>'Formulation Name Data'!A156&amp;"_T1"</f>
        <v>NRL_N10477-189_G225_DGBE_0.05_0.3_0.5_T1</v>
      </c>
      <c r="CI3" s="1" t="str">
        <f>'Formulation Name Data'!A157&amp;"_T1"</f>
        <v>NRL_N10478-81_G225_DGBE_0.116_0.3_0.5_T1</v>
      </c>
      <c r="CJ3" s="1" t="str">
        <f>'Formulation Name Data'!A198&amp;"_T1"</f>
        <v>CL_MD2102-90_0.5_T1</v>
      </c>
      <c r="CK3" s="1" t="str">
        <f>'Formulation Name Data'!A197&amp;"_T1"</f>
        <v>NRL_CB-1-192_G225_DGBE_0.14_0.21_0.5_T1</v>
      </c>
    </row>
    <row r="4" spans="1:89" x14ac:dyDescent="0.35">
      <c r="A4">
        <v>2.8969999999999998</v>
      </c>
      <c r="B4">
        <v>2.9009999999999998</v>
      </c>
      <c r="C4">
        <v>5.2210000000000001</v>
      </c>
      <c r="D4">
        <v>2.4079999999999999</v>
      </c>
      <c r="E4">
        <v>1.9259999999999999</v>
      </c>
      <c r="F4">
        <v>3.8</v>
      </c>
      <c r="G4">
        <v>1.23</v>
      </c>
      <c r="H4">
        <v>3.07</v>
      </c>
      <c r="I4">
        <v>5.39</v>
      </c>
      <c r="J4">
        <v>8.4499999999999993</v>
      </c>
      <c r="K4">
        <v>4.59</v>
      </c>
      <c r="L4">
        <v>2.4079999999999999</v>
      </c>
      <c r="M4" t="s">
        <v>76</v>
      </c>
      <c r="N4" t="s">
        <v>76</v>
      </c>
      <c r="O4" t="s">
        <v>76</v>
      </c>
      <c r="P4" t="s">
        <v>76</v>
      </c>
      <c r="Q4" t="s">
        <v>76</v>
      </c>
      <c r="R4" t="s">
        <v>76</v>
      </c>
      <c r="S4" t="s">
        <v>76</v>
      </c>
      <c r="T4" t="s">
        <v>76</v>
      </c>
      <c r="U4" t="s">
        <v>76</v>
      </c>
      <c r="V4" t="s">
        <v>76</v>
      </c>
      <c r="W4" t="s">
        <v>76</v>
      </c>
      <c r="X4" t="s">
        <v>76</v>
      </c>
      <c r="Y4">
        <v>12.33</v>
      </c>
      <c r="Z4">
        <v>3.27</v>
      </c>
      <c r="AA4" t="s">
        <v>76</v>
      </c>
      <c r="AB4">
        <v>8.2149999999999999</v>
      </c>
      <c r="AC4">
        <v>6.4219999999999997</v>
      </c>
      <c r="AD4">
        <v>2.9180000000000001</v>
      </c>
      <c r="AE4">
        <v>2.5950000000000002</v>
      </c>
      <c r="AF4">
        <v>2.157</v>
      </c>
      <c r="AG4">
        <v>3.1739999999999999</v>
      </c>
      <c r="AH4">
        <v>2.9260000000000002</v>
      </c>
      <c r="AI4">
        <v>10.52</v>
      </c>
      <c r="AJ4">
        <v>4.4379999999999997</v>
      </c>
      <c r="AK4">
        <v>5.48</v>
      </c>
      <c r="AL4">
        <v>6.3810000000000002</v>
      </c>
      <c r="AM4">
        <v>1.355</v>
      </c>
      <c r="AN4">
        <v>1.4379999999999999</v>
      </c>
      <c r="AO4">
        <v>4.0170000000000003</v>
      </c>
      <c r="AP4">
        <v>3.851</v>
      </c>
      <c r="AQ4">
        <v>3.306</v>
      </c>
      <c r="AR4">
        <v>3.0409999999999999</v>
      </c>
      <c r="AS4">
        <v>9.4714999999999989</v>
      </c>
      <c r="AT4">
        <v>4.9835000000000003</v>
      </c>
      <c r="AU4">
        <v>2.8839999999999999</v>
      </c>
      <c r="AV4">
        <v>9.3104999999999993</v>
      </c>
      <c r="AW4">
        <v>2.0454999999999997</v>
      </c>
      <c r="AX4">
        <v>0.2</v>
      </c>
      <c r="AY4">
        <v>0</v>
      </c>
      <c r="AZ4">
        <v>0</v>
      </c>
      <c r="BA4">
        <v>2.339</v>
      </c>
      <c r="BB4">
        <v>3.4460000000000002</v>
      </c>
      <c r="BC4">
        <v>1.5289999999999999</v>
      </c>
      <c r="BD4">
        <v>1.4379999999999999</v>
      </c>
      <c r="BE4">
        <v>0.86799999999999999</v>
      </c>
      <c r="BF4">
        <v>1.901</v>
      </c>
      <c r="BG4">
        <v>1.6779999999999999</v>
      </c>
      <c r="BH4" s="43">
        <v>3.2989999999999999</v>
      </c>
      <c r="BI4">
        <v>3.67</v>
      </c>
      <c r="BJ4">
        <v>2.5209999999999999</v>
      </c>
      <c r="BK4">
        <v>2.9180000000000001</v>
      </c>
      <c r="BL4">
        <v>5.6</v>
      </c>
      <c r="BM4">
        <v>5.6</v>
      </c>
      <c r="BN4">
        <v>5.36</v>
      </c>
      <c r="BO4">
        <v>7.17</v>
      </c>
      <c r="BP4">
        <v>0.41499999999999998</v>
      </c>
      <c r="BQ4">
        <v>0.48799999999999999</v>
      </c>
      <c r="BR4">
        <v>1.8680000000000001</v>
      </c>
      <c r="BS4" s="43">
        <v>2.7</v>
      </c>
      <c r="BT4">
        <v>8.3000000000000004E-2</v>
      </c>
      <c r="BU4">
        <v>1.488</v>
      </c>
      <c r="BV4">
        <v>3.9009999999999998</v>
      </c>
      <c r="BW4">
        <v>1.2729999999999999</v>
      </c>
      <c r="BX4">
        <v>1.512</v>
      </c>
      <c r="BY4">
        <v>0.47899999999999998</v>
      </c>
      <c r="BZ4">
        <v>1.8180000000000001</v>
      </c>
      <c r="CA4">
        <v>0.13200000000000001</v>
      </c>
      <c r="CB4">
        <v>2.4630000000000001</v>
      </c>
      <c r="CC4">
        <v>2.0990000000000002</v>
      </c>
      <c r="CD4" s="47">
        <v>1.306</v>
      </c>
      <c r="CE4">
        <v>0</v>
      </c>
      <c r="CF4">
        <v>2.0499999999999998</v>
      </c>
      <c r="CG4">
        <v>2.9180000000000001</v>
      </c>
      <c r="CH4">
        <v>0.83499999999999996</v>
      </c>
      <c r="CI4">
        <v>1.4379999999999999</v>
      </c>
      <c r="CJ4">
        <v>5.62</v>
      </c>
      <c r="CK4">
        <v>1.744</v>
      </c>
    </row>
    <row r="5" spans="1:89" x14ac:dyDescent="0.35">
      <c r="A5" t="s">
        <v>76</v>
      </c>
      <c r="B5" t="s">
        <v>76</v>
      </c>
      <c r="C5">
        <v>3.34</v>
      </c>
      <c r="D5" t="s">
        <v>76</v>
      </c>
      <c r="E5">
        <v>1.0455000000000001</v>
      </c>
      <c r="F5" t="s">
        <v>76</v>
      </c>
      <c r="G5" t="s">
        <v>76</v>
      </c>
      <c r="H5" t="s">
        <v>76</v>
      </c>
      <c r="I5" t="s">
        <v>76</v>
      </c>
      <c r="J5" t="s">
        <v>76</v>
      </c>
      <c r="K5" t="s">
        <v>76</v>
      </c>
      <c r="L5" t="s">
        <v>76</v>
      </c>
      <c r="M5" t="s">
        <v>76</v>
      </c>
      <c r="N5" t="s">
        <v>76</v>
      </c>
      <c r="O5" t="s">
        <v>76</v>
      </c>
      <c r="P5" t="s">
        <v>76</v>
      </c>
      <c r="Q5" t="s">
        <v>76</v>
      </c>
      <c r="R5" t="s">
        <v>76</v>
      </c>
      <c r="S5" t="s">
        <v>76</v>
      </c>
      <c r="T5" t="s">
        <v>76</v>
      </c>
      <c r="U5" t="s">
        <v>76</v>
      </c>
      <c r="V5" t="s">
        <v>76</v>
      </c>
      <c r="W5" t="s">
        <v>76</v>
      </c>
      <c r="X5" t="s">
        <v>76</v>
      </c>
      <c r="Y5" t="s">
        <v>76</v>
      </c>
      <c r="Z5" t="s">
        <v>76</v>
      </c>
      <c r="AA5" t="s">
        <v>76</v>
      </c>
      <c r="AB5" t="s">
        <v>76</v>
      </c>
      <c r="AC5" t="s">
        <v>76</v>
      </c>
      <c r="AD5">
        <v>2.198</v>
      </c>
      <c r="AE5" t="s">
        <v>76</v>
      </c>
      <c r="AF5" t="s">
        <v>76</v>
      </c>
      <c r="AG5" t="s">
        <v>76</v>
      </c>
      <c r="AH5" t="s">
        <v>76</v>
      </c>
      <c r="AI5" t="s">
        <v>76</v>
      </c>
      <c r="AJ5" t="s">
        <v>76</v>
      </c>
      <c r="AK5">
        <v>4.0170000000000003</v>
      </c>
      <c r="AL5" t="s">
        <v>76</v>
      </c>
      <c r="AM5">
        <v>1.306</v>
      </c>
      <c r="AN5">
        <v>0.78500000000000003</v>
      </c>
      <c r="AO5">
        <v>4.2889999999999997</v>
      </c>
      <c r="AP5">
        <v>2.1240000000000001</v>
      </c>
      <c r="AQ5">
        <v>1.488</v>
      </c>
      <c r="AR5">
        <v>2.7109999999999999</v>
      </c>
      <c r="AS5" t="s">
        <v>76</v>
      </c>
      <c r="AT5" t="s">
        <v>76</v>
      </c>
      <c r="AU5" t="s">
        <v>76</v>
      </c>
      <c r="AV5" t="s">
        <v>76</v>
      </c>
      <c r="AW5" t="s">
        <v>76</v>
      </c>
      <c r="AX5">
        <v>0</v>
      </c>
      <c r="AY5">
        <v>0</v>
      </c>
      <c r="AZ5">
        <v>0</v>
      </c>
      <c r="BA5">
        <v>0.79300000000000004</v>
      </c>
      <c r="BB5">
        <v>1.587</v>
      </c>
      <c r="BC5" t="s">
        <v>76</v>
      </c>
      <c r="BD5" t="s">
        <v>76</v>
      </c>
      <c r="BE5">
        <v>0</v>
      </c>
      <c r="BF5">
        <v>0.25600000000000001</v>
      </c>
      <c r="BG5">
        <v>0.35499999999999998</v>
      </c>
      <c r="BH5" s="43" t="s">
        <v>76</v>
      </c>
      <c r="BI5" t="s">
        <v>76</v>
      </c>
      <c r="BJ5" t="s">
        <v>76</v>
      </c>
      <c r="BK5" t="s">
        <v>76</v>
      </c>
      <c r="BL5" t="s">
        <v>76</v>
      </c>
      <c r="BM5" t="s">
        <v>76</v>
      </c>
      <c r="BN5" t="s">
        <v>76</v>
      </c>
      <c r="BO5" t="s">
        <v>76</v>
      </c>
      <c r="BP5">
        <v>0</v>
      </c>
      <c r="BQ5" t="s">
        <v>76</v>
      </c>
      <c r="BR5">
        <v>0.27300000000000002</v>
      </c>
      <c r="BS5" s="43">
        <v>1</v>
      </c>
      <c r="BT5">
        <v>0.05</v>
      </c>
      <c r="BU5">
        <v>0.47099999999999997</v>
      </c>
      <c r="BV5">
        <v>3.8140000000000001</v>
      </c>
      <c r="BW5">
        <v>0.70299999999999996</v>
      </c>
      <c r="BX5">
        <v>0.86799999999999999</v>
      </c>
      <c r="BY5">
        <v>0</v>
      </c>
      <c r="BZ5">
        <v>0.63600000000000001</v>
      </c>
      <c r="CA5">
        <v>0</v>
      </c>
      <c r="CB5">
        <v>1.3220000000000001</v>
      </c>
      <c r="CC5">
        <v>0.44600000000000001</v>
      </c>
      <c r="CD5">
        <v>0.25600000000000001</v>
      </c>
      <c r="CE5">
        <v>0</v>
      </c>
      <c r="CF5">
        <v>0.52900000000000003</v>
      </c>
      <c r="CG5">
        <v>0.83499999999999996</v>
      </c>
      <c r="CH5">
        <v>0.14099999999999999</v>
      </c>
      <c r="CI5">
        <v>0.39700000000000002</v>
      </c>
      <c r="CJ5">
        <v>2.786</v>
      </c>
      <c r="CK5">
        <v>0.30599999999999999</v>
      </c>
    </row>
    <row r="6" spans="1:89" x14ac:dyDescent="0.35">
      <c r="A6">
        <v>2.44</v>
      </c>
      <c r="B6" t="s">
        <v>76</v>
      </c>
      <c r="C6">
        <v>5.62</v>
      </c>
      <c r="D6" t="s">
        <v>76</v>
      </c>
      <c r="E6">
        <v>1.63</v>
      </c>
      <c r="F6">
        <v>4.01</v>
      </c>
      <c r="G6" t="s">
        <v>76</v>
      </c>
      <c r="H6" t="s">
        <v>76</v>
      </c>
      <c r="I6" t="s">
        <v>76</v>
      </c>
      <c r="J6" t="s">
        <v>76</v>
      </c>
      <c r="K6" t="s">
        <v>76</v>
      </c>
      <c r="L6">
        <v>2.1080000000000001</v>
      </c>
      <c r="M6">
        <v>8.5299999999999994</v>
      </c>
      <c r="N6">
        <v>16.57</v>
      </c>
      <c r="O6">
        <v>6.03</v>
      </c>
      <c r="P6">
        <v>4.3769999999999998</v>
      </c>
      <c r="Q6">
        <v>2.6320000000000001</v>
      </c>
      <c r="R6">
        <v>2.2229999999999999</v>
      </c>
      <c r="S6">
        <v>2.5569999999999999</v>
      </c>
      <c r="T6">
        <v>3.7669999999999999</v>
      </c>
      <c r="U6">
        <v>3.3860000000000001</v>
      </c>
      <c r="V6">
        <v>7.16</v>
      </c>
      <c r="W6">
        <v>6.0039999999999996</v>
      </c>
      <c r="X6">
        <v>6.8890000000000002</v>
      </c>
      <c r="Y6">
        <v>10.215</v>
      </c>
      <c r="Z6">
        <v>2.9420000000000002</v>
      </c>
      <c r="AA6">
        <v>7.04</v>
      </c>
      <c r="AB6" t="s">
        <v>76</v>
      </c>
      <c r="AC6" t="s">
        <v>76</v>
      </c>
      <c r="AD6">
        <v>2.2000000000000002</v>
      </c>
      <c r="AE6" t="s">
        <v>76</v>
      </c>
      <c r="AF6" t="s">
        <v>76</v>
      </c>
      <c r="AG6" t="s">
        <v>76</v>
      </c>
      <c r="AH6" t="s">
        <v>76</v>
      </c>
      <c r="AI6" t="s">
        <v>76</v>
      </c>
      <c r="AJ6" t="s">
        <v>76</v>
      </c>
      <c r="AK6" t="s">
        <v>76</v>
      </c>
      <c r="AL6" t="s">
        <v>76</v>
      </c>
      <c r="AM6" t="s">
        <v>76</v>
      </c>
      <c r="AN6" t="s">
        <v>76</v>
      </c>
      <c r="AO6" t="s">
        <v>76</v>
      </c>
      <c r="AP6" t="s">
        <v>76</v>
      </c>
      <c r="AQ6" t="s">
        <v>76</v>
      </c>
      <c r="AR6" t="s">
        <v>76</v>
      </c>
      <c r="AS6" t="s">
        <v>76</v>
      </c>
      <c r="AT6" t="s">
        <v>76</v>
      </c>
      <c r="AU6" t="s">
        <v>76</v>
      </c>
      <c r="AV6" t="s">
        <v>76</v>
      </c>
      <c r="AW6" t="s">
        <v>76</v>
      </c>
      <c r="AX6" t="s">
        <v>76</v>
      </c>
      <c r="AY6" t="s">
        <v>76</v>
      </c>
      <c r="AZ6" t="s">
        <v>76</v>
      </c>
      <c r="BA6" t="s">
        <v>76</v>
      </c>
      <c r="BB6" t="s">
        <v>76</v>
      </c>
      <c r="BC6" t="s">
        <v>76</v>
      </c>
      <c r="BD6" t="s">
        <v>76</v>
      </c>
      <c r="BE6" s="11">
        <v>1.7</v>
      </c>
      <c r="BF6" s="11">
        <v>1.5</v>
      </c>
      <c r="BG6" s="11">
        <v>1.5</v>
      </c>
      <c r="BH6" s="43" t="s">
        <v>76</v>
      </c>
      <c r="BI6" t="s">
        <v>76</v>
      </c>
      <c r="BJ6" t="s">
        <v>76</v>
      </c>
      <c r="BK6" t="s">
        <v>76</v>
      </c>
      <c r="BL6" t="s">
        <v>76</v>
      </c>
      <c r="BM6" t="s">
        <v>76</v>
      </c>
      <c r="BN6" t="s">
        <v>76</v>
      </c>
      <c r="BO6" t="s">
        <v>76</v>
      </c>
      <c r="BP6" t="s">
        <v>76</v>
      </c>
      <c r="BQ6" t="s">
        <v>76</v>
      </c>
      <c r="BR6" t="s">
        <v>76</v>
      </c>
      <c r="BS6" s="43" t="s">
        <v>76</v>
      </c>
      <c r="BT6" t="s">
        <v>76</v>
      </c>
      <c r="BU6" s="42" t="s">
        <v>76</v>
      </c>
      <c r="BV6" s="42" t="s">
        <v>76</v>
      </c>
      <c r="BW6" s="42" t="s">
        <v>76</v>
      </c>
      <c r="BX6" s="42" t="s">
        <v>76</v>
      </c>
      <c r="BY6" s="42" t="s">
        <v>76</v>
      </c>
      <c r="BZ6" s="42" t="s">
        <v>76</v>
      </c>
      <c r="CA6" s="42" t="s">
        <v>76</v>
      </c>
      <c r="CB6" s="42" t="s">
        <v>76</v>
      </c>
      <c r="CC6" s="42" t="s">
        <v>76</v>
      </c>
      <c r="CD6" s="42" t="s">
        <v>76</v>
      </c>
      <c r="CE6" s="42" t="s">
        <v>76</v>
      </c>
      <c r="CF6" s="42" t="s">
        <v>76</v>
      </c>
      <c r="CG6" s="42" t="s">
        <v>76</v>
      </c>
      <c r="CH6" s="42" t="s">
        <v>76</v>
      </c>
      <c r="CI6" s="42" t="s">
        <v>76</v>
      </c>
      <c r="CJ6" t="s">
        <v>76</v>
      </c>
      <c r="CK6" s="42" t="s">
        <v>76</v>
      </c>
    </row>
    <row r="7" spans="1:89" x14ac:dyDescent="0.35">
      <c r="A7" t="s">
        <v>76</v>
      </c>
      <c r="B7" t="s">
        <v>76</v>
      </c>
      <c r="C7" t="s">
        <v>76</v>
      </c>
      <c r="D7" t="s">
        <v>76</v>
      </c>
      <c r="E7" t="s">
        <v>76</v>
      </c>
      <c r="F7" t="s">
        <v>76</v>
      </c>
      <c r="G7" t="s">
        <v>76</v>
      </c>
      <c r="H7" t="s">
        <v>76</v>
      </c>
      <c r="I7" t="s">
        <v>76</v>
      </c>
      <c r="J7" t="s">
        <v>76</v>
      </c>
      <c r="K7" t="s">
        <v>76</v>
      </c>
      <c r="L7" t="s">
        <v>76</v>
      </c>
      <c r="M7" t="s">
        <v>76</v>
      </c>
      <c r="N7" t="s">
        <v>76</v>
      </c>
      <c r="O7" t="s">
        <v>76</v>
      </c>
      <c r="P7" t="s">
        <v>76</v>
      </c>
      <c r="Q7" t="s">
        <v>76</v>
      </c>
      <c r="R7" t="s">
        <v>76</v>
      </c>
      <c r="S7" t="s">
        <v>76</v>
      </c>
      <c r="T7" t="s">
        <v>76</v>
      </c>
      <c r="U7" t="s">
        <v>76</v>
      </c>
      <c r="V7" t="s">
        <v>76</v>
      </c>
      <c r="W7" t="s">
        <v>76</v>
      </c>
      <c r="X7" t="s">
        <v>76</v>
      </c>
      <c r="Y7" t="s">
        <v>76</v>
      </c>
      <c r="Z7" t="s">
        <v>76</v>
      </c>
      <c r="AA7" t="s">
        <v>76</v>
      </c>
      <c r="AB7" t="s">
        <v>76</v>
      </c>
      <c r="AC7" t="s">
        <v>76</v>
      </c>
      <c r="AD7" t="s">
        <v>76</v>
      </c>
      <c r="AE7" t="s">
        <v>76</v>
      </c>
      <c r="AF7" t="s">
        <v>76</v>
      </c>
      <c r="AG7" t="s">
        <v>76</v>
      </c>
      <c r="AH7" t="s">
        <v>76</v>
      </c>
      <c r="AI7" t="s">
        <v>76</v>
      </c>
      <c r="AJ7" t="s">
        <v>76</v>
      </c>
      <c r="AK7" t="s">
        <v>76</v>
      </c>
      <c r="AL7" t="s">
        <v>76</v>
      </c>
      <c r="AM7" t="s">
        <v>76</v>
      </c>
      <c r="AN7" t="s">
        <v>76</v>
      </c>
      <c r="AO7" t="s">
        <v>76</v>
      </c>
      <c r="AP7" t="s">
        <v>76</v>
      </c>
      <c r="AQ7" t="s">
        <v>76</v>
      </c>
      <c r="AR7" t="s">
        <v>76</v>
      </c>
      <c r="AS7" t="s">
        <v>76</v>
      </c>
      <c r="AT7" t="s">
        <v>76</v>
      </c>
      <c r="AU7" t="s">
        <v>76</v>
      </c>
      <c r="AV7" t="s">
        <v>76</v>
      </c>
      <c r="AW7" t="s">
        <v>76</v>
      </c>
      <c r="AX7" t="s">
        <v>76</v>
      </c>
      <c r="AY7" t="s">
        <v>76</v>
      </c>
      <c r="AZ7" t="s">
        <v>76</v>
      </c>
      <c r="BA7" t="s">
        <v>76</v>
      </c>
      <c r="BB7" t="s">
        <v>76</v>
      </c>
      <c r="BC7" t="s">
        <v>76</v>
      </c>
      <c r="BD7" t="s">
        <v>76</v>
      </c>
      <c r="BE7">
        <v>0.11600000000000001</v>
      </c>
      <c r="BF7">
        <v>0.13200000000000001</v>
      </c>
      <c r="BG7">
        <v>0.25600000000000001</v>
      </c>
      <c r="BH7" s="43" t="s">
        <v>76</v>
      </c>
      <c r="BI7" t="s">
        <v>76</v>
      </c>
      <c r="BJ7" t="s">
        <v>76</v>
      </c>
      <c r="BK7" t="s">
        <v>76</v>
      </c>
      <c r="BL7" t="s">
        <v>76</v>
      </c>
      <c r="BM7" t="s">
        <v>76</v>
      </c>
      <c r="BN7" t="s">
        <v>76</v>
      </c>
      <c r="BO7" t="s">
        <v>76</v>
      </c>
      <c r="BP7" t="s">
        <v>76</v>
      </c>
      <c r="BQ7" t="s">
        <v>76</v>
      </c>
      <c r="BR7" t="s">
        <v>76</v>
      </c>
      <c r="BS7" s="43" t="s">
        <v>76</v>
      </c>
      <c r="BT7" t="s">
        <v>76</v>
      </c>
      <c r="BU7" s="42" t="s">
        <v>76</v>
      </c>
      <c r="BV7" s="42" t="s">
        <v>76</v>
      </c>
      <c r="BW7" s="42" t="s">
        <v>76</v>
      </c>
      <c r="BX7" s="42" t="s">
        <v>76</v>
      </c>
      <c r="BY7" s="42" t="s">
        <v>76</v>
      </c>
      <c r="BZ7" s="42" t="s">
        <v>76</v>
      </c>
      <c r="CA7" s="42" t="s">
        <v>76</v>
      </c>
      <c r="CB7" s="42" t="s">
        <v>76</v>
      </c>
      <c r="CC7" s="42" t="s">
        <v>76</v>
      </c>
      <c r="CD7" s="42" t="s">
        <v>76</v>
      </c>
      <c r="CE7" s="42" t="s">
        <v>76</v>
      </c>
      <c r="CF7" s="42" t="s">
        <v>76</v>
      </c>
      <c r="CG7" s="42" t="s">
        <v>76</v>
      </c>
      <c r="CH7" s="42" t="s">
        <v>76</v>
      </c>
      <c r="CI7" s="42" t="s">
        <v>76</v>
      </c>
      <c r="CJ7" t="s">
        <v>76</v>
      </c>
      <c r="CK7" s="42" t="s">
        <v>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X168"/>
  <sheetViews>
    <sheetView topLeftCell="KD1" workbookViewId="0">
      <selection activeCell="A2" sqref="A2:KX2"/>
    </sheetView>
  </sheetViews>
  <sheetFormatPr defaultRowHeight="14.5" x14ac:dyDescent="0.35"/>
  <cols>
    <col min="1" max="1" width="12.36328125" customWidth="1"/>
    <col min="2" max="2" width="13.36328125" customWidth="1"/>
    <col min="113" max="113" width="8.6328125" style="42"/>
    <col min="115" max="115" width="8.6328125" style="42"/>
    <col min="185" max="185" width="8.6328125" style="43"/>
    <col min="292" max="292" width="8.6328125" style="42"/>
  </cols>
  <sheetData>
    <row r="1" spans="1:310" x14ac:dyDescent="0.35">
      <c r="A1" t="s">
        <v>189</v>
      </c>
    </row>
    <row r="2" spans="1:310" s="1" customFormat="1" ht="87" x14ac:dyDescent="0.35">
      <c r="A2" s="1" t="str">
        <f>'Formulation Name Data'!A33&amp;"_T1"</f>
        <v>D502W_G215_DGBE_0.075_0.05_0.5_T1</v>
      </c>
      <c r="B2" s="1" t="str">
        <f>'Formulation Name Data'!A33&amp;"_T2"</f>
        <v>D502W_G215_DGBE_0.075_0.05_0.5_T2</v>
      </c>
      <c r="C2" s="1" t="str">
        <f>'Formulation Name Data'!A33&amp;"_T3"</f>
        <v>D502W_G215_DGBE_0.075_0.05_0.5_T3</v>
      </c>
      <c r="D2" s="1" t="str">
        <f>'Formulation Name Data'!A27&amp;"_T1"</f>
        <v>AlphaFoam_G215_DGBE_0.52_0.35_0.5_T1</v>
      </c>
      <c r="E2" s="1" t="str">
        <f>'Formulation Name Data'!A27&amp;"_T2"</f>
        <v>AlphaFoam_G215_DGBE_0.52_0.35_0.5_T2</v>
      </c>
      <c r="F2" s="1" t="str">
        <f>'Formulation Name Data'!A27&amp;"_T3"</f>
        <v>AlphaFoam_G215_DGBE_0.52_0.35_0.5_T3</v>
      </c>
      <c r="G2" s="1" t="str">
        <f>'Formulation Name Data'!A20&amp;"_T1"</f>
        <v>T15-S-7_G215_DGBE_0.03_0.02_0.5_T1</v>
      </c>
      <c r="H2" s="1" t="str">
        <f>'Formulation Name Data'!A20&amp;"_T2"</f>
        <v>T15-S-7_G215_DGBE_0.03_0.02_0.5_T2</v>
      </c>
      <c r="I2" s="1" t="str">
        <f>'Formulation Name Data'!A20&amp;"_T3"</f>
        <v>T15-S-7_G215_DGBE_0.03_0.02_0.5_T3</v>
      </c>
      <c r="J2" s="1" t="str">
        <f>'Formulation Name Data'!A18&amp;"_T1"</f>
        <v>Silphos_G215_DGBE_0.3_0.2_0.5_T1</v>
      </c>
      <c r="K2" s="1" t="str">
        <f>'Formulation Name Data'!A18&amp;"_T2"</f>
        <v>Silphos_G215_DGBE_0.3_0.2_0.5_T2</v>
      </c>
      <c r="L2" s="1" t="str">
        <f>'Formulation Name Data'!A18&amp;"_T3"</f>
        <v>Silphos_G215_DGBE_0.3_0.2_0.5_T3</v>
      </c>
      <c r="M2" s="1" t="str">
        <f>'Formulation Name Data'!A32&amp;"_T1"</f>
        <v>D501W_G215_DGBE_0.04_0.027_0.5_T1</v>
      </c>
      <c r="N2" s="1" t="str">
        <f>'Formulation Name Data'!A32&amp;"_T2"</f>
        <v>D501W_G215_DGBE_0.04_0.027_0.5_T2</v>
      </c>
      <c r="O2" s="1" t="str">
        <f>'Formulation Name Data'!A32&amp;"_T3"</f>
        <v>D501W_G215_DGBE_0.04_0.027_0.5_T3</v>
      </c>
      <c r="P2" s="1" t="str">
        <f>'Formulation Name Data'!A19&amp;"_T1"</f>
        <v>TMN6_G215_DGBE_0.3_0.2_0.5_T1</v>
      </c>
      <c r="Q2" s="1" t="str">
        <f>'Formulation Name Data'!A19&amp;"_T2"</f>
        <v>TMN6_G215_DGBE_0.3_0.2_0.5_T2</v>
      </c>
      <c r="R2" s="1" t="str">
        <f>'Formulation Name Data'!A19&amp;"_T3"</f>
        <v>TMN6_G215_DGBE_0.3_0.2_0.5_T3</v>
      </c>
      <c r="S2" s="1" t="str">
        <f>'Formulation Name Data'!A11&amp;"_T1"</f>
        <v>RF6_6_T1</v>
      </c>
      <c r="T2" s="1" t="str">
        <f>'Formulation Name Data'!A11&amp;"_T2"</f>
        <v>RF6_6_T2</v>
      </c>
      <c r="U2" s="1" t="str">
        <f>'Formulation Name Data'!A11&amp;"_T3"</f>
        <v>RF6_6_T3</v>
      </c>
      <c r="V2" s="1" t="str">
        <f>'Formulation Name Data'!A17&amp;"_T1"</f>
        <v>Silsurf_G215_DGBE_0.14_0.09_0.5_T1</v>
      </c>
      <c r="W2" s="1" t="str">
        <f>'Formulation Name Data'!A17&amp;"_T2"</f>
        <v>Silsurf_G215_DGBE_0.14_0.09_0.5_T2</v>
      </c>
      <c r="X2" s="12" t="str">
        <f>'Formulation Name Data'!A8&amp;"_T1"</f>
        <v>Cap_G215_DGBE_0.3_0.2_0.5_T1</v>
      </c>
      <c r="Y2" s="1" t="str">
        <f>'Formulation Name Data'!A56&amp;"_T1"</f>
        <v>G215_0.5_T1</v>
      </c>
      <c r="Z2" s="1" t="str">
        <f>'Formulation Name Data'!A56&amp;"_T2"</f>
        <v>G215_0.5_T2</v>
      </c>
      <c r="AA2" s="1" t="str">
        <f>'Formulation Name Data'!A56&amp;"_T3"</f>
        <v>G215_0.5_T3</v>
      </c>
      <c r="AB2" s="1" t="str">
        <f>'Formulation Name Data'!A7&amp;"_T1"</f>
        <v>G215_DGBE_0.5_0.5_T1</v>
      </c>
      <c r="AC2" s="1" t="str">
        <f>'Formulation Name Data'!A7&amp;"_T2"</f>
        <v>G215_DGBE_0.5_0.5_T2</v>
      </c>
      <c r="AD2" s="1" t="str">
        <f>'Formulation Name Data'!A7&amp;"_T3"</f>
        <v>G215_DGBE_0.5_0.5_T3</v>
      </c>
      <c r="AE2" s="1" t="str">
        <f>'Formulation Name Data'!A7&amp;"_T4"</f>
        <v>G215_DGBE_0.5_0.5_T4</v>
      </c>
      <c r="AF2" s="1" t="str">
        <f>'Formulation Name Data'!A7&amp;"_T5"</f>
        <v>G215_DGBE_0.5_0.5_T5</v>
      </c>
      <c r="AG2" s="1" t="str">
        <f>'Formulation Name Data'!A7&amp;"_T6"</f>
        <v>G215_DGBE_0.5_0.5_T6</v>
      </c>
      <c r="AH2" s="1" t="str">
        <f>'Formulation Name Data'!A76&amp;"_T1"</f>
        <v>TrX100_0.5_T1</v>
      </c>
      <c r="AI2" s="1" t="str">
        <f>'Formulation Name Data'!A76&amp;"_T2"</f>
        <v>TrX100_0.5_T2</v>
      </c>
      <c r="AJ2" s="1" t="str">
        <f>'Formulation Name Data'!A76&amp;"_T3"</f>
        <v>TrX100_0.5_T3</v>
      </c>
      <c r="AK2" s="1" t="str">
        <f>'Formulation Name Data'!A5&amp;"_T1"</f>
        <v>TrX100_DGBE_0.5_0.5_T1</v>
      </c>
      <c r="AL2" s="1" t="str">
        <f>'Formulation Name Data'!A5&amp;"_T2"</f>
        <v>TrX100_DGBE_0.5_0.5_T2</v>
      </c>
      <c r="AM2" s="1" t="str">
        <f>'Formulation Name Data'!A5&amp;"_T3"</f>
        <v>TrX100_DGBE_0.5_0.5_T3</v>
      </c>
      <c r="AN2" s="1" t="str">
        <f>'Formulation Name Data'!A77&amp;"_T1"</f>
        <v>D502W_0.1_T1</v>
      </c>
      <c r="AO2" s="1" t="str">
        <f>'Formulation Name Data'!A77&amp;"_T2"</f>
        <v>D502W_0.1_T2</v>
      </c>
      <c r="AP2" s="1" t="str">
        <f>'Formulation Name Data'!A77&amp;"_T3"</f>
        <v>D502W_0.1_T3</v>
      </c>
      <c r="AQ2" s="1" t="str">
        <f>'Formulation Name Data'!A78&amp;"_T1"</f>
        <v>T15-S-7_0.05_T1</v>
      </c>
      <c r="AR2" s="1" t="str">
        <f>'Formulation Name Data'!A78&amp;"_T2"</f>
        <v>T15-S-7_0.05_T2</v>
      </c>
      <c r="AS2" s="1" t="str">
        <f>'Formulation Name Data'!A78&amp;"_T3"</f>
        <v>T15-S-7_0.05_T3</v>
      </c>
      <c r="AT2" s="1" t="str">
        <f>'Formulation Name Data'!A79&amp;"_T1"</f>
        <v>TMN6_0.4_T1</v>
      </c>
      <c r="AU2" s="1" t="str">
        <f>'Formulation Name Data'!A79&amp;"_T2"</f>
        <v>TMN6_0.4_T2</v>
      </c>
      <c r="AV2" s="1" t="str">
        <f>'Formulation Name Data'!A79&amp;"_T3"</f>
        <v>TMN6_0.4_T3</v>
      </c>
      <c r="AW2" s="1" t="str">
        <f>'Formulation Name Data'!A80&amp;"_T1"</f>
        <v>AlphaFoam_1.3_T1</v>
      </c>
      <c r="AX2" s="1" t="str">
        <f>'Formulation Name Data'!A80&amp;"_T2"</f>
        <v>AlphaFoam_1.3_T2</v>
      </c>
      <c r="AY2" s="1" t="str">
        <f>'Formulation Name Data'!A81&amp;"_T1"</f>
        <v>Silphos_0.3_T1</v>
      </c>
      <c r="AZ2" s="1" t="str">
        <f>'Formulation Name Data'!A81&amp;"_T2"</f>
        <v>Silphos_0.3_T2</v>
      </c>
      <c r="BA2" s="1" t="str">
        <f>'Formulation Name Data'!A81&amp;"_T3"</f>
        <v>Silphos_0.3_T3</v>
      </c>
      <c r="BB2" s="1" t="str">
        <f>'Formulation Name Data'!A82&amp;"_T1"</f>
        <v>Silsurf_0.014_T1</v>
      </c>
      <c r="BC2" s="1" t="str">
        <f>'Formulation Name Data'!A82&amp;"_T2"</f>
        <v>Silsurf_0.014_T2</v>
      </c>
      <c r="BD2" s="1" t="str">
        <f>'Formulation Name Data'!A82&amp;"_T3"</f>
        <v>Silsurf_0.014_T3</v>
      </c>
      <c r="BE2" s="1" t="str">
        <f>'Formulation Name Data'!A72&amp;"_T1"</f>
        <v>D502W_DGBE_0.1_0.5_T1</v>
      </c>
      <c r="BF2" s="1" t="str">
        <f>'Formulation Name Data'!A72&amp;"_T2"</f>
        <v>D502W_DGBE_0.1_0.5_T2</v>
      </c>
      <c r="BG2" s="1" t="str">
        <f>'Formulation Name Data'!A72&amp;"_T3"</f>
        <v>D502W_DGBE_0.1_0.5_T3</v>
      </c>
      <c r="BH2" s="1" t="str">
        <f>'Formulation Name Data'!A83&amp;"_T1"</f>
        <v>D502W_TrX100_DGBE_0.1_0.08_0.5_T1</v>
      </c>
      <c r="BI2" s="1" t="str">
        <f>'Formulation Name Data'!A83&amp;"_T2"</f>
        <v>D502W_TrX100_DGBE_0.1_0.08_0.5_T2</v>
      </c>
      <c r="BJ2" s="1" t="str">
        <f>'Formulation Name Data'!A83&amp;"_T3"</f>
        <v>D502W_TrX100_DGBE_0.1_0.08_0.5_T3</v>
      </c>
      <c r="BK2" s="1" t="str">
        <f>'Formulation Name Data'!A72&amp;"_T4"</f>
        <v>D502W_DGBE_0.1_0.5_T4</v>
      </c>
      <c r="BL2" s="1" t="str">
        <f>'Formulation Name Data'!A72&amp;"_T5"</f>
        <v>D502W_DGBE_0.1_0.5_T5</v>
      </c>
      <c r="BM2" s="1" t="str">
        <f>'Formulation Name Data'!A72&amp;"_T6"</f>
        <v>D502W_DGBE_0.1_0.5_T6</v>
      </c>
      <c r="BN2" s="1" t="str">
        <f>'Formulation Name Data'!A84&amp;"_T1"</f>
        <v>D502W_G215_DGBE_0.05_0.075_0.5_T1</v>
      </c>
      <c r="BO2" s="1" t="str">
        <f>'Formulation Name Data'!A84&amp;"_T2"</f>
        <v>D502W_G215_DGBE_0.05_0.075_0.5_T2</v>
      </c>
      <c r="BP2" s="1" t="str">
        <f>'Formulation Name Data'!A84&amp;"_T3"</f>
        <v>D502W_G215_DGBE_0.05_0.075_0.5_T3</v>
      </c>
      <c r="BQ2" s="1" t="str">
        <f>'Formulation Name Data'!A73&amp;"_T1"</f>
        <v>Cap_0.225_T1</v>
      </c>
      <c r="BR2" s="1" t="str">
        <f>'Formulation Name Data'!A73&amp;"_T2"</f>
        <v>Cap_0.225_T2</v>
      </c>
      <c r="BS2" s="1" t="str">
        <f>'Formulation Name Data'!A73&amp;"_T3"</f>
        <v>Cap_0.225_T3</v>
      </c>
      <c r="BT2" s="1" t="str">
        <f>'Formulation Name Data'!A74&amp;"_T1"</f>
        <v>Cap_DGBE_0.225_0.5_T1</v>
      </c>
      <c r="BU2" s="1" t="str">
        <f>'Formulation Name Data'!A74&amp;"_T2"</f>
        <v>Cap_DGBE_0.225_0.5_T2</v>
      </c>
      <c r="BV2" s="1" t="str">
        <f>'Formulation Name Data'!A74&amp;"_T3"</f>
        <v>Cap_DGBE_0.225_0.5_T3</v>
      </c>
      <c r="BW2" s="12" t="str">
        <f>'Formulation Name Data'!A44&amp;"_T1"</f>
        <v>Cap_0.5_T1</v>
      </c>
      <c r="BX2" s="12" t="str">
        <f>'Formulation Name Data'!A44&amp;"_T2"</f>
        <v>Cap_0.5_T2</v>
      </c>
      <c r="BY2" s="12" t="str">
        <f>'Formulation Name Data'!A44&amp;"_T3"</f>
        <v>Cap_0.5_T3</v>
      </c>
      <c r="BZ2" s="1" t="str">
        <f>'Formulation Name Data'!A6&amp;"_T1"</f>
        <v>Cap_DGBE_0.5_0.5_T1</v>
      </c>
      <c r="CA2" s="1" t="str">
        <f>'Formulation Name Data'!A6&amp;"_T2"</f>
        <v>Cap_DGBE_0.5_0.5_T2</v>
      </c>
      <c r="CB2" s="1" t="str">
        <f>'Formulation Name Data'!A6&amp;"_T3"</f>
        <v>Cap_DGBE_0.5_0.5_T3</v>
      </c>
      <c r="CC2" s="1" t="str">
        <f>'Formulation Name Data'!A111&amp;"_T1"</f>
        <v>G225_DGBE_0.5_0.5_T1</v>
      </c>
      <c r="CD2" s="1" t="str">
        <f>'Formulation Name Data'!A111&amp;"_T2"</f>
        <v>G225_DGBE_0.5_0.5_T2</v>
      </c>
      <c r="CE2" s="1" t="str">
        <f>'Formulation Name Data'!A111&amp;"_T3"</f>
        <v>G225_DGBE_0.5_0.5_T3</v>
      </c>
      <c r="CF2" s="1" t="str">
        <f>'Formulation Name Data'!A85&amp;"_T1"</f>
        <v>D502W_G225_DGBE_0.5_0.5_0.5_T1</v>
      </c>
      <c r="CG2" s="1" t="str">
        <f>'Formulation Name Data'!A85&amp;"_T2"</f>
        <v>D502W_G225_DGBE_0.5_0.5_0.5_T2</v>
      </c>
      <c r="CH2" s="1" t="str">
        <f>'Formulation Name Data'!A85&amp;"_T3"</f>
        <v>D502W_G225_DGBE_0.5_0.5_0.5_T3</v>
      </c>
      <c r="CI2" s="1" t="str">
        <f>'Formulation Name Data'!A112&amp;"_T1"</f>
        <v>G600_DGBE_0.5_0.5_T1</v>
      </c>
      <c r="CJ2" s="1" t="str">
        <f>'Formulation Name Data'!A112&amp;"_T2"</f>
        <v>G600_DGBE_0.5_0.5_T2</v>
      </c>
      <c r="CK2" s="1" t="str">
        <f>'Formulation Name Data'!A112&amp;"_T3"</f>
        <v>G600_DGBE_0.5_0.5_T3</v>
      </c>
      <c r="CL2" s="1" t="str">
        <f>'Formulation Name Data'!A86&amp;"_T1"</f>
        <v>D502W_G215_DGBE_0.5_0.5_0.5_T1</v>
      </c>
      <c r="CM2" s="1" t="str">
        <f>'Formulation Name Data'!A86&amp;"_T2"</f>
        <v>D502W_G215_DGBE_0.5_0.5_0.5_T2</v>
      </c>
      <c r="CN2" s="1" t="str">
        <f>'Formulation Name Data'!A86&amp;"_T3"</f>
        <v>D502W_G215_DGBE_0.5_0.5_0.5_T3</v>
      </c>
      <c r="CO2" s="1" t="str">
        <f>'Formulation Name Data'!A87&amp;"_T1"</f>
        <v>D502W_G215_DGBE_0.2_0.3_0.5_T1</v>
      </c>
      <c r="CP2" s="1" t="str">
        <f>'Formulation Name Data'!A87&amp;"_T2"</f>
        <v>D502W_G215_DGBE_0.2_0.3_0.5_T2</v>
      </c>
      <c r="CQ2" s="1" t="str">
        <f>'Formulation Name Data'!A87&amp;"_T3"</f>
        <v>D502W_G215_DGBE_0.2_0.3_0.5_T3</v>
      </c>
      <c r="CR2" s="1" t="str">
        <f>'Formulation Name Data'!A88&amp;"_T1"</f>
        <v>D502W_G600_DGBE_0.25_0.25_0.5_T1</v>
      </c>
      <c r="CS2" s="1" t="str">
        <f>'Formulation Name Data'!A88&amp;"_T2"</f>
        <v>D502W_G600_DGBE_0.25_0.25_0.5_T2</v>
      </c>
      <c r="CT2" s="1" t="str">
        <f>'Formulation Name Data'!A88&amp;"_T3"</f>
        <v>D502W_G600_DGBE_0.25_0.25_0.5_T3</v>
      </c>
      <c r="CU2" s="1" t="str">
        <f>'Formulation Name Data'!A10&amp;"_T1"</f>
        <v>Buckeye 3%_3_T1</v>
      </c>
      <c r="CV2" s="1" t="str">
        <f>'Formulation Name Data'!A10&amp;"_T2"</f>
        <v>Buckeye 3%_3_T2</v>
      </c>
      <c r="CW2" s="1" t="str">
        <f>'Formulation Name Data'!A89&amp;"_T1"</f>
        <v>D502W_G600_DGBE_0.2_0.3_0.5_T1</v>
      </c>
      <c r="CX2" s="1" t="str">
        <f>'Formulation Name Data'!A89&amp;"_T2"</f>
        <v>D502W_G600_DGBE_0.2_0.3_0.5_T2</v>
      </c>
      <c r="CY2" s="1" t="str">
        <f>'Formulation Name Data'!A89&amp;"_T3"</f>
        <v>D502W_G600_DGBE_0.2_0.3_0.5_T3</v>
      </c>
      <c r="CZ2" s="1" t="str">
        <f>'Formulation Name Data'!A90&amp;"_T1"</f>
        <v>D502W_G225_DGBE_0.25_0.25_0.5_T1</v>
      </c>
      <c r="DA2" s="1" t="str">
        <f>'Formulation Name Data'!A90&amp;"_T2"</f>
        <v>D502W_G225_DGBE_0.25_0.25_0.5_T2</v>
      </c>
      <c r="DB2" s="1" t="str">
        <f>'Formulation Name Data'!A90&amp;"_T3"</f>
        <v>D502W_G225_DGBE_0.25_0.25_0.5_T3</v>
      </c>
      <c r="DC2" s="1" t="str">
        <f>'Formulation Name Data'!A91&amp;"_T1"</f>
        <v>D502W_G215_DGBE_0.25_0.25_0.5_T1</v>
      </c>
      <c r="DD2" s="1" t="str">
        <f>'Formulation Name Data'!A91&amp;"_T2"</f>
        <v>D502W_G215_DGBE_0.25_0.25_0.5_T2</v>
      </c>
      <c r="DE2" s="1" t="str">
        <f>'Formulation Name Data'!A91&amp;"_T3"</f>
        <v>D502W_G215_DGBE_0.25_0.25_0.5_T3</v>
      </c>
      <c r="DF2" s="1" t="str">
        <f>'Formulation Name Data'!A4&amp;"_T1"</f>
        <v>Cap_TrX100_DGBE_0.3_0.2_0.5_T1</v>
      </c>
      <c r="DG2" s="1" t="str">
        <f>'Formulation Name Data'!A4&amp;"_T2"</f>
        <v>Cap_TrX100_DGBE_0.3_0.2_0.5_T2</v>
      </c>
      <c r="DH2" s="1" t="str">
        <f>'Formulation Name Data'!A4&amp;"_T3"</f>
        <v>Cap_TrX100_DGBE_0.3_0.2_0.5_T3</v>
      </c>
      <c r="DI2" s="1" t="str">
        <f>'Formulation Name Data'!A55&amp;"_T1"</f>
        <v>D193_0.5_T1</v>
      </c>
      <c r="DJ2" s="1" t="str">
        <f>'Formulation Name Data'!A55&amp;"_T2"</f>
        <v>D193_0.5_T2</v>
      </c>
      <c r="DK2" s="1" t="str">
        <f>'Formulation Name Data'!A43&amp;"_T1"</f>
        <v>D67_0.5_T1</v>
      </c>
      <c r="DL2" s="1" t="str">
        <f>'Formulation Name Data'!A43&amp;"_T2"</f>
        <v>D67_0.5_T2</v>
      </c>
      <c r="DM2" s="1" t="str">
        <f>'Formulation Name Data'!A54&amp;"_T1"</f>
        <v>D502W_0.5_T1</v>
      </c>
      <c r="DN2" s="1" t="str">
        <f>'Formulation Name Data'!A54&amp;"_T2"</f>
        <v>D502W_0.5_T2</v>
      </c>
      <c r="DO2" s="1" t="str">
        <f>'Formulation Name Data'!A54&amp;"_T3"</f>
        <v>D502W_0.5_T3</v>
      </c>
      <c r="DP2" s="1" t="str">
        <f>'Formulation Name Data'!A52&amp;"_T1"</f>
        <v>L77_0.5_T1</v>
      </c>
      <c r="DQ2" s="1" t="str">
        <f>'Formulation Name Data'!A52&amp;"_T2"</f>
        <v>L77_0.5_T2</v>
      </c>
      <c r="DR2" s="1" t="str">
        <f>'Formulation Name Data'!A52&amp;"_T3"</f>
        <v>L77_0.5_T3</v>
      </c>
      <c r="DS2" s="1" t="str">
        <f>'Formulation Name Data'!A42&amp;"_T1"</f>
        <v>D501W_0.5_T1</v>
      </c>
      <c r="DT2" s="1" t="str">
        <f>'Formulation Name Data'!A42&amp;"_T2"</f>
        <v>D501W_0.5_T2</v>
      </c>
      <c r="DU2" s="1" t="str">
        <f>'Formulation Name Data'!A42&amp;"_T3"</f>
        <v>D501W_0.5_T3</v>
      </c>
      <c r="DV2" s="1" t="str">
        <f>'Formulation Name Data'!A53&amp;"_T1"</f>
        <v>Gel6185_0.5_T1</v>
      </c>
      <c r="DW2" s="1" t="str">
        <f>'Formulation Name Data'!A53&amp;"_T2"</f>
        <v>Gel6185_0.5_T2</v>
      </c>
      <c r="DX2" s="1" t="str">
        <f>'Formulation Name Data'!A53&amp;"_T3"</f>
        <v>Gel6185_0.5_T3</v>
      </c>
      <c r="DY2" s="1" t="str">
        <f>'Formulation Name Data'!A54&amp;"_T4"</f>
        <v>D502W_0.5_T4</v>
      </c>
      <c r="DZ2" s="1" t="str">
        <f>'Formulation Name Data'!A32&amp;"_T1"</f>
        <v>D501W_G215_DGBE_0.04_0.027_0.5_T1</v>
      </c>
      <c r="EA2" s="1" t="str">
        <f>'Formulation Name Data'!A32&amp;"_T2"</f>
        <v>D501W_G215_DGBE_0.04_0.027_0.5_T2</v>
      </c>
      <c r="EB2" s="12" t="str">
        <f>'Formulation Name Data'!A39&amp;"_T1"</f>
        <v>NRL_N10358-176_G225_DGBE_0.2_0.3_0.5_T1</v>
      </c>
      <c r="EC2" s="12" t="str">
        <f>'Formulation Name Data'!A39&amp;"_T2"</f>
        <v>NRL_N10358-176_G225_DGBE_0.2_0.3_0.5_T2</v>
      </c>
      <c r="ED2" s="12" t="str">
        <f>'Formulation Name Data'!A39&amp;"_T3"</f>
        <v>NRL_N10358-176_G225_DGBE_0.2_0.3_0.5_T3</v>
      </c>
      <c r="EE2" s="12" t="str">
        <f>'Formulation Name Data'!A40&amp;"_T1"</f>
        <v>NRL_N10358-174_G225_DGBE_0.2_0.3_0.5_T1</v>
      </c>
      <c r="EF2" s="12" t="str">
        <f>'Formulation Name Data'!A40&amp;"_T2"</f>
        <v>NRL_N10358-174_G225_DGBE_0.2_0.3_0.5_T2</v>
      </c>
      <c r="EG2" s="12" t="str">
        <f>'Formulation Name Data'!A40&amp;"_T3"</f>
        <v>NRL_N10358-174_G225_DGBE_0.2_0.3_0.5_T3</v>
      </c>
      <c r="EH2" s="1" t="str">
        <f>'Formulation Name Data'!A35&amp;"_T1"</f>
        <v>L77_G215_DGBE_0.11_0.08_0.5_T1</v>
      </c>
      <c r="EI2" s="1" t="str">
        <f>'Formulation Name Data'!A35&amp;"_T2"</f>
        <v>L77_G215_DGBE_0.11_0.08_0.5_T2</v>
      </c>
      <c r="EJ2" s="1" t="str">
        <f>'Formulation Name Data'!A35&amp;"_T2"</f>
        <v>L77_G215_DGBE_0.11_0.08_0.5_T2</v>
      </c>
      <c r="EK2" s="1" t="str">
        <f>'Formulation Name Data'!A36&amp;"_T1"</f>
        <v>D67_G215_DGBE_0.06_0.04_0.5_T1</v>
      </c>
      <c r="EL2" s="1" t="str">
        <f>'Formulation Name Data'!A36&amp;"_T2"</f>
        <v>D67_G215_DGBE_0.06_0.04_0.5_T2</v>
      </c>
      <c r="EM2" s="1" t="str">
        <f>'Formulation Name Data'!A36&amp;"_T3"</f>
        <v>D67_G215_DGBE_0.06_0.04_0.5_T3</v>
      </c>
      <c r="EN2" s="1" t="str">
        <f>'Formulation Name Data'!A45&amp;"_T1"</f>
        <v>Gel6185_G215_DGBE_0.06_0.04_0.5_T1</v>
      </c>
      <c r="EO2" s="1" t="str">
        <f>'Formulation Name Data'!A45&amp;"_T2"</f>
        <v>Gel6185_G215_DGBE_0.06_0.04_0.5_T2</v>
      </c>
      <c r="EP2" s="1" t="str">
        <f>'Formulation Name Data'!A45&amp;"_T3"</f>
        <v>Gel6185_G215_DGBE_0.06_0.04_0.5_T3</v>
      </c>
      <c r="EQ2" s="1" t="str">
        <f>'Formulation Name Data'!A75&amp;"_T1"</f>
        <v>D193_G215_DGBE_0.3_0.2_0.5_T1</v>
      </c>
      <c r="ER2" s="1" t="str">
        <f>'Formulation Name Data'!A75&amp;"_T2"</f>
        <v>D193_G215_DGBE_0.3_0.2_0.5_T2</v>
      </c>
      <c r="ES2" s="12" t="str">
        <f>'Formulation Name Data'!A92&amp;"_T1"</f>
        <v>NRL_N10477-09_G225_DGBE_0.2_0.3_0.5_T1</v>
      </c>
      <c r="ET2" s="12" t="str">
        <f>'Formulation Name Data'!A92&amp;"_T2"</f>
        <v>NRL_N10477-09_G225_DGBE_0.2_0.3_0.5_T2</v>
      </c>
      <c r="EU2" s="12" t="str">
        <f>'Formulation Name Data'!A92&amp;"_T3"</f>
        <v>NRL_N10477-09_G225_DGBE_0.2_0.3_0.5_T3</v>
      </c>
      <c r="EV2" s="1" t="str">
        <f>'Formulation Name Data'!A113&amp;"_T1"</f>
        <v>D502W_DGBE_0.5_0.5_T1</v>
      </c>
      <c r="EW2" s="1" t="str">
        <f>'Formulation Name Data'!A113&amp;"_T2"</f>
        <v>D502W_DGBE_0.5_0.5_T2</v>
      </c>
      <c r="EX2" s="1" t="str">
        <f>'Formulation Name Data'!A113&amp;"_T3"</f>
        <v>D502W_DGBE_0.5_0.5_T3</v>
      </c>
      <c r="EY2" s="1" t="str">
        <f>'Formulation Name Data'!A93&amp;"_T1"</f>
        <v>TrX100_G215_DGBE_0.06_0.04_0.5_T1</v>
      </c>
      <c r="EZ2" s="1" t="str">
        <f>'Formulation Name Data'!A93&amp;"_T2"</f>
        <v>TrX100_G215_DGBE_0.06_0.04_0.5_T2</v>
      </c>
      <c r="FA2" s="1" t="str">
        <f>'Formulation Name Data'!A93&amp;"_T3"</f>
        <v>TrX100_G215_DGBE_0.06_0.04_0.5_T3</v>
      </c>
      <c r="FB2" s="12" t="str">
        <f>'Formulation Name Data'!A21&amp;"_T1"</f>
        <v>TrX45_G215_DGBE_0.022_0.015_0.5_T1</v>
      </c>
      <c r="FC2" s="12" t="str">
        <f>'Formulation Name Data'!A21&amp;"_T2"</f>
        <v>TrX45_G215_DGBE_0.022_0.015_0.5_T2</v>
      </c>
      <c r="FD2" s="12" t="str">
        <f>'Formulation Name Data'!A21&amp;"_T3"</f>
        <v>TrX45_G215_DGBE_0.022_0.015_0.5_T3</v>
      </c>
      <c r="FE2" s="1" t="str">
        <f>'Formulation Name Data'!A22&amp;"_T1"</f>
        <v>TrX114_G215_DGBE_0.04_0.027_0.5_T1</v>
      </c>
      <c r="FF2" s="1" t="str">
        <f>'Formulation Name Data'!A22&amp;"_T2"</f>
        <v>TrX114_G215_DGBE_0.04_0.027_0.5_T2</v>
      </c>
      <c r="FG2" s="1" t="str">
        <f>'Formulation Name Data'!A22&amp;"_T3"</f>
        <v>TrX114_G215_DGBE_0.04_0.027_0.5_T3</v>
      </c>
      <c r="FH2" s="1" t="str">
        <f>'Formulation Name Data'!A94&amp;"_T1"</f>
        <v>Gel6492.6_G215_DGBE_0.06_0.04_0.5_T1</v>
      </c>
      <c r="FI2" s="1" t="str">
        <f>'Formulation Name Data'!A94&amp;"_T2"</f>
        <v>Gel6492.6_G215_DGBE_0.06_0.04_0.5_T2</v>
      </c>
      <c r="FJ2" s="1" t="str">
        <f>'Formulation Name Data'!A94&amp;"_T3"</f>
        <v>Gel6492.6_G215_DGBE_0.06_0.04_0.5_T3</v>
      </c>
      <c r="FK2" s="1" t="str">
        <f>'Formulation Name Data'!A114&amp;"_T1"</f>
        <v>T15-S-9_G215_DGBE_0.03_0.02_0.5_T1</v>
      </c>
      <c r="FL2" s="1" t="str">
        <f>'Formulation Name Data'!A114&amp;"_T2"</f>
        <v>T15-S-9_G215_DGBE_0.03_0.02_0.5_T2</v>
      </c>
      <c r="FM2" s="1" t="str">
        <f>'Formulation Name Data'!A114&amp;"_T3"</f>
        <v>T15-S-9_G215_DGBE_0.03_0.02_0.5_T3</v>
      </c>
      <c r="FN2" s="1" t="str">
        <f>'Formulation Name Data'!A28&amp;"_T1"</f>
        <v>Mys_G215_DGBE_0.068_0.045_0.5_T1</v>
      </c>
      <c r="FO2" s="1" t="str">
        <f>'Formulation Name Data'!A28&amp;"_T2"</f>
        <v>Mys_G215_DGBE_0.068_0.045_0.5_T2</v>
      </c>
      <c r="FP2" s="1" t="str">
        <f>'Formulation Name Data'!A28&amp;"_T3"</f>
        <v>Mys_G215_DGBE_0.068_0.045_0.5_T3</v>
      </c>
      <c r="FQ2" s="1" t="str">
        <f>'Formulation Name Data'!A95&amp;"_T1"</f>
        <v>SDS_G215_DGBE_0.22_0.15_0.5_T1</v>
      </c>
      <c r="FR2" s="1" t="str">
        <f>'Formulation Name Data'!A95&amp;"_T2"</f>
        <v>SDS_G215_DGBE_0.22_0.15_0.5_T2</v>
      </c>
      <c r="FS2" s="1" t="str">
        <f>'Formulation Name Data'!A95&amp;"_T3"</f>
        <v>SDS_G215_DGBE_0.22_0.15_0.5_T3</v>
      </c>
      <c r="FT2" s="1" t="str">
        <f>'Formulation Name Data'!A115&amp;"_T1"</f>
        <v>T15-S-12_G215_DGBE_0.03_0.02_0.5_T1</v>
      </c>
      <c r="FU2" s="1" t="str">
        <f>'Formulation Name Data'!A115&amp;"_T2"</f>
        <v>T15-S-12_G215_DGBE_0.03_0.02_0.5_T2</v>
      </c>
      <c r="FV2" s="1" t="str">
        <f>'Formulation Name Data'!A115&amp;"_T3"</f>
        <v>T15-S-12_G215_DGBE_0.03_0.02_0.5_T3</v>
      </c>
      <c r="FW2" s="1" t="str">
        <f>'Formulation Name Data'!A96&amp;"_T1"</f>
        <v>NRL_N10477-12_G225_DGBE_0.2_0.3_0.5_T1</v>
      </c>
      <c r="FX2" s="1" t="str">
        <f>'Formulation Name Data'!A96&amp;"_T2"</f>
        <v>NRL_N10477-12_G225_DGBE_0.2_0.3_0.5_T2</v>
      </c>
      <c r="FY2" s="1" t="str">
        <f>'Formulation Name Data'!A96&amp;"_T3"</f>
        <v>NRL_N10477-12_G225_DGBE_0.2_0.3_0.5_T3</v>
      </c>
      <c r="FZ2" s="1" t="str">
        <f>'Formulation Name Data'!A97&amp;"_T1"</f>
        <v>NRL_N10477-07_G225_DGBE_0.2_0.3_0.5_T1</v>
      </c>
      <c r="GA2" s="1" t="str">
        <f>'Formulation Name Data'!A97&amp;"_T2"</f>
        <v>NRL_N10477-07_G225_DGBE_0.2_0.3_0.5_T2</v>
      </c>
      <c r="GB2" s="1" t="str">
        <f>'Formulation Name Data'!A97&amp;"_T3"</f>
        <v>NRL_N10477-07_G225_DGBE_0.2_0.3_0.5_T3</v>
      </c>
      <c r="GC2" s="12" t="str">
        <f>'Formulation Name Data'!A39&amp;"_T4"</f>
        <v>NRL_N10358-176_G225_DGBE_0.2_0.3_0.5_T4</v>
      </c>
      <c r="GD2" s="12" t="str">
        <f>'Formulation Name Data'!A39&amp;"_T5"</f>
        <v>NRL_N10358-176_G225_DGBE_0.2_0.3_0.5_T5</v>
      </c>
      <c r="GE2" s="12" t="str">
        <f>'Formulation Name Data'!A39&amp;"_T6"</f>
        <v>NRL_N10358-176_G225_DGBE_0.2_0.3_0.5_T6</v>
      </c>
      <c r="GF2" s="12" t="str">
        <f>'Formulation Name Data'!A116&amp;"_T1"</f>
        <v>NRL_N10477-05_G215_DGBE_0.2_0.3_0.5_T1</v>
      </c>
      <c r="GG2" s="12" t="str">
        <f>'Formulation Name Data'!A116&amp;"_T2"</f>
        <v>NRL_N10477-05_G215_DGBE_0.2_0.3_0.5_T2</v>
      </c>
      <c r="GH2" s="12" t="str">
        <f>'Formulation Name Data'!A116&amp;"_T3"</f>
        <v>NRL_N10477-05_G215_DGBE_0.2_0.3_0.5_T3</v>
      </c>
      <c r="GI2" s="1" t="str">
        <f>'Formulation Name Data'!A46&amp;"_T1"</f>
        <v>ComSor181360_G225_DGBE_0.2_0.3_0.5_T1</v>
      </c>
      <c r="GJ2" s="1" t="str">
        <f>'Formulation Name Data'!A48&amp;"_T1"</f>
        <v>D502W_C8G2_DGBE_0.2_0.19_0.5_T1</v>
      </c>
      <c r="GK2" s="1" t="str">
        <f>'Formulation Name Data'!A48&amp;"_T2"</f>
        <v>D502W_C8G2_DGBE_0.2_0.19_0.5_T2</v>
      </c>
      <c r="GL2" s="1" t="str">
        <f>'Formulation Name Data'!A48&amp;"_T3"</f>
        <v>D502W_C8G2_DGBE_0.2_0.19_0.5_T3</v>
      </c>
      <c r="GM2" s="1" t="str">
        <f>'Formulation Name Data'!A51&amp;"_T1"</f>
        <v>D502W_C8G1_DGBE_0.2_0.19_0.5_T1</v>
      </c>
      <c r="GN2" s="1" t="str">
        <f>'Formulation Name Data'!A51&amp;"_T2"</f>
        <v>D502W_C8G1_DGBE_0.2_0.19_0.5_T2</v>
      </c>
      <c r="GO2" s="1" t="str">
        <f>'Formulation Name Data'!A51&amp;"_T3"</f>
        <v>D502W_C8G1_DGBE_0.2_0.19_0.5_T3</v>
      </c>
      <c r="GP2" s="1" t="str">
        <f>'Formulation Name Data'!A49&amp;"_T1"</f>
        <v>D502W_C10G2_DGBE_0.2_0.19_0.5_T1</v>
      </c>
      <c r="GQ2" s="1" t="str">
        <f>'Formulation Name Data'!A49&amp;"_T2"</f>
        <v>D502W_C10G2_DGBE_0.2_0.19_0.5_T2</v>
      </c>
      <c r="GR2" s="1" t="str">
        <f>'Formulation Name Data'!A50&amp;"_T1"</f>
        <v>D502W_C12G2_DGBE_0.2_0.19_0.5_T1</v>
      </c>
      <c r="GS2" s="1" t="str">
        <f>'Formulation Name Data'!A50&amp;"_T2"</f>
        <v>D502W_C12G2_DGBE_0.2_0.19_0.5_T2</v>
      </c>
      <c r="GT2" s="1" t="str">
        <f>'Formulation Name Data'!A50&amp;"_T3"</f>
        <v>D502W_C12G2_DGBE_0.2_0.19_0.5_T3</v>
      </c>
      <c r="GU2" s="12" t="str">
        <f>'Formulation Name Data'!A160&amp;"_T1"</f>
        <v>D502W_CL_C8G3_DGBE_0.2_0.19_0.5_T1</v>
      </c>
      <c r="GV2" s="12" t="str">
        <f>'Formulation Name Data'!A160&amp;"_T2"</f>
        <v>D502W_CL_C8G3_DGBE_0.2_0.19_0.5_T2</v>
      </c>
      <c r="GW2" s="12" t="str">
        <f>'Formulation Name Data'!A160&amp;"_T3"</f>
        <v>D502W_CL_C8G3_DGBE_0.2_0.19_0.5_T3</v>
      </c>
      <c r="GX2" s="1" t="str">
        <f>'Formulation Name Data'!A56&amp;"_T4"</f>
        <v>G215_0.5_T4</v>
      </c>
      <c r="GY2" s="1" t="str">
        <f>'Formulation Name Data'!A56&amp;"_T5"</f>
        <v>G215_0.5_T5</v>
      </c>
      <c r="GZ2" s="1" t="str">
        <f>'Formulation Name Data'!A56&amp;"_T6"</f>
        <v>G215_0.5_T6</v>
      </c>
      <c r="HA2" s="1" t="str">
        <f>'Formulation Name Data'!A33&amp;"_T4"</f>
        <v>D502W_G215_DGBE_0.075_0.05_0.5_T4</v>
      </c>
      <c r="HB2" s="1" t="str">
        <f>'Formulation Name Data'!A33&amp;"_T5"</f>
        <v>D502W_G215_DGBE_0.075_0.05_0.5_T5</v>
      </c>
      <c r="HC2" s="1" t="str">
        <f>'Formulation Name Data'!A33&amp;"_T6"</f>
        <v>D502W_G215_DGBE_0.075_0.05_0.5_T6</v>
      </c>
      <c r="HD2" s="12" t="str">
        <f>'Formulation Name Data'!A98&amp;"_T1"</f>
        <v>ComSor1830503_T1</v>
      </c>
      <c r="HE2" s="12" t="str">
        <f>'Formulation Name Data'!A98&amp;"_T2"</f>
        <v>ComSor1830503_T2</v>
      </c>
      <c r="HF2" s="12" t="str">
        <f>'Formulation Name Data'!A99&amp;"_T1"</f>
        <v>ComSor_26990-95B_T1</v>
      </c>
      <c r="HG2" s="12" t="str">
        <f>'Formulation Name Data'!A99&amp;"_T2"</f>
        <v>ComSor_26990-95B_T2</v>
      </c>
      <c r="HH2" s="12" t="str">
        <f>'Formulation Name Data'!A100&amp;"_T1"</f>
        <v>ComSor_26990-95C_T1</v>
      </c>
      <c r="HI2" s="12" t="str">
        <f>'Formulation Name Data'!A100&amp;"_T2"</f>
        <v>ComSor_26990-95C_T2</v>
      </c>
      <c r="HJ2" s="12" t="str">
        <f>'Formulation Name Data'!A101&amp;"_T1"</f>
        <v>ComSor_26990-95D_T1</v>
      </c>
      <c r="HK2" s="12" t="str">
        <f>'Formulation Name Data'!A101&amp;"_T2"</f>
        <v>ComSor_26990-95D_T2</v>
      </c>
      <c r="HL2" s="1" t="str">
        <f>'Formulation Name Data'!A102&amp;"_T1"</f>
        <v>D502W_C8SG2_DGBE_0.2_0.19_0.5_T1</v>
      </c>
      <c r="HM2" s="1" t="str">
        <f>'Formulation Name Data'!A102&amp;"_T2"</f>
        <v>D502W_C8SG2_DGBE_0.2_0.19_0.5_T2</v>
      </c>
      <c r="HN2" s="1" t="str">
        <f>'Formulation Name Data'!A102&amp;"_T3"</f>
        <v>D502W_C8SG2_DGBE_0.2_0.19_0.5_T3</v>
      </c>
      <c r="HO2" s="1" t="str">
        <f>'Formulation Name Data'!A103&amp;"_T1"</f>
        <v>D502W_Cymal_DGBE_0.2_0.19_0.5_T1</v>
      </c>
      <c r="HP2" s="1" t="str">
        <f>'Formulation Name Data'!A103&amp;"_T2"</f>
        <v>D502W_Cymal_DGBE_0.2_0.19_0.5_T2</v>
      </c>
      <c r="HQ2" s="1" t="str">
        <f>'Formulation Name Data'!A103&amp;"_T3"</f>
        <v>D502W_Cymal_DGBE_0.2_0.19_0.5_T3</v>
      </c>
      <c r="HR2" s="1" t="str">
        <f>'Formulation Name Data'!A104&amp;"_T1"</f>
        <v>D502W_iC8G2_DGBE_0.2_0.19_0.5_T1</v>
      </c>
      <c r="HS2" s="1" t="str">
        <f>'Formulation Name Data'!A104&amp;"_T2"</f>
        <v>D502W_iC8G2_DGBE_0.2_0.19_0.5_T2</v>
      </c>
      <c r="HT2" s="1" t="str">
        <f>'Formulation Name Data'!A104&amp;"_T3"</f>
        <v>D502W_iC8G2_DGBE_0.2_0.19_0.5_T3</v>
      </c>
      <c r="HU2" s="1" t="str">
        <f>'Formulation Name Data'!A105&amp;"_T1"</f>
        <v>D502W_C6G2_DGBE_0.2_0.19_0.5_T1</v>
      </c>
      <c r="HV2" s="1" t="str">
        <f>'Formulation Name Data'!A105&amp;"_T2"</f>
        <v>D502W_C6G2_DGBE_0.2_0.19_0.5_T2</v>
      </c>
      <c r="HW2" s="1" t="str">
        <f>'Formulation Name Data'!A105&amp;"_T3"</f>
        <v>D502W_C6G2_DGBE_0.2_0.19_0.5_T3</v>
      </c>
      <c r="HX2" s="1" t="str">
        <f>'Formulation Name Data'!A106&amp;"_T1"</f>
        <v>D502W_C9G2_DGBE_0.2_0.19_0.5_T1</v>
      </c>
      <c r="HY2" s="1" t="str">
        <f>'Formulation Name Data'!A106&amp;"_T2"</f>
        <v>D502W_C9G2_DGBE_0.2_0.19_0.5_T2</v>
      </c>
      <c r="HZ2" s="1" t="str">
        <f>'Formulation Name Data'!A106&amp;"_T3"</f>
        <v>D502W_C9G2_DGBE_0.2_0.19_0.5_T3</v>
      </c>
      <c r="IA2" s="1" t="str">
        <f>'Formulation Name Data'!A107&amp;"_T1"</f>
        <v>D502W_C6G1_DGBE_0.2_0.19_0.5_T1</v>
      </c>
      <c r="IB2" s="1" t="str">
        <f>'Formulation Name Data'!A107&amp;"_T2"</f>
        <v>D502W_C6G1_DGBE_0.2_0.19_0.5_T2</v>
      </c>
      <c r="IC2" s="1" t="str">
        <f>'Formulation Name Data'!A107&amp;"_T3"</f>
        <v>D502W_C6G1_DGBE_0.2_0.19_0.5_T3</v>
      </c>
      <c r="ID2" s="1" t="str">
        <f>'Formulation Name Data'!A108&amp;"_T1"</f>
        <v>D502W_C7G1_DGBE_0.2_0.19_0.5_T1</v>
      </c>
      <c r="IE2" s="1" t="str">
        <f>'Formulation Name Data'!A108&amp;"_T2"</f>
        <v>D502W_C7G1_DGBE_0.2_0.19_0.5_T2</v>
      </c>
      <c r="IF2" s="1" t="str">
        <f>'Formulation Name Data'!A108&amp;"_T3"</f>
        <v>D502W_C7G1_DGBE_0.2_0.19_0.5_T3</v>
      </c>
      <c r="IG2" s="1" t="str">
        <f>'Formulation Name Data'!A44&amp;"_T4"</f>
        <v>Cap_0.5_T4</v>
      </c>
      <c r="IH2" s="1" t="str">
        <f>'Formulation Name Data'!A44&amp;"_T5"</f>
        <v>Cap_0.5_T5</v>
      </c>
      <c r="II2" s="1" t="str">
        <f>'Formulation Name Data'!A44&amp;"_T6"</f>
        <v>Cap_0.5_T6</v>
      </c>
      <c r="IJ2" s="1" t="str">
        <f>'Formulation Name Data'!A41&amp;"_T1"</f>
        <v>G225_0.5_T1</v>
      </c>
      <c r="IK2" s="1" t="str">
        <f>'Formulation Name Data'!A41&amp;"_T2"</f>
        <v>G225_0.5_T2</v>
      </c>
      <c r="IL2" s="1" t="str">
        <f>'Formulation Name Data'!A41&amp;"_T3"</f>
        <v>G225_0.5_T3</v>
      </c>
      <c r="IM2" s="1" t="str">
        <f>'Formulation Name Data'!A38&amp;"_T1"</f>
        <v>D502W_G225_0.2_0.3_T1</v>
      </c>
      <c r="IN2" s="1" t="str">
        <f>'Formulation Name Data'!A38&amp;"_T2"</f>
        <v>D502W_G225_0.2_0.3_T2</v>
      </c>
      <c r="IO2" s="1" t="str">
        <f>'Formulation Name Data'!A38&amp;"_T3"</f>
        <v>D502W_G225_0.2_0.3_T3</v>
      </c>
      <c r="IP2" s="1" t="str">
        <f>'Formulation Name Data'!A37&amp;"_T1"</f>
        <v>D502W_G225_DGBE_0.2_0.3_0.5_T1</v>
      </c>
      <c r="IQ2" s="1" t="str">
        <f>'Formulation Name Data'!A37&amp;"_T2"</f>
        <v>D502W_G225_DGBE_0.2_0.3_0.5_T2</v>
      </c>
      <c r="IR2" s="1" t="str">
        <f>'Formulation Name Data'!A37&amp;"_T3"</f>
        <v>D502W_G225_DGBE_0.2_0.3_0.5_T3</v>
      </c>
      <c r="IS2" s="1" t="str">
        <f>'Formulation Name Data'!A109&amp;"_T1"</f>
        <v>G225_DGBE_0.3_0.5_T1</v>
      </c>
      <c r="IT2" s="1" t="str">
        <f>'Formulation Name Data'!A109&amp;"_T2"</f>
        <v>G225_DGBE_0.3_0.5_T2</v>
      </c>
      <c r="IU2" s="1" t="str">
        <f>'Formulation Name Data'!A64&amp;"_AgedConc_T1"</f>
        <v>Avio®F3 Green KHC_AgedConc_T1</v>
      </c>
      <c r="IV2" s="1" t="str">
        <f>'Formulation Name Data'!A64&amp;"_AgedConc_T2"</f>
        <v>Avio®F3 Green KHC_AgedConc_T2</v>
      </c>
      <c r="IW2" s="1" t="str">
        <f>'Formulation Name Data'!A64&amp;"_AgedConc_T3"</f>
        <v>Avio®F3 Green KHC_AgedConc_T3</v>
      </c>
      <c r="IX2" s="1" t="str">
        <f>'Formulation Name Data'!A65&amp;"_AgedConc_T1"</f>
        <v>JetFoam 3%_AgedConc_T1</v>
      </c>
      <c r="IY2" s="1" t="str">
        <f>'Formulation Name Data'!A65&amp;"_AgedConc_T2"</f>
        <v>JetFoam 3%_AgedConc_T2</v>
      </c>
      <c r="IZ2" s="1" t="str">
        <f>'Formulation Name Data'!A110&amp;"_T1"</f>
        <v>ComSor_EXP-21-CH1035-B_T1</v>
      </c>
      <c r="JA2" s="1" t="str">
        <f>'Formulation Name Data'!A110&amp;"_T2"</f>
        <v>ComSor_EXP-21-CH1035-B_T2</v>
      </c>
      <c r="JB2" s="1" t="str">
        <f>'Formulation Name Data'!A117&amp;"_T1"</f>
        <v>ComSor_EXP-21-CH1035-A_T1</v>
      </c>
      <c r="JC2" s="1" t="str">
        <f>'Formulation Name Data'!A117&amp;"_T2"</f>
        <v>ComSor_EXP-21-CH1035-A_T2</v>
      </c>
      <c r="JD2" s="1" t="str">
        <f>'Formulation Name Data'!A118&amp;"_T1"</f>
        <v>ComSor_EXP-21-CH1035-C_T1</v>
      </c>
      <c r="JE2" s="1" t="str">
        <f>'Formulation Name Data'!A66&amp;"_AgedConc_T1"</f>
        <v>Solberg® Rehealing RF3 3%_AgedConc_T1</v>
      </c>
      <c r="JF2" s="1" t="str">
        <f>'Formulation Name Data'!A66&amp;"_AgedConc_T2"</f>
        <v>Solberg® Rehealing RF3 3%_AgedConc_T2</v>
      </c>
      <c r="JG2" s="1" t="str">
        <f>'Formulation Name Data'!A67&amp;"_T1"</f>
        <v>FomtecEnviroUSP 3%_T1</v>
      </c>
      <c r="JH2" s="1" t="str">
        <f>'Formulation Name Data'!A67&amp;"_T2"</f>
        <v>FomtecEnviroUSP 3%_T2</v>
      </c>
      <c r="JI2" s="1" t="str">
        <f>'Formulation Name Data'!A63&amp;"_T1"</f>
        <v>ComSor_EXP-21-1_T1</v>
      </c>
      <c r="JJ2" s="1" t="str">
        <f>'Formulation Name Data'!A63&amp;"_T2"</f>
        <v>ComSor_EXP-21-1_T2</v>
      </c>
      <c r="JK2" s="1" t="str">
        <f>'Formulation Name Data'!A62&amp;"_T1"</f>
        <v>ComSor_EXP-21-2_T1</v>
      </c>
      <c r="JL2" s="1" t="str">
        <f>'Formulation Name Data'!A62&amp;"_T2"</f>
        <v>ComSor_EXP-21-2_T2</v>
      </c>
      <c r="JM2" s="1" t="str">
        <f>'Formulation Name Data'!A68&amp;"_T1"</f>
        <v>ComSor_EXP-21-3_T1</v>
      </c>
      <c r="JN2" s="1" t="str">
        <f>'Formulation Name Data'!A69&amp;"_T1"</f>
        <v>ComSor_EXP-21-5_T1</v>
      </c>
      <c r="JO2" s="1" t="str">
        <f>'Formulation Name Data'!A69&amp;"_T2"</f>
        <v>ComSor_EXP-21-5_T2</v>
      </c>
      <c r="JP2" s="1" t="str">
        <f>'Formulation Name Data'!A70&amp;"_T1"</f>
        <v>ComSor_EXP-21-6_T1</v>
      </c>
      <c r="JQ2" s="1" t="str">
        <f>'Formulation Name Data'!A70&amp;"_T2"</f>
        <v>ComSor_EXP-21-6_T2</v>
      </c>
      <c r="JR2" s="1" t="str">
        <f>'Formulation Name Data'!A71&amp;"_T1"</f>
        <v>ComSor_EXP-21-7_T1</v>
      </c>
      <c r="JS2" s="1" t="str">
        <f>'Formulation Name Data'!A71&amp;"_T2"</f>
        <v>ComSor_EXP-21-7_T2</v>
      </c>
      <c r="JT2" s="1" t="str">
        <f>'Formulation Name Data'!A178&amp;"_T1"</f>
        <v>CL_MD2062-121_G225_DGBE_0.1_0.3_0.5_T1</v>
      </c>
      <c r="JU2" s="1" t="str">
        <f>'Formulation Name Data'!A178&amp;"_T2"</f>
        <v>CL_MD2062-121_G225_DGBE_0.1_0.3_0.5_T2</v>
      </c>
      <c r="JV2" s="1" t="str">
        <f>'Formulation Name Data'!A178&amp;"_T3"</f>
        <v>CL_MD2062-121_G225_DGBE_0.1_0.3_0.5_T3</v>
      </c>
      <c r="JW2" s="1" t="str">
        <f>'Formulation Name Data'!A138&amp;"_T1"</f>
        <v>CL_MD2086-97_G225_DGBE_0.34_0.56_0.5_T1</v>
      </c>
      <c r="JX2" s="1" t="str">
        <f>'Formulation Name Data'!A139&amp;"_T1"</f>
        <v>CL_MD2086-97_0.5_T1</v>
      </c>
      <c r="JY2" s="1" t="str">
        <f>'Formulation Name Data'!A154&amp;"_T1"</f>
        <v>CL_MD2012-16_G225_DGBE_0.52_0.78_0.5_T1</v>
      </c>
      <c r="JZ2" s="1" t="str">
        <f>'Formulation Name Data'!A155&amp;"_T1"</f>
        <v>NRL_N10478-198_G225_DGBE_0.065_0.3_0.5_T1</v>
      </c>
      <c r="KA2" s="1" t="str">
        <f>'Formulation Name Data'!A155&amp;"_T2"</f>
        <v>NRL_N10478-198_G225_DGBE_0.065_0.3_0.5_T2</v>
      </c>
      <c r="KB2" s="1" t="str">
        <f>'Formulation Name Data'!A158&amp;"_T1"</f>
        <v>CL_MD2102-54_G225_DGBE_0.2_0.3_0.5_T1</v>
      </c>
      <c r="KC2" s="1" t="str">
        <f>'Formulation Name Data'!A182&amp;"_T1"</f>
        <v>NRL_LBII43_G225_DGBE_0.2_0.3_0.5_T1</v>
      </c>
      <c r="KD2" s="1" t="str">
        <f>'Formulation Name Data'!A182&amp;"_T2"</f>
        <v>NRL_LBII43_G225_DGBE_0.2_0.3_0.5_T2</v>
      </c>
      <c r="KE2" s="1" t="str">
        <f>'Formulation Name Data'!A183&amp;"_T1"</f>
        <v>NRL_CB_DTBTS_SB_G225_DGBE_0.02_0.3_0.5_T1</v>
      </c>
      <c r="KF2" s="1" t="str">
        <f>'Formulation Name Data'!A183&amp;"_T2"</f>
        <v>NRL_CB_DTBTS_SB_G225_DGBE_0.02_0.3_0.5_T2</v>
      </c>
      <c r="KG2" s="1" t="str">
        <f>'Formulation Name Data'!A184&amp;"_T1"</f>
        <v>NRL_CB-1-123_G225_DGBE_0.2_0.3_0.5_T1</v>
      </c>
      <c r="KH2" s="1" t="str">
        <f>'Formulation Name Data'!A185&amp;"_T2"</f>
        <v>NRL_N10478-227_G225_DGBE_0.063_0.3_0.5_T2</v>
      </c>
      <c r="KI2" s="12" t="str">
        <f>'Formulation Name Data'!A187&amp;"_T1"</f>
        <v>NRL_N10478-240_G225_DGBE_#_0.3_0.5_T1</v>
      </c>
      <c r="KJ2" s="12" t="str">
        <f>'Formulation Name Data'!A187&amp;"_T2"</f>
        <v>NRL_N10478-240_G225_DGBE_#_0.3_0.5_T2</v>
      </c>
      <c r="KK2" s="12" t="str">
        <f>'Formulation Name Data'!A188&amp;"_T1"</f>
        <v>CL_MD2102-90_G225_DGBE_0.2_0.3_0.5_T1</v>
      </c>
      <c r="KL2" s="12" t="str">
        <f>'Formulation Name Data'!A189&amp;"_T1"</f>
        <v>CL_MD2102-112_G225_DGBE_0.05_0.3_0.5_T1</v>
      </c>
      <c r="KM2" s="12" t="str">
        <f>'Formulation Name Data'!A189&amp;"_T2"</f>
        <v>CL_MD2102-112_G225_DGBE_0.05_0.3_0.5_T2</v>
      </c>
      <c r="KN2" s="12" t="str">
        <f>'Formulation Name Data'!A191&amp;"_T1"</f>
        <v>ComSor_EXP-21-CH1070-1_3_T1</v>
      </c>
      <c r="KO2" s="12" t="str">
        <f>'Formulation Name Data'!A191&amp;"_T2"</f>
        <v>ComSor_EXP-21-CH1070-1_3_T2</v>
      </c>
      <c r="KP2" s="12" t="str">
        <f>'Formulation Name Data'!A190&amp;"_T1"</f>
        <v>CL_MD2102-118_G225_DGBE_0.2_0.3_0.5_T1</v>
      </c>
      <c r="KQ2" s="12" t="str">
        <f>'Formulation Name Data'!A190&amp;"_T2"</f>
        <v>CL_MD2102-118_G225_DGBE_0.2_0.3_0.5_T2</v>
      </c>
      <c r="KR2" s="12" t="str">
        <f>'Formulation Name Data'!A192&amp;"_T1"</f>
        <v>ComSor_EXP-21-CH1070-2_3_T1</v>
      </c>
      <c r="KS2" s="12" t="str">
        <f>'Formulation Name Data'!A192&amp;"_T2"</f>
        <v>ComSor_EXP-21-CH1070-2_3_T2</v>
      </c>
      <c r="KT2" s="12" t="str">
        <f>'Formulation Name Data'!A193&amp;"_T1"</f>
        <v>ComSor_EXP-21-CH1070-4_1_T1</v>
      </c>
      <c r="KU2" s="12" t="str">
        <f>'Formulation Name Data'!A193&amp;"_T2"</f>
        <v>ComSor_EXP-21-CH1070-4_1_T2</v>
      </c>
      <c r="KV2" s="1" t="str">
        <f>'Formulation Name Data'!A197&amp;"_T1"</f>
        <v>NRL_CB-1-192_G225_DGBE_0.14_0.21_0.5_T1</v>
      </c>
      <c r="KW2" s="1" t="str">
        <f>'Formulation Name Data'!A197&amp;"_T2"</f>
        <v>NRL_CB-1-192_G225_DGBE_0.14_0.21_0.5_T2</v>
      </c>
      <c r="KX2" s="1" t="str">
        <f>'Formulation Name Data'!A166&amp;"_T1"</f>
        <v>ComSor_EXP-22-CH1050_T1</v>
      </c>
    </row>
    <row r="3" spans="1:310" x14ac:dyDescent="0.35">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s="42">
        <v>51</v>
      </c>
      <c r="DJ3" s="42">
        <v>51</v>
      </c>
      <c r="DK3" s="42">
        <v>51</v>
      </c>
      <c r="DL3" s="42">
        <v>51</v>
      </c>
      <c r="DM3" s="42">
        <v>60</v>
      </c>
      <c r="DN3" s="42">
        <v>60</v>
      </c>
      <c r="DO3" s="42">
        <v>60</v>
      </c>
      <c r="DP3" s="42">
        <v>40</v>
      </c>
      <c r="DQ3" s="42">
        <v>40</v>
      </c>
      <c r="DR3" s="42">
        <v>40</v>
      </c>
      <c r="DS3" s="42">
        <v>40</v>
      </c>
      <c r="DT3" s="42">
        <v>40</v>
      </c>
      <c r="DU3" s="42">
        <v>40</v>
      </c>
      <c r="DV3" s="42">
        <v>40</v>
      </c>
      <c r="DW3" s="42">
        <v>40</v>
      </c>
      <c r="DX3" s="42">
        <v>40</v>
      </c>
      <c r="DY3">
        <v>0</v>
      </c>
      <c r="DZ3" s="42">
        <v>53</v>
      </c>
      <c r="EA3" s="42">
        <v>53</v>
      </c>
      <c r="EB3">
        <v>0</v>
      </c>
      <c r="EC3">
        <v>0</v>
      </c>
      <c r="ED3">
        <v>0</v>
      </c>
      <c r="EE3">
        <v>0</v>
      </c>
      <c r="EF3">
        <v>0</v>
      </c>
      <c r="EG3">
        <v>0</v>
      </c>
      <c r="EH3" s="42">
        <v>55</v>
      </c>
      <c r="EI3" s="42">
        <v>55</v>
      </c>
      <c r="EJ3" s="42">
        <v>50</v>
      </c>
      <c r="EK3" s="42">
        <v>50</v>
      </c>
      <c r="EL3" s="42">
        <v>50</v>
      </c>
      <c r="EM3" s="42">
        <v>50</v>
      </c>
      <c r="EN3" s="42">
        <v>43</v>
      </c>
      <c r="EO3" s="42">
        <v>43</v>
      </c>
      <c r="EP3" s="42">
        <v>43</v>
      </c>
      <c r="EQ3" s="42">
        <v>48</v>
      </c>
      <c r="ER3" s="42">
        <v>48</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48</v>
      </c>
      <c r="FS3">
        <v>0</v>
      </c>
      <c r="FT3">
        <v>0</v>
      </c>
      <c r="FU3">
        <v>0</v>
      </c>
      <c r="FV3">
        <v>0</v>
      </c>
      <c r="FW3">
        <v>0</v>
      </c>
      <c r="FX3">
        <v>0</v>
      </c>
      <c r="FY3">
        <v>0</v>
      </c>
      <c r="FZ3">
        <v>0</v>
      </c>
      <c r="GA3">
        <v>0</v>
      </c>
      <c r="GB3">
        <v>0</v>
      </c>
      <c r="GC3" s="43">
        <v>0</v>
      </c>
      <c r="GD3">
        <v>0</v>
      </c>
      <c r="GE3">
        <v>0</v>
      </c>
      <c r="GF3">
        <v>0</v>
      </c>
      <c r="GG3">
        <v>16</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8</v>
      </c>
      <c r="JQ3">
        <v>0</v>
      </c>
      <c r="JR3">
        <v>0</v>
      </c>
      <c r="JS3">
        <v>0</v>
      </c>
      <c r="JT3">
        <v>0</v>
      </c>
      <c r="JU3">
        <v>0</v>
      </c>
      <c r="JV3">
        <v>0</v>
      </c>
      <c r="JW3">
        <v>0</v>
      </c>
      <c r="JX3">
        <v>0</v>
      </c>
      <c r="JY3">
        <v>0</v>
      </c>
      <c r="JZ3" s="42">
        <v>0</v>
      </c>
      <c r="KA3">
        <v>0</v>
      </c>
      <c r="KB3" s="42">
        <v>0</v>
      </c>
      <c r="KC3">
        <v>0</v>
      </c>
      <c r="KD3">
        <v>0</v>
      </c>
      <c r="KE3">
        <v>0</v>
      </c>
      <c r="KF3" s="42">
        <v>0</v>
      </c>
      <c r="KG3" s="42">
        <v>0</v>
      </c>
      <c r="KH3" s="42">
        <v>0</v>
      </c>
      <c r="KI3" s="42">
        <v>0</v>
      </c>
      <c r="KJ3" s="42">
        <v>0</v>
      </c>
      <c r="KK3" s="42">
        <v>0</v>
      </c>
      <c r="KL3" s="42">
        <v>0</v>
      </c>
      <c r="KM3" s="42">
        <v>0</v>
      </c>
      <c r="KN3" s="42">
        <v>0</v>
      </c>
      <c r="KO3" s="42">
        <v>0</v>
      </c>
      <c r="KP3" s="42">
        <v>0</v>
      </c>
      <c r="KQ3" s="42">
        <v>0</v>
      </c>
      <c r="KR3" s="42">
        <v>0</v>
      </c>
      <c r="KS3" s="42">
        <v>0</v>
      </c>
      <c r="KT3" s="42">
        <v>0</v>
      </c>
      <c r="KU3" s="42">
        <v>0</v>
      </c>
      <c r="KV3" s="42">
        <v>0</v>
      </c>
      <c r="KW3" s="42">
        <v>0</v>
      </c>
      <c r="KX3" s="42">
        <v>0</v>
      </c>
    </row>
    <row r="4" spans="1:310" x14ac:dyDescent="0.35">
      <c r="A4">
        <v>8</v>
      </c>
      <c r="B4">
        <v>8</v>
      </c>
      <c r="C4">
        <v>8</v>
      </c>
      <c r="D4">
        <v>8</v>
      </c>
      <c r="E4">
        <v>8</v>
      </c>
      <c r="F4">
        <v>8</v>
      </c>
      <c r="G4">
        <v>8</v>
      </c>
      <c r="H4">
        <v>8</v>
      </c>
      <c r="I4">
        <v>8</v>
      </c>
      <c r="J4">
        <v>8</v>
      </c>
      <c r="K4">
        <v>8</v>
      </c>
      <c r="L4">
        <v>8</v>
      </c>
      <c r="M4">
        <v>8</v>
      </c>
      <c r="N4">
        <v>8</v>
      </c>
      <c r="O4">
        <v>8</v>
      </c>
      <c r="P4">
        <v>16</v>
      </c>
      <c r="Q4">
        <v>16</v>
      </c>
      <c r="R4">
        <v>16</v>
      </c>
      <c r="S4">
        <v>8</v>
      </c>
      <c r="T4">
        <v>8</v>
      </c>
      <c r="U4">
        <v>8</v>
      </c>
      <c r="V4">
        <v>8</v>
      </c>
      <c r="W4">
        <v>8</v>
      </c>
      <c r="X4">
        <v>112</v>
      </c>
      <c r="Y4">
        <v>8</v>
      </c>
      <c r="Z4">
        <v>8</v>
      </c>
      <c r="AA4">
        <v>8</v>
      </c>
      <c r="AB4">
        <v>8</v>
      </c>
      <c r="AC4">
        <v>8</v>
      </c>
      <c r="AD4">
        <v>8</v>
      </c>
      <c r="AE4">
        <v>8</v>
      </c>
      <c r="AF4">
        <v>8</v>
      </c>
      <c r="AG4">
        <v>8</v>
      </c>
      <c r="AH4">
        <v>8</v>
      </c>
      <c r="AI4">
        <v>8</v>
      </c>
      <c r="AJ4">
        <v>8</v>
      </c>
      <c r="AK4">
        <v>8</v>
      </c>
      <c r="AL4">
        <v>8</v>
      </c>
      <c r="AM4">
        <v>8</v>
      </c>
      <c r="AN4">
        <v>8</v>
      </c>
      <c r="AO4">
        <v>8</v>
      </c>
      <c r="AP4">
        <v>8</v>
      </c>
      <c r="AQ4">
        <v>8</v>
      </c>
      <c r="AR4">
        <v>8</v>
      </c>
      <c r="AS4">
        <v>8</v>
      </c>
      <c r="AT4">
        <v>8</v>
      </c>
      <c r="AU4">
        <v>8</v>
      </c>
      <c r="AV4">
        <v>8</v>
      </c>
      <c r="AW4">
        <v>8</v>
      </c>
      <c r="AX4">
        <v>8</v>
      </c>
      <c r="AY4">
        <v>8</v>
      </c>
      <c r="AZ4">
        <v>8</v>
      </c>
      <c r="BA4">
        <v>8</v>
      </c>
      <c r="BB4">
        <v>8</v>
      </c>
      <c r="BC4">
        <v>8</v>
      </c>
      <c r="BD4">
        <v>8</v>
      </c>
      <c r="BE4">
        <v>8</v>
      </c>
      <c r="BF4">
        <v>8</v>
      </c>
      <c r="BG4">
        <v>8</v>
      </c>
      <c r="BH4">
        <v>8</v>
      </c>
      <c r="BI4">
        <v>8</v>
      </c>
      <c r="BJ4">
        <v>8</v>
      </c>
      <c r="BK4">
        <v>8</v>
      </c>
      <c r="BL4">
        <v>8</v>
      </c>
      <c r="BM4">
        <v>8</v>
      </c>
      <c r="BN4">
        <v>8</v>
      </c>
      <c r="BO4">
        <v>8</v>
      </c>
      <c r="BP4">
        <v>8</v>
      </c>
      <c r="BQ4">
        <v>40</v>
      </c>
      <c r="BR4">
        <v>40</v>
      </c>
      <c r="BS4">
        <v>40</v>
      </c>
      <c r="BT4">
        <v>40</v>
      </c>
      <c r="BU4">
        <v>40</v>
      </c>
      <c r="BV4">
        <v>40</v>
      </c>
      <c r="BW4">
        <v>40</v>
      </c>
      <c r="BX4">
        <v>40</v>
      </c>
      <c r="BY4">
        <v>40</v>
      </c>
      <c r="BZ4">
        <v>40</v>
      </c>
      <c r="CA4">
        <v>40</v>
      </c>
      <c r="CB4">
        <v>40</v>
      </c>
      <c r="CC4">
        <v>40</v>
      </c>
      <c r="CD4">
        <v>40</v>
      </c>
      <c r="CE4">
        <v>40</v>
      </c>
      <c r="CF4">
        <v>40</v>
      </c>
      <c r="CG4">
        <v>40</v>
      </c>
      <c r="CH4">
        <v>40</v>
      </c>
      <c r="CI4">
        <v>8</v>
      </c>
      <c r="CJ4">
        <v>8</v>
      </c>
      <c r="CK4">
        <v>8</v>
      </c>
      <c r="CL4">
        <v>8</v>
      </c>
      <c r="CM4">
        <v>8</v>
      </c>
      <c r="CN4">
        <v>8</v>
      </c>
      <c r="CO4">
        <v>8</v>
      </c>
      <c r="CP4">
        <v>8</v>
      </c>
      <c r="CQ4">
        <v>8</v>
      </c>
      <c r="CR4">
        <v>8</v>
      </c>
      <c r="CS4">
        <v>8</v>
      </c>
      <c r="CT4">
        <v>8</v>
      </c>
      <c r="CU4">
        <v>8</v>
      </c>
      <c r="CV4">
        <v>8</v>
      </c>
      <c r="CW4">
        <v>8</v>
      </c>
      <c r="CX4">
        <v>8</v>
      </c>
      <c r="CY4">
        <v>8</v>
      </c>
      <c r="CZ4">
        <v>8</v>
      </c>
      <c r="DA4">
        <v>8</v>
      </c>
      <c r="DB4">
        <v>8</v>
      </c>
      <c r="DC4">
        <v>8</v>
      </c>
      <c r="DD4">
        <v>8</v>
      </c>
      <c r="DE4">
        <v>8</v>
      </c>
      <c r="DF4">
        <v>8</v>
      </c>
      <c r="DG4">
        <v>8</v>
      </c>
      <c r="DH4">
        <v>8</v>
      </c>
      <c r="DI4" s="42">
        <v>67</v>
      </c>
      <c r="DJ4" s="42">
        <v>67</v>
      </c>
      <c r="DK4" s="42">
        <v>67</v>
      </c>
      <c r="DL4" s="42">
        <v>67</v>
      </c>
      <c r="DM4" s="42">
        <v>68</v>
      </c>
      <c r="DN4" s="42">
        <v>68</v>
      </c>
      <c r="DO4" s="42">
        <v>68</v>
      </c>
      <c r="DP4" s="42">
        <v>48</v>
      </c>
      <c r="DQ4" s="42">
        <v>48</v>
      </c>
      <c r="DR4" s="42">
        <v>48</v>
      </c>
      <c r="DS4" s="42">
        <v>72</v>
      </c>
      <c r="DT4" s="42">
        <v>72</v>
      </c>
      <c r="DU4" s="42">
        <v>72</v>
      </c>
      <c r="DV4" s="42">
        <v>48</v>
      </c>
      <c r="DW4" s="42">
        <v>48</v>
      </c>
      <c r="DX4" s="42">
        <v>48</v>
      </c>
      <c r="DY4">
        <v>8</v>
      </c>
      <c r="DZ4" s="42">
        <v>61</v>
      </c>
      <c r="EA4" s="42">
        <v>61</v>
      </c>
      <c r="EB4">
        <v>8</v>
      </c>
      <c r="EC4">
        <v>8</v>
      </c>
      <c r="ED4">
        <v>8</v>
      </c>
      <c r="EE4">
        <v>8</v>
      </c>
      <c r="EF4">
        <v>8</v>
      </c>
      <c r="EG4">
        <v>8</v>
      </c>
      <c r="EH4" s="42">
        <v>71</v>
      </c>
      <c r="EI4" s="42">
        <v>71</v>
      </c>
      <c r="EJ4" s="42">
        <v>66</v>
      </c>
      <c r="EK4" s="42">
        <v>66</v>
      </c>
      <c r="EL4" s="42">
        <v>66</v>
      </c>
      <c r="EM4" s="42">
        <v>66</v>
      </c>
      <c r="EN4" s="42">
        <v>59</v>
      </c>
      <c r="EO4" s="42">
        <v>59</v>
      </c>
      <c r="EP4" s="42">
        <v>59</v>
      </c>
      <c r="EQ4" s="42">
        <v>64</v>
      </c>
      <c r="ER4" s="42">
        <v>64</v>
      </c>
      <c r="ES4">
        <v>152</v>
      </c>
      <c r="ET4">
        <v>8</v>
      </c>
      <c r="EU4">
        <v>8</v>
      </c>
      <c r="EV4">
        <v>8</v>
      </c>
      <c r="EW4">
        <v>8</v>
      </c>
      <c r="EX4">
        <v>8</v>
      </c>
      <c r="EY4">
        <v>8</v>
      </c>
      <c r="EZ4">
        <v>8</v>
      </c>
      <c r="FA4">
        <v>8</v>
      </c>
      <c r="FB4">
        <v>8</v>
      </c>
      <c r="FC4">
        <v>8</v>
      </c>
      <c r="FD4">
        <v>8</v>
      </c>
      <c r="FE4">
        <v>8</v>
      </c>
      <c r="FF4">
        <v>8</v>
      </c>
      <c r="FG4">
        <v>8</v>
      </c>
      <c r="FH4">
        <v>8</v>
      </c>
      <c r="FI4">
        <v>8</v>
      </c>
      <c r="FJ4">
        <v>8</v>
      </c>
      <c r="FK4">
        <v>8</v>
      </c>
      <c r="FL4">
        <v>8</v>
      </c>
      <c r="FM4">
        <v>8</v>
      </c>
      <c r="FN4">
        <v>8</v>
      </c>
      <c r="FO4">
        <v>8</v>
      </c>
      <c r="FP4">
        <v>8</v>
      </c>
      <c r="FQ4">
        <f t="shared" ref="FQ4:FQ9" si="0">8+FQ3</f>
        <v>8</v>
      </c>
      <c r="FR4">
        <v>56</v>
      </c>
      <c r="FS4">
        <v>8</v>
      </c>
      <c r="FT4">
        <v>8</v>
      </c>
      <c r="FU4">
        <v>8</v>
      </c>
      <c r="FV4">
        <v>8</v>
      </c>
      <c r="FW4">
        <v>8</v>
      </c>
      <c r="FX4">
        <v>8</v>
      </c>
      <c r="FY4">
        <v>8</v>
      </c>
      <c r="FZ4">
        <v>8</v>
      </c>
      <c r="GA4">
        <v>8</v>
      </c>
      <c r="GB4">
        <v>8</v>
      </c>
      <c r="GC4" s="43">
        <v>8</v>
      </c>
      <c r="GD4">
        <v>8</v>
      </c>
      <c r="GE4">
        <v>8</v>
      </c>
      <c r="GF4">
        <v>8</v>
      </c>
      <c r="GG4">
        <v>40</v>
      </c>
      <c r="GH4">
        <v>8</v>
      </c>
      <c r="GI4">
        <v>8</v>
      </c>
      <c r="GJ4">
        <v>8</v>
      </c>
      <c r="GK4">
        <v>8</v>
      </c>
      <c r="GL4">
        <v>8</v>
      </c>
      <c r="GM4">
        <v>8</v>
      </c>
      <c r="GN4">
        <v>8</v>
      </c>
      <c r="GO4">
        <v>8</v>
      </c>
      <c r="GP4">
        <v>8</v>
      </c>
      <c r="GQ4">
        <v>8</v>
      </c>
      <c r="GR4">
        <v>8</v>
      </c>
      <c r="GS4">
        <v>8</v>
      </c>
      <c r="GT4">
        <v>8</v>
      </c>
      <c r="GU4">
        <v>8</v>
      </c>
      <c r="GV4">
        <v>8</v>
      </c>
      <c r="GW4">
        <v>8</v>
      </c>
      <c r="GX4">
        <v>8</v>
      </c>
      <c r="GY4">
        <v>8</v>
      </c>
      <c r="GZ4">
        <v>8</v>
      </c>
      <c r="HA4">
        <v>8</v>
      </c>
      <c r="HB4">
        <v>8</v>
      </c>
      <c r="HC4">
        <v>8</v>
      </c>
      <c r="HD4">
        <v>8</v>
      </c>
      <c r="HE4">
        <v>8</v>
      </c>
      <c r="HF4">
        <v>8</v>
      </c>
      <c r="HG4">
        <v>8</v>
      </c>
      <c r="HH4">
        <v>8</v>
      </c>
      <c r="HI4">
        <v>8</v>
      </c>
      <c r="HJ4">
        <v>8</v>
      </c>
      <c r="HK4">
        <v>8</v>
      </c>
      <c r="HL4">
        <v>8</v>
      </c>
      <c r="HM4">
        <v>8</v>
      </c>
      <c r="HN4">
        <v>8</v>
      </c>
      <c r="HO4">
        <v>8</v>
      </c>
      <c r="HP4">
        <v>8</v>
      </c>
      <c r="HQ4">
        <v>8</v>
      </c>
      <c r="HR4">
        <v>8</v>
      </c>
      <c r="HS4">
        <v>8</v>
      </c>
      <c r="HT4">
        <v>8</v>
      </c>
      <c r="HU4">
        <v>8</v>
      </c>
      <c r="HV4">
        <v>8</v>
      </c>
      <c r="HW4">
        <v>8</v>
      </c>
      <c r="HX4">
        <v>8</v>
      </c>
      <c r="HY4">
        <v>8</v>
      </c>
      <c r="HZ4">
        <v>8</v>
      </c>
      <c r="IA4">
        <v>8</v>
      </c>
      <c r="IB4">
        <v>8</v>
      </c>
      <c r="IC4">
        <v>8</v>
      </c>
      <c r="ID4">
        <v>8</v>
      </c>
      <c r="IE4">
        <v>8</v>
      </c>
      <c r="IF4">
        <v>8</v>
      </c>
      <c r="IG4">
        <v>8</v>
      </c>
      <c r="IH4">
        <v>8</v>
      </c>
      <c r="II4">
        <v>8</v>
      </c>
      <c r="IJ4">
        <v>8</v>
      </c>
      <c r="IK4">
        <v>8</v>
      </c>
      <c r="IL4">
        <v>8</v>
      </c>
      <c r="IM4">
        <v>8</v>
      </c>
      <c r="IN4">
        <v>8</v>
      </c>
      <c r="IO4">
        <v>8</v>
      </c>
      <c r="IP4">
        <v>8</v>
      </c>
      <c r="IQ4">
        <v>8</v>
      </c>
      <c r="IR4">
        <v>8</v>
      </c>
      <c r="IS4">
        <v>8</v>
      </c>
      <c r="IT4">
        <v>8</v>
      </c>
      <c r="IU4">
        <v>8</v>
      </c>
      <c r="IV4">
        <v>8</v>
      </c>
      <c r="IW4">
        <v>8</v>
      </c>
      <c r="IX4">
        <v>8</v>
      </c>
      <c r="IY4">
        <v>8</v>
      </c>
      <c r="IZ4">
        <v>8</v>
      </c>
      <c r="JA4">
        <v>8</v>
      </c>
      <c r="JB4">
        <v>8</v>
      </c>
      <c r="JC4">
        <v>8</v>
      </c>
      <c r="JD4">
        <v>8</v>
      </c>
      <c r="JE4">
        <v>8</v>
      </c>
      <c r="JF4">
        <v>8</v>
      </c>
      <c r="JG4">
        <v>8</v>
      </c>
      <c r="JH4">
        <v>8</v>
      </c>
      <c r="JI4">
        <v>8</v>
      </c>
      <c r="JJ4">
        <v>8</v>
      </c>
      <c r="JK4">
        <v>8</v>
      </c>
      <c r="JL4">
        <v>8</v>
      </c>
      <c r="JM4">
        <v>8</v>
      </c>
      <c r="JN4">
        <v>8</v>
      </c>
      <c r="JO4">
        <v>8</v>
      </c>
      <c r="JP4">
        <v>72</v>
      </c>
      <c r="JQ4">
        <v>8</v>
      </c>
      <c r="JR4">
        <v>8</v>
      </c>
      <c r="JS4">
        <v>8</v>
      </c>
      <c r="JT4">
        <v>8</v>
      </c>
      <c r="JU4">
        <v>8</v>
      </c>
      <c r="JV4">
        <v>8</v>
      </c>
      <c r="JW4">
        <f t="shared" ref="JW4:JW19" si="1">8+JW3</f>
        <v>8</v>
      </c>
      <c r="JX4">
        <v>8</v>
      </c>
      <c r="JY4">
        <v>8</v>
      </c>
      <c r="JZ4" s="42">
        <v>8</v>
      </c>
      <c r="KA4">
        <v>8</v>
      </c>
      <c r="KB4" s="42">
        <v>8</v>
      </c>
      <c r="KC4">
        <v>8</v>
      </c>
      <c r="KD4">
        <v>8</v>
      </c>
      <c r="KE4">
        <v>8</v>
      </c>
      <c r="KF4" s="42">
        <v>8</v>
      </c>
      <c r="KG4" s="42">
        <v>8</v>
      </c>
      <c r="KH4" s="42">
        <v>8</v>
      </c>
      <c r="KI4" s="42">
        <v>8</v>
      </c>
      <c r="KJ4" s="42">
        <v>8</v>
      </c>
      <c r="KK4" s="42">
        <v>8</v>
      </c>
      <c r="KL4" s="42">
        <v>8</v>
      </c>
      <c r="KM4" s="42">
        <v>8</v>
      </c>
      <c r="KN4" s="42">
        <v>8</v>
      </c>
      <c r="KO4" s="42">
        <v>8</v>
      </c>
      <c r="KP4" s="42">
        <v>8</v>
      </c>
      <c r="KQ4" s="42">
        <v>8</v>
      </c>
      <c r="KR4" s="42">
        <v>8</v>
      </c>
      <c r="KS4" s="42">
        <v>8</v>
      </c>
      <c r="KT4" s="42">
        <v>8</v>
      </c>
      <c r="KU4" s="42">
        <v>8</v>
      </c>
      <c r="KV4" s="42">
        <v>8</v>
      </c>
      <c r="KW4" s="42">
        <v>8</v>
      </c>
      <c r="KX4" s="42">
        <f>8+KX3</f>
        <v>8</v>
      </c>
    </row>
    <row r="5" spans="1:310" x14ac:dyDescent="0.35">
      <c r="A5">
        <v>56</v>
      </c>
      <c r="B5">
        <v>56</v>
      </c>
      <c r="C5">
        <v>56</v>
      </c>
      <c r="D5">
        <v>16</v>
      </c>
      <c r="E5">
        <v>16</v>
      </c>
      <c r="F5">
        <v>16</v>
      </c>
      <c r="G5">
        <v>16</v>
      </c>
      <c r="H5">
        <v>16</v>
      </c>
      <c r="I5">
        <v>16</v>
      </c>
      <c r="J5">
        <v>16</v>
      </c>
      <c r="K5">
        <v>16</v>
      </c>
      <c r="L5">
        <v>16</v>
      </c>
      <c r="M5">
        <v>24</v>
      </c>
      <c r="N5">
        <v>24</v>
      </c>
      <c r="O5">
        <v>24</v>
      </c>
      <c r="P5">
        <v>32</v>
      </c>
      <c r="Q5">
        <v>32</v>
      </c>
      <c r="R5">
        <v>32</v>
      </c>
      <c r="S5">
        <v>72</v>
      </c>
      <c r="T5">
        <v>72</v>
      </c>
      <c r="U5">
        <v>72</v>
      </c>
      <c r="V5">
        <v>16</v>
      </c>
      <c r="W5">
        <v>16</v>
      </c>
      <c r="X5">
        <v>224</v>
      </c>
      <c r="Y5">
        <v>16</v>
      </c>
      <c r="Z5">
        <v>16</v>
      </c>
      <c r="AA5">
        <v>16</v>
      </c>
      <c r="AB5">
        <v>32</v>
      </c>
      <c r="AC5">
        <v>32</v>
      </c>
      <c r="AD5">
        <v>32</v>
      </c>
      <c r="AE5">
        <v>40</v>
      </c>
      <c r="AF5">
        <v>40</v>
      </c>
      <c r="AG5">
        <v>40</v>
      </c>
      <c r="AH5">
        <v>16</v>
      </c>
      <c r="AI5">
        <v>16</v>
      </c>
      <c r="AJ5">
        <v>16</v>
      </c>
      <c r="AK5">
        <v>16</v>
      </c>
      <c r="AL5">
        <v>16</v>
      </c>
      <c r="AM5">
        <v>16</v>
      </c>
      <c r="AN5">
        <v>16</v>
      </c>
      <c r="AO5">
        <v>16</v>
      </c>
      <c r="AP5">
        <v>16</v>
      </c>
      <c r="AQ5">
        <v>16</v>
      </c>
      <c r="AR5">
        <v>16</v>
      </c>
      <c r="AS5">
        <v>16</v>
      </c>
      <c r="AT5">
        <v>16</v>
      </c>
      <c r="AU5">
        <v>16</v>
      </c>
      <c r="AV5">
        <v>16</v>
      </c>
      <c r="AW5">
        <v>16</v>
      </c>
      <c r="AX5">
        <v>16</v>
      </c>
      <c r="AY5">
        <v>16</v>
      </c>
      <c r="AZ5">
        <v>16</v>
      </c>
      <c r="BA5">
        <v>16</v>
      </c>
      <c r="BB5">
        <v>16</v>
      </c>
      <c r="BC5">
        <v>16</v>
      </c>
      <c r="BD5">
        <v>16</v>
      </c>
      <c r="BE5">
        <v>16</v>
      </c>
      <c r="BF5">
        <v>16</v>
      </c>
      <c r="BG5">
        <v>16</v>
      </c>
      <c r="BH5">
        <v>16</v>
      </c>
      <c r="BI5">
        <v>16</v>
      </c>
      <c r="BJ5">
        <v>16</v>
      </c>
      <c r="BK5">
        <v>24</v>
      </c>
      <c r="BL5">
        <v>24</v>
      </c>
      <c r="BM5">
        <v>24</v>
      </c>
      <c r="BN5">
        <v>16</v>
      </c>
      <c r="BO5">
        <v>16</v>
      </c>
      <c r="BP5">
        <v>16</v>
      </c>
      <c r="BQ5">
        <v>80</v>
      </c>
      <c r="BR5">
        <v>80</v>
      </c>
      <c r="BS5">
        <v>80</v>
      </c>
      <c r="BT5">
        <v>80</v>
      </c>
      <c r="BU5">
        <v>80</v>
      </c>
      <c r="BV5">
        <v>80</v>
      </c>
      <c r="BW5">
        <v>80</v>
      </c>
      <c r="BX5">
        <v>80</v>
      </c>
      <c r="BY5">
        <v>80</v>
      </c>
      <c r="BZ5">
        <v>160</v>
      </c>
      <c r="CA5">
        <v>160</v>
      </c>
      <c r="CB5">
        <v>160</v>
      </c>
      <c r="CC5">
        <v>80</v>
      </c>
      <c r="CD5">
        <v>80</v>
      </c>
      <c r="CE5">
        <v>80</v>
      </c>
      <c r="CF5">
        <v>80</v>
      </c>
      <c r="CG5">
        <v>80</v>
      </c>
      <c r="CH5">
        <v>80</v>
      </c>
      <c r="CI5">
        <v>16</v>
      </c>
      <c r="CJ5">
        <v>16</v>
      </c>
      <c r="CK5">
        <v>16</v>
      </c>
      <c r="CL5">
        <v>48</v>
      </c>
      <c r="CM5">
        <v>48</v>
      </c>
      <c r="CN5">
        <v>48</v>
      </c>
      <c r="CO5">
        <v>48</v>
      </c>
      <c r="CP5">
        <v>48</v>
      </c>
      <c r="CQ5">
        <v>48</v>
      </c>
      <c r="CR5">
        <v>48</v>
      </c>
      <c r="CS5">
        <v>48</v>
      </c>
      <c r="CT5">
        <v>48</v>
      </c>
      <c r="CU5">
        <v>48</v>
      </c>
      <c r="CV5">
        <v>48</v>
      </c>
      <c r="CW5">
        <v>32</v>
      </c>
      <c r="CX5">
        <v>32</v>
      </c>
      <c r="CY5">
        <v>32</v>
      </c>
      <c r="CZ5">
        <v>56</v>
      </c>
      <c r="DA5">
        <v>56</v>
      </c>
      <c r="DB5">
        <v>56</v>
      </c>
      <c r="DC5">
        <v>32</v>
      </c>
      <c r="DD5">
        <v>32</v>
      </c>
      <c r="DE5">
        <v>32</v>
      </c>
      <c r="DF5">
        <v>48</v>
      </c>
      <c r="DG5">
        <v>48</v>
      </c>
      <c r="DH5">
        <v>48</v>
      </c>
      <c r="DI5" s="42">
        <v>83</v>
      </c>
      <c r="DJ5" s="42">
        <v>83</v>
      </c>
      <c r="DK5" s="42">
        <v>83</v>
      </c>
      <c r="DL5" s="42">
        <v>83</v>
      </c>
      <c r="DM5" s="42">
        <v>84</v>
      </c>
      <c r="DN5" s="42">
        <v>84</v>
      </c>
      <c r="DO5" s="42">
        <v>84</v>
      </c>
      <c r="DP5" s="42">
        <v>56</v>
      </c>
      <c r="DQ5" s="42">
        <v>56</v>
      </c>
      <c r="DR5" s="42">
        <v>56</v>
      </c>
      <c r="DS5" s="42">
        <v>104</v>
      </c>
      <c r="DT5" s="42">
        <v>104</v>
      </c>
      <c r="DU5" s="42">
        <v>104</v>
      </c>
      <c r="DV5" s="42">
        <v>64</v>
      </c>
      <c r="DW5" s="42">
        <v>64</v>
      </c>
      <c r="DX5" s="42">
        <v>64</v>
      </c>
      <c r="DY5">
        <v>16</v>
      </c>
      <c r="DZ5" s="42">
        <v>77</v>
      </c>
      <c r="EA5" s="42">
        <v>77</v>
      </c>
      <c r="EB5">
        <v>32</v>
      </c>
      <c r="EC5">
        <v>32</v>
      </c>
      <c r="ED5">
        <v>32</v>
      </c>
      <c r="EE5">
        <v>16</v>
      </c>
      <c r="EF5">
        <v>16</v>
      </c>
      <c r="EG5">
        <v>16</v>
      </c>
      <c r="EH5" s="42">
        <v>95</v>
      </c>
      <c r="EI5" s="42">
        <v>95</v>
      </c>
      <c r="EJ5" s="42">
        <v>114</v>
      </c>
      <c r="EK5" s="42">
        <v>114</v>
      </c>
      <c r="EL5" s="42">
        <v>114</v>
      </c>
      <c r="EM5" s="42">
        <v>114</v>
      </c>
      <c r="EN5" s="42">
        <v>91</v>
      </c>
      <c r="EO5" s="42">
        <v>91</v>
      </c>
      <c r="EP5" s="42">
        <v>91</v>
      </c>
      <c r="EQ5" s="42">
        <v>96</v>
      </c>
      <c r="ER5" s="42">
        <v>96</v>
      </c>
      <c r="ES5">
        <v>176</v>
      </c>
      <c r="ET5">
        <v>32</v>
      </c>
      <c r="EU5">
        <v>32</v>
      </c>
      <c r="EV5">
        <v>16</v>
      </c>
      <c r="EW5">
        <v>16</v>
      </c>
      <c r="EX5">
        <v>16</v>
      </c>
      <c r="EY5">
        <v>16</v>
      </c>
      <c r="EZ5">
        <v>16</v>
      </c>
      <c r="FA5">
        <v>16</v>
      </c>
      <c r="FB5">
        <v>16</v>
      </c>
      <c r="FC5">
        <v>16</v>
      </c>
      <c r="FD5">
        <v>16</v>
      </c>
      <c r="FE5">
        <v>16</v>
      </c>
      <c r="FF5">
        <v>16</v>
      </c>
      <c r="FG5">
        <v>16</v>
      </c>
      <c r="FH5">
        <v>32</v>
      </c>
      <c r="FI5">
        <v>32</v>
      </c>
      <c r="FJ5">
        <v>32</v>
      </c>
      <c r="FK5">
        <v>32</v>
      </c>
      <c r="FL5">
        <v>32</v>
      </c>
      <c r="FM5">
        <v>32</v>
      </c>
      <c r="FN5">
        <v>24</v>
      </c>
      <c r="FO5">
        <v>24</v>
      </c>
      <c r="FP5">
        <v>24</v>
      </c>
      <c r="FQ5">
        <f t="shared" si="0"/>
        <v>16</v>
      </c>
      <c r="FR5">
        <v>64</v>
      </c>
      <c r="FS5">
        <v>16</v>
      </c>
      <c r="FT5">
        <v>40</v>
      </c>
      <c r="FU5">
        <v>40</v>
      </c>
      <c r="FV5">
        <v>40</v>
      </c>
      <c r="FW5">
        <v>16</v>
      </c>
      <c r="FX5">
        <v>16</v>
      </c>
      <c r="FY5">
        <v>16</v>
      </c>
      <c r="FZ5">
        <v>16</v>
      </c>
      <c r="GA5">
        <v>16</v>
      </c>
      <c r="GB5">
        <v>16</v>
      </c>
      <c r="GC5" s="43">
        <v>32</v>
      </c>
      <c r="GD5">
        <v>32</v>
      </c>
      <c r="GE5">
        <v>32</v>
      </c>
      <c r="GF5">
        <v>16</v>
      </c>
      <c r="GG5">
        <v>72</v>
      </c>
      <c r="GH5">
        <v>16</v>
      </c>
      <c r="GI5">
        <v>16</v>
      </c>
      <c r="GJ5">
        <v>24</v>
      </c>
      <c r="GK5">
        <v>24</v>
      </c>
      <c r="GL5">
        <v>24</v>
      </c>
      <c r="GM5">
        <v>24</v>
      </c>
      <c r="GN5">
        <v>24</v>
      </c>
      <c r="GO5">
        <v>24</v>
      </c>
      <c r="GP5">
        <v>16</v>
      </c>
      <c r="GQ5">
        <v>16</v>
      </c>
      <c r="GR5">
        <v>16</v>
      </c>
      <c r="GS5">
        <v>16</v>
      </c>
      <c r="GT5">
        <v>16</v>
      </c>
      <c r="GU5">
        <v>16</v>
      </c>
      <c r="GV5">
        <v>16</v>
      </c>
      <c r="GW5">
        <v>16</v>
      </c>
      <c r="GX5">
        <v>16</v>
      </c>
      <c r="GY5">
        <v>16</v>
      </c>
      <c r="GZ5">
        <v>16</v>
      </c>
      <c r="HA5">
        <v>16</v>
      </c>
      <c r="HB5">
        <v>16</v>
      </c>
      <c r="HC5">
        <v>16</v>
      </c>
      <c r="HD5">
        <v>16</v>
      </c>
      <c r="HE5">
        <v>16</v>
      </c>
      <c r="HF5">
        <v>16</v>
      </c>
      <c r="HG5">
        <v>16</v>
      </c>
      <c r="HH5">
        <v>16</v>
      </c>
      <c r="HI5">
        <v>16</v>
      </c>
      <c r="HJ5">
        <v>16</v>
      </c>
      <c r="HK5">
        <v>16</v>
      </c>
      <c r="HL5">
        <v>16</v>
      </c>
      <c r="HM5">
        <v>16</v>
      </c>
      <c r="HN5">
        <v>16</v>
      </c>
      <c r="HO5">
        <v>16</v>
      </c>
      <c r="HP5">
        <v>16</v>
      </c>
      <c r="HQ5">
        <v>16</v>
      </c>
      <c r="HR5">
        <v>16</v>
      </c>
      <c r="HS5">
        <v>16</v>
      </c>
      <c r="HT5">
        <v>16</v>
      </c>
      <c r="HU5">
        <v>24</v>
      </c>
      <c r="HV5">
        <v>24</v>
      </c>
      <c r="HW5">
        <v>24</v>
      </c>
      <c r="HX5">
        <v>16</v>
      </c>
      <c r="HY5">
        <v>16</v>
      </c>
      <c r="HZ5">
        <v>16</v>
      </c>
      <c r="IA5">
        <v>16</v>
      </c>
      <c r="IB5">
        <v>16</v>
      </c>
      <c r="IC5">
        <v>16</v>
      </c>
      <c r="ID5">
        <v>16</v>
      </c>
      <c r="IE5">
        <v>16</v>
      </c>
      <c r="IF5">
        <v>16</v>
      </c>
      <c r="IG5">
        <v>72</v>
      </c>
      <c r="IH5">
        <v>72</v>
      </c>
      <c r="II5">
        <v>72</v>
      </c>
      <c r="IJ5">
        <v>32</v>
      </c>
      <c r="IK5">
        <v>32</v>
      </c>
      <c r="IL5">
        <v>32</v>
      </c>
      <c r="IM5">
        <v>32</v>
      </c>
      <c r="IN5">
        <v>32</v>
      </c>
      <c r="IO5">
        <v>32</v>
      </c>
      <c r="IP5">
        <v>32</v>
      </c>
      <c r="IQ5">
        <v>32</v>
      </c>
      <c r="IR5">
        <v>32</v>
      </c>
      <c r="IS5">
        <v>32</v>
      </c>
      <c r="IT5">
        <v>32</v>
      </c>
      <c r="IU5">
        <v>16</v>
      </c>
      <c r="IV5">
        <v>16</v>
      </c>
      <c r="IW5">
        <v>16</v>
      </c>
      <c r="IX5">
        <v>16</v>
      </c>
      <c r="IY5">
        <v>16</v>
      </c>
      <c r="IZ5">
        <v>16</v>
      </c>
      <c r="JA5">
        <v>16</v>
      </c>
      <c r="JB5">
        <v>24</v>
      </c>
      <c r="JC5">
        <v>24</v>
      </c>
      <c r="JD5">
        <v>16</v>
      </c>
      <c r="JE5">
        <v>16</v>
      </c>
      <c r="JF5">
        <v>16</v>
      </c>
      <c r="JG5">
        <v>16</v>
      </c>
      <c r="JH5">
        <v>16</v>
      </c>
      <c r="JI5">
        <v>16</v>
      </c>
      <c r="JJ5">
        <v>16</v>
      </c>
      <c r="JK5">
        <v>16</v>
      </c>
      <c r="JL5">
        <v>16</v>
      </c>
      <c r="JM5">
        <v>16</v>
      </c>
      <c r="JN5">
        <v>72</v>
      </c>
      <c r="JO5">
        <v>72</v>
      </c>
      <c r="JP5">
        <v>136</v>
      </c>
      <c r="JQ5">
        <v>72</v>
      </c>
      <c r="JR5">
        <v>72</v>
      </c>
      <c r="JS5">
        <v>72</v>
      </c>
      <c r="JT5">
        <v>16</v>
      </c>
      <c r="JU5">
        <v>16</v>
      </c>
      <c r="JV5">
        <v>16</v>
      </c>
      <c r="JW5">
        <f t="shared" si="1"/>
        <v>16</v>
      </c>
      <c r="JY5">
        <v>16</v>
      </c>
      <c r="JZ5" s="42">
        <v>16</v>
      </c>
      <c r="KA5">
        <v>16</v>
      </c>
      <c r="KB5" s="42">
        <v>16</v>
      </c>
      <c r="KC5">
        <v>32</v>
      </c>
      <c r="KD5">
        <v>32</v>
      </c>
      <c r="KE5">
        <v>24</v>
      </c>
      <c r="KF5" s="42">
        <v>24</v>
      </c>
      <c r="KI5" s="42">
        <f>KI4+8</f>
        <v>16</v>
      </c>
      <c r="KJ5" s="42">
        <f>KJ4+8</f>
        <v>16</v>
      </c>
      <c r="KK5" s="42">
        <f t="shared" ref="KK5:KO5" si="2">8+KK4</f>
        <v>16</v>
      </c>
      <c r="KL5" s="42">
        <f t="shared" si="2"/>
        <v>16</v>
      </c>
      <c r="KM5" s="42">
        <f t="shared" si="2"/>
        <v>16</v>
      </c>
      <c r="KN5" s="42">
        <f t="shared" si="2"/>
        <v>16</v>
      </c>
      <c r="KO5" s="42">
        <f t="shared" si="2"/>
        <v>16</v>
      </c>
      <c r="KP5" s="42">
        <f>8+KP4</f>
        <v>16</v>
      </c>
      <c r="KQ5" s="42">
        <f>8+KQ4</f>
        <v>16</v>
      </c>
      <c r="KR5" s="42">
        <v>16</v>
      </c>
      <c r="KS5" s="42">
        <v>16</v>
      </c>
      <c r="KT5" s="42">
        <v>48</v>
      </c>
      <c r="KU5" s="42">
        <v>48</v>
      </c>
      <c r="KV5" s="42">
        <f>KV4+8</f>
        <v>16</v>
      </c>
      <c r="KW5" s="42">
        <f>KW4+8</f>
        <v>16</v>
      </c>
      <c r="KX5" s="42">
        <v>88</v>
      </c>
    </row>
    <row r="6" spans="1:310" x14ac:dyDescent="0.35">
      <c r="A6">
        <v>104</v>
      </c>
      <c r="B6">
        <v>104</v>
      </c>
      <c r="C6">
        <v>104</v>
      </c>
      <c r="D6">
        <v>24</v>
      </c>
      <c r="E6">
        <v>24</v>
      </c>
      <c r="F6">
        <v>24</v>
      </c>
      <c r="G6">
        <v>54</v>
      </c>
      <c r="H6">
        <v>54</v>
      </c>
      <c r="I6">
        <v>54</v>
      </c>
      <c r="K6">
        <v>24</v>
      </c>
      <c r="L6">
        <v>24</v>
      </c>
      <c r="M6">
        <v>40</v>
      </c>
      <c r="N6">
        <v>40</v>
      </c>
      <c r="O6">
        <v>40</v>
      </c>
      <c r="P6">
        <v>48</v>
      </c>
      <c r="Q6">
        <v>48</v>
      </c>
      <c r="R6">
        <v>48</v>
      </c>
      <c r="S6">
        <v>136</v>
      </c>
      <c r="T6">
        <v>136</v>
      </c>
      <c r="U6">
        <v>136</v>
      </c>
      <c r="V6">
        <v>24</v>
      </c>
      <c r="W6">
        <v>24</v>
      </c>
      <c r="X6">
        <v>336</v>
      </c>
      <c r="Y6">
        <v>24</v>
      </c>
      <c r="Z6">
        <v>24</v>
      </c>
      <c r="AA6">
        <v>24</v>
      </c>
      <c r="AB6">
        <v>56</v>
      </c>
      <c r="AC6">
        <v>56</v>
      </c>
      <c r="AD6">
        <v>56</v>
      </c>
      <c r="AE6">
        <v>72</v>
      </c>
      <c r="AF6">
        <v>72</v>
      </c>
      <c r="AG6">
        <v>72</v>
      </c>
      <c r="AH6">
        <v>24</v>
      </c>
      <c r="AI6">
        <v>24</v>
      </c>
      <c r="AJ6">
        <v>24</v>
      </c>
      <c r="AK6">
        <v>24</v>
      </c>
      <c r="AL6">
        <v>24</v>
      </c>
      <c r="AM6">
        <v>24</v>
      </c>
      <c r="AN6">
        <v>24</v>
      </c>
      <c r="AO6">
        <v>24</v>
      </c>
      <c r="AP6">
        <v>24</v>
      </c>
      <c r="AQ6">
        <v>24</v>
      </c>
      <c r="AR6">
        <v>24</v>
      </c>
      <c r="AS6">
        <v>24</v>
      </c>
      <c r="AT6">
        <v>24</v>
      </c>
      <c r="AU6">
        <v>24</v>
      </c>
      <c r="AV6">
        <v>24</v>
      </c>
      <c r="AW6">
        <v>24</v>
      </c>
      <c r="AX6">
        <v>24</v>
      </c>
      <c r="AY6">
        <v>24</v>
      </c>
      <c r="AZ6">
        <v>24</v>
      </c>
      <c r="BA6">
        <v>24</v>
      </c>
      <c r="BB6">
        <v>24</v>
      </c>
      <c r="BC6">
        <v>24</v>
      </c>
      <c r="BD6">
        <v>24</v>
      </c>
      <c r="BE6">
        <v>24</v>
      </c>
      <c r="BF6">
        <v>24</v>
      </c>
      <c r="BG6">
        <v>24</v>
      </c>
      <c r="BH6">
        <v>24</v>
      </c>
      <c r="BI6">
        <v>24</v>
      </c>
      <c r="BJ6">
        <v>24</v>
      </c>
      <c r="BK6">
        <v>40</v>
      </c>
      <c r="BL6">
        <v>40</v>
      </c>
      <c r="BM6">
        <v>40</v>
      </c>
      <c r="BN6">
        <v>24</v>
      </c>
      <c r="BO6">
        <v>24</v>
      </c>
      <c r="BP6">
        <v>24</v>
      </c>
      <c r="BQ6">
        <v>120</v>
      </c>
      <c r="BR6">
        <v>120</v>
      </c>
      <c r="BS6">
        <v>120</v>
      </c>
      <c r="BT6">
        <v>120</v>
      </c>
      <c r="BU6">
        <v>120</v>
      </c>
      <c r="BV6">
        <v>120</v>
      </c>
      <c r="BW6">
        <v>120</v>
      </c>
      <c r="BX6">
        <v>120</v>
      </c>
      <c r="BY6">
        <v>120</v>
      </c>
      <c r="BZ6">
        <v>280</v>
      </c>
      <c r="CA6">
        <v>280</v>
      </c>
      <c r="CB6">
        <v>280</v>
      </c>
      <c r="CC6">
        <v>120</v>
      </c>
      <c r="CD6">
        <v>120</v>
      </c>
      <c r="CE6">
        <v>120</v>
      </c>
      <c r="CF6">
        <v>120</v>
      </c>
      <c r="CG6">
        <v>120</v>
      </c>
      <c r="CH6">
        <v>120</v>
      </c>
      <c r="CI6">
        <v>24</v>
      </c>
      <c r="CJ6">
        <v>24</v>
      </c>
      <c r="CK6">
        <v>24</v>
      </c>
      <c r="CL6">
        <v>88</v>
      </c>
      <c r="CM6">
        <v>88</v>
      </c>
      <c r="CN6">
        <v>88</v>
      </c>
      <c r="CO6">
        <v>88</v>
      </c>
      <c r="CP6">
        <v>88</v>
      </c>
      <c r="CQ6">
        <v>88</v>
      </c>
      <c r="CR6">
        <v>88</v>
      </c>
      <c r="CS6">
        <v>88</v>
      </c>
      <c r="CT6">
        <v>88</v>
      </c>
      <c r="CU6">
        <v>88</v>
      </c>
      <c r="CV6">
        <v>88</v>
      </c>
      <c r="CW6">
        <v>56</v>
      </c>
      <c r="CX6">
        <v>56</v>
      </c>
      <c r="CY6">
        <v>56</v>
      </c>
      <c r="CZ6">
        <v>104</v>
      </c>
      <c r="DA6">
        <v>104</v>
      </c>
      <c r="DB6">
        <v>104</v>
      </c>
      <c r="DC6">
        <v>56</v>
      </c>
      <c r="DD6">
        <v>56</v>
      </c>
      <c r="DE6">
        <v>56</v>
      </c>
      <c r="DF6">
        <v>88</v>
      </c>
      <c r="DG6">
        <v>88</v>
      </c>
      <c r="DH6">
        <v>88</v>
      </c>
      <c r="DI6" s="42">
        <v>99</v>
      </c>
      <c r="DJ6" s="42">
        <v>99</v>
      </c>
      <c r="DK6" s="42">
        <v>99</v>
      </c>
      <c r="DL6" s="42">
        <v>99</v>
      </c>
      <c r="DM6" s="42">
        <v>100</v>
      </c>
      <c r="DN6" s="42">
        <v>100</v>
      </c>
      <c r="DO6" s="42">
        <v>100</v>
      </c>
      <c r="DP6" s="42">
        <v>72</v>
      </c>
      <c r="DQ6" s="42">
        <v>72</v>
      </c>
      <c r="DR6" s="42">
        <v>72</v>
      </c>
      <c r="DS6" s="42">
        <v>136</v>
      </c>
      <c r="DT6" s="42">
        <v>136</v>
      </c>
      <c r="DU6" s="42">
        <v>136</v>
      </c>
      <c r="DV6" s="42">
        <v>80</v>
      </c>
      <c r="DW6" s="42">
        <v>80</v>
      </c>
      <c r="DX6" s="42">
        <v>80</v>
      </c>
      <c r="DY6">
        <v>24</v>
      </c>
      <c r="DZ6" s="42">
        <v>101</v>
      </c>
      <c r="EA6" s="42">
        <v>101</v>
      </c>
      <c r="EB6">
        <v>56</v>
      </c>
      <c r="EC6">
        <v>56</v>
      </c>
      <c r="ED6">
        <v>56</v>
      </c>
      <c r="EE6">
        <v>48</v>
      </c>
      <c r="EF6">
        <v>48</v>
      </c>
      <c r="EG6">
        <v>48</v>
      </c>
      <c r="EH6" s="42">
        <v>127</v>
      </c>
      <c r="EI6" s="42">
        <v>127</v>
      </c>
      <c r="EJ6" s="42">
        <v>210</v>
      </c>
      <c r="EK6" s="42">
        <v>210</v>
      </c>
      <c r="EL6" s="42">
        <v>210</v>
      </c>
      <c r="EM6" s="42">
        <v>210</v>
      </c>
      <c r="EN6" s="42">
        <v>155</v>
      </c>
      <c r="EO6" s="42">
        <v>155</v>
      </c>
      <c r="EP6" s="42">
        <v>155</v>
      </c>
      <c r="EQ6" s="42">
        <v>128</v>
      </c>
      <c r="ER6" s="42">
        <v>128</v>
      </c>
      <c r="ES6">
        <v>200</v>
      </c>
      <c r="ET6">
        <v>56</v>
      </c>
      <c r="EU6">
        <v>56</v>
      </c>
      <c r="EV6">
        <v>32</v>
      </c>
      <c r="EW6">
        <v>32</v>
      </c>
      <c r="EX6">
        <v>32</v>
      </c>
      <c r="EY6">
        <v>32</v>
      </c>
      <c r="EZ6">
        <v>32</v>
      </c>
      <c r="FA6">
        <v>32</v>
      </c>
      <c r="FB6">
        <v>24</v>
      </c>
      <c r="FC6">
        <v>24</v>
      </c>
      <c r="FD6">
        <v>24</v>
      </c>
      <c r="FE6">
        <v>24</v>
      </c>
      <c r="FF6">
        <v>24</v>
      </c>
      <c r="FG6">
        <v>24</v>
      </c>
      <c r="FH6">
        <v>56</v>
      </c>
      <c r="FI6">
        <v>56</v>
      </c>
      <c r="FJ6">
        <v>56</v>
      </c>
      <c r="FK6">
        <v>56</v>
      </c>
      <c r="FL6">
        <v>56</v>
      </c>
      <c r="FM6">
        <v>56</v>
      </c>
      <c r="FN6">
        <v>40</v>
      </c>
      <c r="FO6">
        <v>40</v>
      </c>
      <c r="FP6">
        <v>40</v>
      </c>
      <c r="FQ6">
        <f t="shared" si="0"/>
        <v>24</v>
      </c>
      <c r="FR6">
        <v>72</v>
      </c>
      <c r="FS6">
        <v>24</v>
      </c>
      <c r="FT6">
        <v>72</v>
      </c>
      <c r="FU6">
        <v>72</v>
      </c>
      <c r="FV6">
        <v>72</v>
      </c>
      <c r="FW6">
        <v>24</v>
      </c>
      <c r="FX6">
        <v>24</v>
      </c>
      <c r="FY6">
        <v>24</v>
      </c>
      <c r="FZ6">
        <v>32</v>
      </c>
      <c r="GA6">
        <v>32</v>
      </c>
      <c r="GB6">
        <v>32</v>
      </c>
      <c r="GC6" s="43">
        <v>56</v>
      </c>
      <c r="GD6">
        <v>56</v>
      </c>
      <c r="GE6">
        <v>56</v>
      </c>
      <c r="GF6">
        <v>40</v>
      </c>
      <c r="GG6">
        <v>104</v>
      </c>
      <c r="GH6">
        <v>40</v>
      </c>
      <c r="GI6">
        <v>24</v>
      </c>
      <c r="GJ6">
        <v>40</v>
      </c>
      <c r="GK6">
        <v>40</v>
      </c>
      <c r="GL6">
        <v>40</v>
      </c>
      <c r="GM6">
        <v>40</v>
      </c>
      <c r="GN6">
        <v>40</v>
      </c>
      <c r="GO6">
        <v>40</v>
      </c>
      <c r="GP6">
        <v>24</v>
      </c>
      <c r="GQ6">
        <v>24</v>
      </c>
      <c r="GR6">
        <v>24</v>
      </c>
      <c r="GS6">
        <v>24</v>
      </c>
      <c r="GT6">
        <v>24</v>
      </c>
      <c r="GU6">
        <v>24</v>
      </c>
      <c r="GV6">
        <v>24</v>
      </c>
      <c r="GW6">
        <v>24</v>
      </c>
      <c r="GX6">
        <v>24</v>
      </c>
      <c r="GY6">
        <v>24</v>
      </c>
      <c r="GZ6">
        <v>24</v>
      </c>
      <c r="HA6">
        <v>32</v>
      </c>
      <c r="HB6">
        <v>32</v>
      </c>
      <c r="HC6">
        <v>32</v>
      </c>
      <c r="HD6">
        <v>32</v>
      </c>
      <c r="HE6">
        <v>32</v>
      </c>
      <c r="HF6">
        <v>40</v>
      </c>
      <c r="HG6">
        <v>40</v>
      </c>
      <c r="HH6">
        <v>40</v>
      </c>
      <c r="HI6">
        <v>40</v>
      </c>
      <c r="HJ6">
        <v>24</v>
      </c>
      <c r="HK6">
        <v>24</v>
      </c>
      <c r="HL6">
        <v>32</v>
      </c>
      <c r="HM6">
        <v>32</v>
      </c>
      <c r="HN6">
        <v>32</v>
      </c>
      <c r="HO6">
        <v>24</v>
      </c>
      <c r="HP6">
        <v>24</v>
      </c>
      <c r="HQ6">
        <v>24</v>
      </c>
      <c r="HR6">
        <v>24</v>
      </c>
      <c r="HS6">
        <v>24</v>
      </c>
      <c r="HT6">
        <v>24</v>
      </c>
      <c r="HU6">
        <v>40</v>
      </c>
      <c r="HV6">
        <v>40</v>
      </c>
      <c r="HW6">
        <v>40</v>
      </c>
      <c r="HX6">
        <v>24</v>
      </c>
      <c r="HY6">
        <v>24</v>
      </c>
      <c r="HZ6">
        <v>24</v>
      </c>
      <c r="IA6">
        <v>24</v>
      </c>
      <c r="IB6">
        <v>24</v>
      </c>
      <c r="IC6">
        <v>24</v>
      </c>
      <c r="ID6">
        <v>24</v>
      </c>
      <c r="IE6">
        <v>24</v>
      </c>
      <c r="IF6">
        <v>24</v>
      </c>
      <c r="IG6">
        <v>136</v>
      </c>
      <c r="IH6">
        <v>136</v>
      </c>
      <c r="II6">
        <v>136</v>
      </c>
      <c r="IJ6">
        <v>56</v>
      </c>
      <c r="IK6">
        <v>56</v>
      </c>
      <c r="IL6">
        <v>56</v>
      </c>
      <c r="IM6">
        <v>56</v>
      </c>
      <c r="IN6">
        <v>56</v>
      </c>
      <c r="IO6">
        <v>56</v>
      </c>
      <c r="IP6">
        <v>56</v>
      </c>
      <c r="IQ6">
        <v>56</v>
      </c>
      <c r="IR6">
        <v>56</v>
      </c>
      <c r="IS6">
        <v>56</v>
      </c>
      <c r="IT6">
        <v>56</v>
      </c>
      <c r="IU6">
        <v>24</v>
      </c>
      <c r="IV6">
        <v>24</v>
      </c>
      <c r="IW6">
        <v>24</v>
      </c>
      <c r="IX6">
        <v>24</v>
      </c>
      <c r="IY6">
        <v>24</v>
      </c>
      <c r="IZ6">
        <v>24</v>
      </c>
      <c r="JA6">
        <v>24</v>
      </c>
      <c r="JB6">
        <v>40</v>
      </c>
      <c r="JC6">
        <v>40</v>
      </c>
      <c r="JD6">
        <v>24</v>
      </c>
      <c r="JE6">
        <v>24</v>
      </c>
      <c r="JF6">
        <v>24</v>
      </c>
      <c r="JG6">
        <v>24</v>
      </c>
      <c r="JH6">
        <v>24</v>
      </c>
      <c r="JI6">
        <v>24</v>
      </c>
      <c r="JJ6">
        <v>24</v>
      </c>
      <c r="JK6">
        <v>24</v>
      </c>
      <c r="JL6">
        <v>24</v>
      </c>
      <c r="JM6">
        <v>168</v>
      </c>
      <c r="JN6">
        <v>136</v>
      </c>
      <c r="JO6">
        <v>136</v>
      </c>
      <c r="JP6">
        <v>200</v>
      </c>
      <c r="JQ6">
        <v>136</v>
      </c>
      <c r="JR6">
        <v>136</v>
      </c>
      <c r="JS6">
        <v>136</v>
      </c>
      <c r="JT6">
        <v>24</v>
      </c>
      <c r="JU6">
        <v>24</v>
      </c>
      <c r="JV6">
        <v>24</v>
      </c>
      <c r="JW6">
        <f t="shared" si="1"/>
        <v>24</v>
      </c>
      <c r="JY6">
        <v>24</v>
      </c>
      <c r="JZ6" s="42">
        <v>24</v>
      </c>
      <c r="KA6">
        <v>24</v>
      </c>
      <c r="KB6" s="42">
        <v>24</v>
      </c>
      <c r="KC6">
        <v>56</v>
      </c>
      <c r="KD6">
        <v>56</v>
      </c>
      <c r="KE6">
        <v>40</v>
      </c>
      <c r="KF6" s="42">
        <v>40</v>
      </c>
      <c r="KI6" s="42">
        <f t="shared" ref="KI6:KJ15" si="3">KI5+8</f>
        <v>24</v>
      </c>
      <c r="KJ6" s="42">
        <f t="shared" si="3"/>
        <v>24</v>
      </c>
      <c r="KK6" s="42">
        <f t="shared" ref="KK6:KQ21" si="4">8+KK5</f>
        <v>24</v>
      </c>
      <c r="KL6" s="42">
        <f t="shared" si="4"/>
        <v>24</v>
      </c>
      <c r="KM6" s="42">
        <f t="shared" si="4"/>
        <v>24</v>
      </c>
      <c r="KN6" s="42">
        <f t="shared" si="4"/>
        <v>24</v>
      </c>
      <c r="KO6" s="42">
        <f t="shared" si="4"/>
        <v>24</v>
      </c>
      <c r="KP6" s="42">
        <f t="shared" si="4"/>
        <v>24</v>
      </c>
      <c r="KQ6" s="42">
        <f t="shared" si="4"/>
        <v>24</v>
      </c>
      <c r="KR6" s="42">
        <v>96</v>
      </c>
      <c r="KS6" s="42">
        <v>96</v>
      </c>
      <c r="KT6" s="42">
        <v>88</v>
      </c>
      <c r="KU6" s="42">
        <v>88</v>
      </c>
      <c r="KV6" s="42">
        <f t="shared" ref="KV6:KW27" si="5">KV5+8</f>
        <v>24</v>
      </c>
      <c r="KW6" s="42">
        <f t="shared" si="5"/>
        <v>24</v>
      </c>
      <c r="KX6" s="42">
        <v>168</v>
      </c>
    </row>
    <row r="7" spans="1:310" x14ac:dyDescent="0.35">
      <c r="A7">
        <v>152</v>
      </c>
      <c r="B7">
        <v>152</v>
      </c>
      <c r="C7">
        <v>152</v>
      </c>
      <c r="D7">
        <v>32</v>
      </c>
      <c r="E7">
        <v>32</v>
      </c>
      <c r="F7">
        <v>32</v>
      </c>
      <c r="G7">
        <v>70</v>
      </c>
      <c r="H7">
        <v>70</v>
      </c>
      <c r="I7">
        <v>70</v>
      </c>
      <c r="K7">
        <v>32</v>
      </c>
      <c r="L7">
        <v>32</v>
      </c>
      <c r="M7">
        <v>56</v>
      </c>
      <c r="N7">
        <v>56</v>
      </c>
      <c r="O7">
        <v>56</v>
      </c>
      <c r="P7">
        <v>64</v>
      </c>
      <c r="Q7">
        <v>64</v>
      </c>
      <c r="R7">
        <v>64</v>
      </c>
      <c r="S7">
        <v>200</v>
      </c>
      <c r="T7">
        <v>200</v>
      </c>
      <c r="U7">
        <v>200</v>
      </c>
      <c r="V7">
        <v>32</v>
      </c>
      <c r="W7">
        <v>32</v>
      </c>
      <c r="X7">
        <v>448</v>
      </c>
      <c r="Y7">
        <v>32</v>
      </c>
      <c r="Z7">
        <v>32</v>
      </c>
      <c r="AA7">
        <v>32</v>
      </c>
      <c r="AB7">
        <v>80</v>
      </c>
      <c r="AC7">
        <v>80</v>
      </c>
      <c r="AD7">
        <v>80</v>
      </c>
      <c r="AE7">
        <v>104</v>
      </c>
      <c r="AF7">
        <v>104</v>
      </c>
      <c r="AG7">
        <v>104</v>
      </c>
      <c r="AH7">
        <v>32</v>
      </c>
      <c r="AI7">
        <v>32</v>
      </c>
      <c r="AJ7">
        <v>32</v>
      </c>
      <c r="AK7">
        <v>32</v>
      </c>
      <c r="AL7">
        <v>32</v>
      </c>
      <c r="AM7">
        <v>32</v>
      </c>
      <c r="AN7">
        <v>32</v>
      </c>
      <c r="AO7">
        <v>32</v>
      </c>
      <c r="AP7">
        <v>32</v>
      </c>
      <c r="AQ7">
        <v>32</v>
      </c>
      <c r="AR7">
        <v>32</v>
      </c>
      <c r="AS7">
        <v>32</v>
      </c>
      <c r="AT7">
        <v>32</v>
      </c>
      <c r="AU7">
        <v>32</v>
      </c>
      <c r="AV7">
        <v>32</v>
      </c>
      <c r="AW7">
        <v>32</v>
      </c>
      <c r="AX7">
        <v>32</v>
      </c>
      <c r="AY7">
        <v>40</v>
      </c>
      <c r="AZ7">
        <v>40</v>
      </c>
      <c r="BA7">
        <v>40</v>
      </c>
      <c r="BB7">
        <v>32</v>
      </c>
      <c r="BC7">
        <v>32</v>
      </c>
      <c r="BD7">
        <v>32</v>
      </c>
      <c r="BE7">
        <v>32</v>
      </c>
      <c r="BF7">
        <v>32</v>
      </c>
      <c r="BG7">
        <v>32</v>
      </c>
      <c r="BH7">
        <v>32</v>
      </c>
      <c r="BI7">
        <v>32</v>
      </c>
      <c r="BJ7">
        <v>32</v>
      </c>
      <c r="BK7">
        <v>56</v>
      </c>
      <c r="BL7">
        <v>56</v>
      </c>
      <c r="BM7">
        <v>56</v>
      </c>
      <c r="BN7">
        <v>32</v>
      </c>
      <c r="BO7">
        <v>32</v>
      </c>
      <c r="BP7">
        <v>32</v>
      </c>
      <c r="BQ7">
        <v>160</v>
      </c>
      <c r="BR7">
        <v>160</v>
      </c>
      <c r="BS7">
        <v>160</v>
      </c>
      <c r="BT7">
        <v>160</v>
      </c>
      <c r="BU7">
        <v>160</v>
      </c>
      <c r="BV7">
        <v>160</v>
      </c>
      <c r="BW7">
        <v>160</v>
      </c>
      <c r="BX7">
        <v>160</v>
      </c>
      <c r="BY7">
        <v>160</v>
      </c>
      <c r="BZ7">
        <v>400</v>
      </c>
      <c r="CA7">
        <v>400</v>
      </c>
      <c r="CB7">
        <v>400</v>
      </c>
      <c r="CC7">
        <v>160</v>
      </c>
      <c r="CD7">
        <v>160</v>
      </c>
      <c r="CE7">
        <v>160</v>
      </c>
      <c r="CF7">
        <v>160</v>
      </c>
      <c r="CG7">
        <v>160</v>
      </c>
      <c r="CH7">
        <v>160</v>
      </c>
      <c r="CI7">
        <v>32</v>
      </c>
      <c r="CJ7">
        <v>32</v>
      </c>
      <c r="CK7">
        <v>32</v>
      </c>
      <c r="CL7">
        <v>128</v>
      </c>
      <c r="CM7">
        <v>128</v>
      </c>
      <c r="CN7">
        <v>128</v>
      </c>
      <c r="CO7">
        <v>128</v>
      </c>
      <c r="CP7">
        <v>128</v>
      </c>
      <c r="CQ7">
        <v>128</v>
      </c>
      <c r="CR7">
        <v>128</v>
      </c>
      <c r="CS7">
        <v>128</v>
      </c>
      <c r="CT7">
        <v>128</v>
      </c>
      <c r="CU7">
        <v>128</v>
      </c>
      <c r="CV7">
        <v>128</v>
      </c>
      <c r="CW7">
        <v>80</v>
      </c>
      <c r="CX7">
        <v>80</v>
      </c>
      <c r="CY7">
        <v>80</v>
      </c>
      <c r="CZ7">
        <v>152</v>
      </c>
      <c r="DA7">
        <v>152</v>
      </c>
      <c r="DB7">
        <v>152</v>
      </c>
      <c r="DC7">
        <v>80</v>
      </c>
      <c r="DD7">
        <v>80</v>
      </c>
      <c r="DE7">
        <v>80</v>
      </c>
      <c r="DF7">
        <v>128</v>
      </c>
      <c r="DG7">
        <v>128</v>
      </c>
      <c r="DH7">
        <v>128</v>
      </c>
      <c r="DI7" s="42">
        <v>115</v>
      </c>
      <c r="DJ7" s="42">
        <v>115</v>
      </c>
      <c r="DK7" s="42">
        <v>115</v>
      </c>
      <c r="DL7" s="42">
        <v>115</v>
      </c>
      <c r="DM7" s="42">
        <v>116</v>
      </c>
      <c r="DN7" s="42">
        <v>116</v>
      </c>
      <c r="DO7" s="42">
        <v>116</v>
      </c>
      <c r="DP7" s="42">
        <v>88</v>
      </c>
      <c r="DQ7" s="42">
        <v>88</v>
      </c>
      <c r="DR7" s="42">
        <v>88</v>
      </c>
      <c r="DS7" s="42">
        <v>152</v>
      </c>
      <c r="DT7" s="42">
        <v>152</v>
      </c>
      <c r="DU7" s="42">
        <v>152</v>
      </c>
      <c r="DV7" s="42">
        <v>96</v>
      </c>
      <c r="DW7" s="42">
        <v>96</v>
      </c>
      <c r="DX7" s="42">
        <v>96</v>
      </c>
      <c r="DY7">
        <v>32</v>
      </c>
      <c r="DZ7" s="42">
        <v>125</v>
      </c>
      <c r="EA7" s="42">
        <v>125</v>
      </c>
      <c r="EB7">
        <v>80</v>
      </c>
      <c r="EC7">
        <v>80</v>
      </c>
      <c r="ED7">
        <v>80</v>
      </c>
      <c r="EE7">
        <v>80</v>
      </c>
      <c r="EF7">
        <v>80</v>
      </c>
      <c r="EG7">
        <v>80</v>
      </c>
      <c r="EH7" s="42">
        <v>223</v>
      </c>
      <c r="EI7" s="42">
        <v>223</v>
      </c>
      <c r="EJ7" s="42">
        <v>306</v>
      </c>
      <c r="EK7" s="42">
        <v>306</v>
      </c>
      <c r="EL7" s="42">
        <v>306</v>
      </c>
      <c r="EM7" s="42">
        <v>306</v>
      </c>
      <c r="EN7" s="42">
        <v>219</v>
      </c>
      <c r="EO7" s="42">
        <v>219</v>
      </c>
      <c r="EP7" s="42">
        <v>219</v>
      </c>
      <c r="EQ7" s="42">
        <v>160</v>
      </c>
      <c r="ER7" s="42">
        <v>160</v>
      </c>
      <c r="ES7">
        <v>224</v>
      </c>
      <c r="ET7">
        <v>80</v>
      </c>
      <c r="EU7">
        <v>80</v>
      </c>
      <c r="EV7">
        <v>48</v>
      </c>
      <c r="EW7">
        <v>48</v>
      </c>
      <c r="EX7">
        <v>48</v>
      </c>
      <c r="EY7">
        <v>48</v>
      </c>
      <c r="EZ7">
        <v>48</v>
      </c>
      <c r="FA7">
        <v>48</v>
      </c>
      <c r="FB7">
        <v>32</v>
      </c>
      <c r="FC7">
        <v>32</v>
      </c>
      <c r="FD7">
        <v>32</v>
      </c>
      <c r="FE7">
        <v>32</v>
      </c>
      <c r="FF7">
        <v>32</v>
      </c>
      <c r="FG7">
        <v>32</v>
      </c>
      <c r="FH7">
        <v>80</v>
      </c>
      <c r="FI7">
        <v>80</v>
      </c>
      <c r="FJ7">
        <v>80</v>
      </c>
      <c r="FK7">
        <v>80</v>
      </c>
      <c r="FL7">
        <v>80</v>
      </c>
      <c r="FM7">
        <v>80</v>
      </c>
      <c r="FN7">
        <v>56</v>
      </c>
      <c r="FO7">
        <v>56</v>
      </c>
      <c r="FP7">
        <v>56</v>
      </c>
      <c r="FQ7">
        <f t="shared" si="0"/>
        <v>32</v>
      </c>
      <c r="FR7">
        <v>80</v>
      </c>
      <c r="FS7">
        <v>32</v>
      </c>
      <c r="FT7">
        <v>104</v>
      </c>
      <c r="FU7">
        <v>104</v>
      </c>
      <c r="FV7">
        <v>104</v>
      </c>
      <c r="FW7">
        <v>32</v>
      </c>
      <c r="FX7">
        <v>32</v>
      </c>
      <c r="FY7">
        <v>32</v>
      </c>
      <c r="FZ7">
        <v>56</v>
      </c>
      <c r="GA7">
        <v>56</v>
      </c>
      <c r="GB7">
        <v>56</v>
      </c>
      <c r="GC7" s="43">
        <v>80</v>
      </c>
      <c r="GD7">
        <v>80</v>
      </c>
      <c r="GE7">
        <v>80</v>
      </c>
      <c r="GF7">
        <v>72</v>
      </c>
      <c r="GG7">
        <v>136</v>
      </c>
      <c r="GH7">
        <v>72</v>
      </c>
      <c r="GI7">
        <v>32</v>
      </c>
      <c r="GJ7">
        <v>56</v>
      </c>
      <c r="GK7">
        <v>56</v>
      </c>
      <c r="GL7">
        <v>56</v>
      </c>
      <c r="GM7">
        <v>56</v>
      </c>
      <c r="GN7">
        <v>56</v>
      </c>
      <c r="GO7">
        <v>56</v>
      </c>
      <c r="GP7">
        <v>32</v>
      </c>
      <c r="GQ7">
        <v>32</v>
      </c>
      <c r="GR7">
        <v>40</v>
      </c>
      <c r="GS7">
        <v>40</v>
      </c>
      <c r="GT7">
        <v>40</v>
      </c>
      <c r="GU7">
        <v>32</v>
      </c>
      <c r="GV7">
        <v>32</v>
      </c>
      <c r="GW7">
        <v>32</v>
      </c>
      <c r="GX7">
        <v>32</v>
      </c>
      <c r="GY7">
        <v>32</v>
      </c>
      <c r="GZ7">
        <v>32</v>
      </c>
      <c r="HA7">
        <v>48</v>
      </c>
      <c r="HB7">
        <v>48</v>
      </c>
      <c r="HC7">
        <v>48</v>
      </c>
      <c r="HD7">
        <v>48</v>
      </c>
      <c r="HE7">
        <v>48</v>
      </c>
      <c r="HF7">
        <v>64</v>
      </c>
      <c r="HG7">
        <v>64</v>
      </c>
      <c r="HH7">
        <v>64</v>
      </c>
      <c r="HI7">
        <v>64</v>
      </c>
      <c r="HJ7">
        <v>40</v>
      </c>
      <c r="HK7">
        <v>40</v>
      </c>
      <c r="HL7">
        <v>48</v>
      </c>
      <c r="HM7">
        <v>48</v>
      </c>
      <c r="HN7">
        <v>48</v>
      </c>
      <c r="HO7">
        <v>32</v>
      </c>
      <c r="HP7">
        <v>32</v>
      </c>
      <c r="HQ7">
        <v>32</v>
      </c>
      <c r="HR7">
        <v>32</v>
      </c>
      <c r="HS7">
        <v>32</v>
      </c>
      <c r="HT7">
        <v>32</v>
      </c>
      <c r="HU7">
        <v>56</v>
      </c>
      <c r="HV7">
        <v>56</v>
      </c>
      <c r="HW7">
        <v>56</v>
      </c>
      <c r="HX7">
        <v>32</v>
      </c>
      <c r="HY7">
        <v>32</v>
      </c>
      <c r="HZ7">
        <v>32</v>
      </c>
      <c r="IA7">
        <v>32</v>
      </c>
      <c r="IB7">
        <v>32</v>
      </c>
      <c r="IC7">
        <v>32</v>
      </c>
      <c r="ID7">
        <v>32</v>
      </c>
      <c r="IE7">
        <v>32</v>
      </c>
      <c r="IF7">
        <v>32</v>
      </c>
      <c r="IG7">
        <v>200</v>
      </c>
      <c r="IH7">
        <v>200</v>
      </c>
      <c r="II7">
        <v>200</v>
      </c>
      <c r="IJ7">
        <v>80</v>
      </c>
      <c r="IK7">
        <v>80</v>
      </c>
      <c r="IL7">
        <v>80</v>
      </c>
      <c r="IM7">
        <v>80</v>
      </c>
      <c r="IN7">
        <v>80</v>
      </c>
      <c r="IO7">
        <v>80</v>
      </c>
      <c r="IP7">
        <v>80</v>
      </c>
      <c r="IQ7">
        <v>80</v>
      </c>
      <c r="IR7">
        <v>80</v>
      </c>
      <c r="IS7">
        <v>80</v>
      </c>
      <c r="IT7">
        <v>80</v>
      </c>
      <c r="IU7">
        <v>32</v>
      </c>
      <c r="IV7">
        <v>32</v>
      </c>
      <c r="IW7">
        <v>32</v>
      </c>
      <c r="IX7">
        <v>32</v>
      </c>
      <c r="IY7">
        <v>32</v>
      </c>
      <c r="IZ7">
        <v>32</v>
      </c>
      <c r="JA7">
        <v>32</v>
      </c>
      <c r="JB7">
        <v>56</v>
      </c>
      <c r="JC7">
        <v>56</v>
      </c>
      <c r="JD7">
        <v>32</v>
      </c>
      <c r="JE7">
        <v>32</v>
      </c>
      <c r="JF7">
        <v>32</v>
      </c>
      <c r="JG7">
        <v>32</v>
      </c>
      <c r="JH7">
        <v>32</v>
      </c>
      <c r="JI7">
        <v>32</v>
      </c>
      <c r="JJ7">
        <v>32</v>
      </c>
      <c r="JK7">
        <v>32</v>
      </c>
      <c r="JL7">
        <v>32</v>
      </c>
      <c r="JM7">
        <v>328</v>
      </c>
      <c r="JN7">
        <v>200</v>
      </c>
      <c r="JO7">
        <v>200</v>
      </c>
      <c r="JP7">
        <v>264</v>
      </c>
      <c r="JQ7">
        <v>200</v>
      </c>
      <c r="JR7">
        <v>200</v>
      </c>
      <c r="JS7">
        <v>200</v>
      </c>
      <c r="JT7">
        <v>32</v>
      </c>
      <c r="JU7">
        <v>32</v>
      </c>
      <c r="JV7">
        <v>32</v>
      </c>
      <c r="JW7">
        <f t="shared" si="1"/>
        <v>32</v>
      </c>
      <c r="JY7">
        <v>32</v>
      </c>
      <c r="JZ7" s="42">
        <v>32</v>
      </c>
      <c r="KA7">
        <v>32</v>
      </c>
      <c r="KB7" s="42">
        <v>32</v>
      </c>
      <c r="KC7">
        <v>80</v>
      </c>
      <c r="KD7">
        <v>80</v>
      </c>
      <c r="KE7">
        <v>56</v>
      </c>
      <c r="KF7" s="42">
        <v>56</v>
      </c>
      <c r="KI7" s="42">
        <f t="shared" si="3"/>
        <v>32</v>
      </c>
      <c r="KJ7" s="42">
        <f t="shared" si="3"/>
        <v>32</v>
      </c>
      <c r="KK7" s="42">
        <f t="shared" si="4"/>
        <v>32</v>
      </c>
      <c r="KL7" s="42">
        <f t="shared" si="4"/>
        <v>32</v>
      </c>
      <c r="KM7" s="42">
        <f t="shared" si="4"/>
        <v>32</v>
      </c>
      <c r="KN7" s="42">
        <v>168</v>
      </c>
      <c r="KO7" s="42">
        <v>168</v>
      </c>
      <c r="KP7" s="42">
        <f t="shared" si="4"/>
        <v>32</v>
      </c>
      <c r="KQ7" s="42">
        <f t="shared" si="4"/>
        <v>32</v>
      </c>
      <c r="KR7" s="42">
        <v>176</v>
      </c>
      <c r="KS7" s="42">
        <v>176</v>
      </c>
      <c r="KT7" s="42">
        <v>128</v>
      </c>
      <c r="KU7" s="42">
        <v>128</v>
      </c>
      <c r="KV7" s="42">
        <f t="shared" si="5"/>
        <v>32</v>
      </c>
      <c r="KW7" s="42">
        <f t="shared" si="5"/>
        <v>32</v>
      </c>
      <c r="KX7" s="42">
        <v>248</v>
      </c>
    </row>
    <row r="8" spans="1:310" x14ac:dyDescent="0.35">
      <c r="A8">
        <v>200</v>
      </c>
      <c r="B8">
        <v>200</v>
      </c>
      <c r="C8">
        <v>200</v>
      </c>
      <c r="D8">
        <v>40</v>
      </c>
      <c r="E8">
        <v>40</v>
      </c>
      <c r="F8">
        <v>40</v>
      </c>
      <c r="G8">
        <v>86</v>
      </c>
      <c r="H8">
        <v>86</v>
      </c>
      <c r="I8">
        <v>86</v>
      </c>
      <c r="K8">
        <v>40</v>
      </c>
      <c r="L8">
        <v>40</v>
      </c>
      <c r="M8">
        <v>72</v>
      </c>
      <c r="N8">
        <v>72</v>
      </c>
      <c r="O8">
        <v>72</v>
      </c>
      <c r="P8">
        <v>80</v>
      </c>
      <c r="Q8">
        <v>80</v>
      </c>
      <c r="R8">
        <v>80</v>
      </c>
      <c r="S8">
        <v>264</v>
      </c>
      <c r="T8">
        <v>264</v>
      </c>
      <c r="U8">
        <v>264</v>
      </c>
      <c r="V8">
        <v>40</v>
      </c>
      <c r="W8">
        <v>40</v>
      </c>
      <c r="X8">
        <v>560</v>
      </c>
      <c r="Y8">
        <v>40</v>
      </c>
      <c r="Z8">
        <v>40</v>
      </c>
      <c r="AA8">
        <v>40</v>
      </c>
      <c r="AB8">
        <v>104</v>
      </c>
      <c r="AC8">
        <v>104</v>
      </c>
      <c r="AD8">
        <v>104</v>
      </c>
      <c r="AE8">
        <v>136</v>
      </c>
      <c r="AF8">
        <v>136</v>
      </c>
      <c r="AG8">
        <v>136</v>
      </c>
      <c r="AH8">
        <v>40</v>
      </c>
      <c r="AI8">
        <v>40</v>
      </c>
      <c r="AJ8">
        <v>40</v>
      </c>
      <c r="AK8">
        <v>40</v>
      </c>
      <c r="AL8">
        <v>40</v>
      </c>
      <c r="AM8">
        <v>40</v>
      </c>
      <c r="AN8">
        <v>40</v>
      </c>
      <c r="AO8">
        <v>40</v>
      </c>
      <c r="AP8">
        <v>40</v>
      </c>
      <c r="AQ8">
        <v>40</v>
      </c>
      <c r="AR8">
        <v>40</v>
      </c>
      <c r="AS8">
        <v>40</v>
      </c>
      <c r="AT8">
        <v>40</v>
      </c>
      <c r="AU8">
        <v>40</v>
      </c>
      <c r="AV8">
        <v>40</v>
      </c>
      <c r="AW8">
        <v>40</v>
      </c>
      <c r="AX8">
        <v>40</v>
      </c>
      <c r="AY8">
        <v>56</v>
      </c>
      <c r="AZ8">
        <v>56</v>
      </c>
      <c r="BA8">
        <v>56</v>
      </c>
      <c r="BB8">
        <v>40</v>
      </c>
      <c r="BC8">
        <v>40</v>
      </c>
      <c r="BE8">
        <v>40</v>
      </c>
      <c r="BF8">
        <v>40</v>
      </c>
      <c r="BG8">
        <v>40</v>
      </c>
      <c r="BH8">
        <v>40</v>
      </c>
      <c r="BI8">
        <v>40</v>
      </c>
      <c r="BJ8">
        <v>40</v>
      </c>
      <c r="BK8">
        <v>72</v>
      </c>
      <c r="BL8">
        <v>72</v>
      </c>
      <c r="BM8">
        <v>72</v>
      </c>
      <c r="BN8">
        <v>40</v>
      </c>
      <c r="BO8">
        <v>40</v>
      </c>
      <c r="BP8">
        <v>40</v>
      </c>
      <c r="BQ8">
        <v>200</v>
      </c>
      <c r="BR8">
        <v>200</v>
      </c>
      <c r="BS8">
        <v>200</v>
      </c>
      <c r="BT8">
        <v>200</v>
      </c>
      <c r="BU8">
        <v>200</v>
      </c>
      <c r="BV8">
        <v>200</v>
      </c>
      <c r="BW8">
        <v>200</v>
      </c>
      <c r="BX8">
        <v>200</v>
      </c>
      <c r="BY8">
        <v>200</v>
      </c>
      <c r="BZ8">
        <v>520</v>
      </c>
      <c r="CA8">
        <v>520</v>
      </c>
      <c r="CB8">
        <v>520</v>
      </c>
      <c r="CC8">
        <v>200</v>
      </c>
      <c r="CD8">
        <v>200</v>
      </c>
      <c r="CE8">
        <v>200</v>
      </c>
      <c r="CF8">
        <v>200</v>
      </c>
      <c r="CG8">
        <v>200</v>
      </c>
      <c r="CH8">
        <v>200</v>
      </c>
      <c r="CI8">
        <v>40</v>
      </c>
      <c r="CJ8">
        <v>40</v>
      </c>
      <c r="CK8">
        <v>40</v>
      </c>
      <c r="CL8">
        <v>168</v>
      </c>
      <c r="CM8">
        <v>168</v>
      </c>
      <c r="CN8">
        <v>168</v>
      </c>
      <c r="CO8">
        <v>168</v>
      </c>
      <c r="CP8">
        <v>168</v>
      </c>
      <c r="CQ8">
        <v>168</v>
      </c>
      <c r="CR8">
        <v>168</v>
      </c>
      <c r="CS8">
        <v>168</v>
      </c>
      <c r="CT8">
        <v>168</v>
      </c>
      <c r="CU8">
        <v>168</v>
      </c>
      <c r="CV8">
        <v>168</v>
      </c>
      <c r="CW8">
        <v>104</v>
      </c>
      <c r="CX8">
        <v>104</v>
      </c>
      <c r="CY8">
        <v>104</v>
      </c>
      <c r="CZ8">
        <v>200</v>
      </c>
      <c r="DA8">
        <v>200</v>
      </c>
      <c r="DB8">
        <v>200</v>
      </c>
      <c r="DC8">
        <v>104</v>
      </c>
      <c r="DD8">
        <v>104</v>
      </c>
      <c r="DE8">
        <v>104</v>
      </c>
      <c r="DF8">
        <v>168</v>
      </c>
      <c r="DG8">
        <v>168</v>
      </c>
      <c r="DH8">
        <v>168</v>
      </c>
      <c r="DI8" s="42">
        <v>131</v>
      </c>
      <c r="DJ8" s="42">
        <v>131</v>
      </c>
      <c r="DK8" s="42">
        <v>131</v>
      </c>
      <c r="DL8" s="42">
        <v>131</v>
      </c>
      <c r="DM8" s="42">
        <v>132</v>
      </c>
      <c r="DN8" s="42">
        <v>132</v>
      </c>
      <c r="DO8" s="42">
        <v>132</v>
      </c>
      <c r="DP8" s="42">
        <v>104</v>
      </c>
      <c r="DQ8" s="42">
        <v>104</v>
      </c>
      <c r="DR8" s="42">
        <v>104</v>
      </c>
      <c r="DS8" s="42">
        <v>184</v>
      </c>
      <c r="DT8" s="42">
        <v>184</v>
      </c>
      <c r="DU8" s="42">
        <v>184</v>
      </c>
      <c r="DV8" s="42">
        <v>112</v>
      </c>
      <c r="DW8" s="42">
        <v>112</v>
      </c>
      <c r="DX8" s="42">
        <v>112</v>
      </c>
      <c r="DY8">
        <v>40</v>
      </c>
      <c r="DZ8" s="42">
        <v>149</v>
      </c>
      <c r="EA8" s="42">
        <v>149</v>
      </c>
      <c r="EB8">
        <v>104</v>
      </c>
      <c r="EC8">
        <v>104</v>
      </c>
      <c r="ED8">
        <v>104</v>
      </c>
      <c r="EE8">
        <v>112</v>
      </c>
      <c r="EF8">
        <v>112</v>
      </c>
      <c r="EG8">
        <v>112</v>
      </c>
      <c r="EH8" s="42">
        <v>351</v>
      </c>
      <c r="EI8" s="42">
        <v>351</v>
      </c>
      <c r="EJ8" s="42">
        <v>354</v>
      </c>
      <c r="EK8" s="42">
        <v>354</v>
      </c>
      <c r="EL8" s="42">
        <v>354</v>
      </c>
      <c r="EM8" s="42">
        <v>354</v>
      </c>
      <c r="EN8" s="42">
        <v>251</v>
      </c>
      <c r="EO8" s="42">
        <v>251</v>
      </c>
      <c r="EP8" s="42">
        <v>251</v>
      </c>
      <c r="EQ8" s="42">
        <v>224</v>
      </c>
      <c r="ER8" s="42">
        <v>224</v>
      </c>
      <c r="ES8">
        <v>248</v>
      </c>
      <c r="ET8">
        <v>104</v>
      </c>
      <c r="EU8">
        <v>104</v>
      </c>
      <c r="EV8">
        <v>64</v>
      </c>
      <c r="EW8">
        <v>64</v>
      </c>
      <c r="EX8">
        <v>64</v>
      </c>
      <c r="EY8">
        <v>64</v>
      </c>
      <c r="EZ8">
        <v>64</v>
      </c>
      <c r="FA8">
        <v>64</v>
      </c>
      <c r="FB8">
        <v>40</v>
      </c>
      <c r="FC8">
        <v>40</v>
      </c>
      <c r="FD8">
        <v>40</v>
      </c>
      <c r="FE8">
        <v>40</v>
      </c>
      <c r="FF8">
        <v>40</v>
      </c>
      <c r="FG8">
        <v>40</v>
      </c>
      <c r="FH8">
        <v>104</v>
      </c>
      <c r="FI8">
        <v>104</v>
      </c>
      <c r="FJ8">
        <v>104</v>
      </c>
      <c r="FK8">
        <v>104</v>
      </c>
      <c r="FL8">
        <v>104</v>
      </c>
      <c r="FM8">
        <v>104</v>
      </c>
      <c r="FN8">
        <v>72</v>
      </c>
      <c r="FO8">
        <v>72</v>
      </c>
      <c r="FP8">
        <v>72</v>
      </c>
      <c r="FQ8">
        <f t="shared" si="0"/>
        <v>40</v>
      </c>
      <c r="FR8">
        <v>88</v>
      </c>
      <c r="FS8">
        <v>40</v>
      </c>
      <c r="FT8">
        <v>136</v>
      </c>
      <c r="FU8">
        <v>136</v>
      </c>
      <c r="FV8">
        <v>136</v>
      </c>
      <c r="FW8">
        <v>40</v>
      </c>
      <c r="FX8">
        <v>40</v>
      </c>
      <c r="FY8">
        <v>40</v>
      </c>
      <c r="FZ8">
        <v>80</v>
      </c>
      <c r="GA8">
        <v>80</v>
      </c>
      <c r="GB8">
        <v>80</v>
      </c>
      <c r="GC8" s="43">
        <v>104</v>
      </c>
      <c r="GD8">
        <v>104</v>
      </c>
      <c r="GE8">
        <v>104</v>
      </c>
      <c r="GF8">
        <v>104</v>
      </c>
      <c r="GG8">
        <v>168</v>
      </c>
      <c r="GH8">
        <v>104</v>
      </c>
      <c r="GI8">
        <v>40</v>
      </c>
      <c r="GJ8">
        <v>72</v>
      </c>
      <c r="GK8">
        <v>72</v>
      </c>
      <c r="GL8">
        <v>72</v>
      </c>
      <c r="GM8">
        <v>72</v>
      </c>
      <c r="GN8">
        <v>72</v>
      </c>
      <c r="GO8">
        <v>72</v>
      </c>
      <c r="GP8">
        <v>40</v>
      </c>
      <c r="GQ8">
        <v>40</v>
      </c>
      <c r="GR8">
        <v>56</v>
      </c>
      <c r="GS8">
        <v>56</v>
      </c>
      <c r="GT8">
        <v>56</v>
      </c>
      <c r="GU8">
        <v>40</v>
      </c>
      <c r="GV8">
        <v>40</v>
      </c>
      <c r="GW8">
        <v>40</v>
      </c>
      <c r="GX8">
        <v>40</v>
      </c>
      <c r="GY8">
        <v>40</v>
      </c>
      <c r="GZ8">
        <v>40</v>
      </c>
      <c r="HA8">
        <v>64</v>
      </c>
      <c r="HB8">
        <v>64</v>
      </c>
      <c r="HC8">
        <v>64</v>
      </c>
      <c r="HD8">
        <v>64</v>
      </c>
      <c r="HE8">
        <v>64</v>
      </c>
      <c r="HF8">
        <v>88</v>
      </c>
      <c r="HG8">
        <v>88</v>
      </c>
      <c r="HH8">
        <v>88</v>
      </c>
      <c r="HI8">
        <v>88</v>
      </c>
      <c r="HJ8">
        <v>64</v>
      </c>
      <c r="HK8">
        <v>64</v>
      </c>
      <c r="HL8">
        <v>64</v>
      </c>
      <c r="HM8">
        <v>64</v>
      </c>
      <c r="HN8">
        <v>64</v>
      </c>
      <c r="HO8">
        <v>40</v>
      </c>
      <c r="HP8">
        <v>40</v>
      </c>
      <c r="HQ8">
        <v>40</v>
      </c>
      <c r="HR8">
        <v>40</v>
      </c>
      <c r="HS8">
        <v>40</v>
      </c>
      <c r="HT8">
        <v>40</v>
      </c>
      <c r="HU8">
        <v>72</v>
      </c>
      <c r="HV8">
        <v>72</v>
      </c>
      <c r="HW8">
        <v>72</v>
      </c>
      <c r="HX8">
        <v>40</v>
      </c>
      <c r="HY8">
        <v>40</v>
      </c>
      <c r="HZ8">
        <v>40</v>
      </c>
      <c r="IA8">
        <v>40</v>
      </c>
      <c r="IB8">
        <v>40</v>
      </c>
      <c r="IC8">
        <v>40</v>
      </c>
      <c r="ID8">
        <v>40</v>
      </c>
      <c r="IE8">
        <v>40</v>
      </c>
      <c r="IF8">
        <v>40</v>
      </c>
      <c r="IG8">
        <v>264</v>
      </c>
      <c r="IH8">
        <v>264</v>
      </c>
      <c r="II8">
        <v>264</v>
      </c>
      <c r="IJ8">
        <v>104</v>
      </c>
      <c r="IK8">
        <v>104</v>
      </c>
      <c r="IL8">
        <v>104</v>
      </c>
      <c r="IM8">
        <v>104</v>
      </c>
      <c r="IN8">
        <v>104</v>
      </c>
      <c r="IO8">
        <v>104</v>
      </c>
      <c r="IP8">
        <v>104</v>
      </c>
      <c r="IQ8">
        <v>104</v>
      </c>
      <c r="IR8">
        <v>104</v>
      </c>
      <c r="IS8">
        <v>104</v>
      </c>
      <c r="IT8">
        <v>104</v>
      </c>
      <c r="IU8">
        <v>40</v>
      </c>
      <c r="IV8">
        <v>40</v>
      </c>
      <c r="IW8">
        <v>40</v>
      </c>
      <c r="IX8">
        <v>40</v>
      </c>
      <c r="IY8">
        <v>40</v>
      </c>
      <c r="IZ8">
        <v>40</v>
      </c>
      <c r="JA8">
        <v>40</v>
      </c>
      <c r="JB8">
        <v>72</v>
      </c>
      <c r="JC8">
        <v>72</v>
      </c>
      <c r="JD8">
        <v>40</v>
      </c>
      <c r="JE8">
        <v>40</v>
      </c>
      <c r="JF8">
        <v>40</v>
      </c>
      <c r="JG8">
        <v>40</v>
      </c>
      <c r="JH8">
        <v>40</v>
      </c>
      <c r="JI8">
        <v>40</v>
      </c>
      <c r="JJ8">
        <v>40</v>
      </c>
      <c r="JK8">
        <v>40</v>
      </c>
      <c r="JL8">
        <v>40</v>
      </c>
      <c r="JM8">
        <v>488</v>
      </c>
      <c r="JN8">
        <v>264</v>
      </c>
      <c r="JO8">
        <v>264</v>
      </c>
      <c r="JP8">
        <v>392</v>
      </c>
      <c r="JQ8">
        <v>264</v>
      </c>
      <c r="JR8">
        <v>264</v>
      </c>
      <c r="JS8">
        <v>264</v>
      </c>
      <c r="JT8">
        <v>40</v>
      </c>
      <c r="JU8">
        <v>40</v>
      </c>
      <c r="JV8">
        <v>40</v>
      </c>
      <c r="JW8">
        <f t="shared" si="1"/>
        <v>40</v>
      </c>
      <c r="JY8">
        <v>40</v>
      </c>
      <c r="JZ8" s="42">
        <v>40</v>
      </c>
      <c r="KA8">
        <v>40</v>
      </c>
      <c r="KB8" s="42">
        <v>40</v>
      </c>
      <c r="KC8">
        <v>104</v>
      </c>
      <c r="KD8">
        <v>104</v>
      </c>
      <c r="KE8">
        <v>72</v>
      </c>
      <c r="KF8" s="42">
        <v>72</v>
      </c>
      <c r="KI8" s="42">
        <f t="shared" si="3"/>
        <v>40</v>
      </c>
      <c r="KJ8" s="42">
        <f t="shared" si="3"/>
        <v>40</v>
      </c>
      <c r="KK8" s="42">
        <f t="shared" si="4"/>
        <v>40</v>
      </c>
      <c r="KL8" s="42">
        <f t="shared" si="4"/>
        <v>40</v>
      </c>
      <c r="KM8" s="42">
        <f t="shared" si="4"/>
        <v>40</v>
      </c>
      <c r="KN8" s="42">
        <v>328</v>
      </c>
      <c r="KO8" s="42">
        <v>328</v>
      </c>
      <c r="KP8" s="42">
        <f t="shared" si="4"/>
        <v>40</v>
      </c>
      <c r="KQ8" s="42">
        <f t="shared" si="4"/>
        <v>40</v>
      </c>
      <c r="KR8" s="42">
        <v>256</v>
      </c>
      <c r="KS8" s="42">
        <v>256</v>
      </c>
      <c r="KT8" s="42">
        <v>168</v>
      </c>
      <c r="KU8" s="42">
        <v>168</v>
      </c>
      <c r="KV8" s="42">
        <f t="shared" si="5"/>
        <v>40</v>
      </c>
      <c r="KW8" s="42">
        <f t="shared" si="5"/>
        <v>40</v>
      </c>
      <c r="KX8" s="42">
        <v>328</v>
      </c>
    </row>
    <row r="9" spans="1:310" x14ac:dyDescent="0.35">
      <c r="A9">
        <v>248</v>
      </c>
      <c r="B9">
        <v>248</v>
      </c>
      <c r="C9">
        <v>248</v>
      </c>
      <c r="D9">
        <v>48</v>
      </c>
      <c r="E9">
        <v>48</v>
      </c>
      <c r="F9">
        <v>48</v>
      </c>
      <c r="G9">
        <v>102</v>
      </c>
      <c r="H9">
        <v>102</v>
      </c>
      <c r="I9">
        <v>102</v>
      </c>
      <c r="K9">
        <v>48</v>
      </c>
      <c r="L9">
        <v>48</v>
      </c>
      <c r="M9">
        <v>88</v>
      </c>
      <c r="N9">
        <v>88</v>
      </c>
      <c r="O9">
        <v>88</v>
      </c>
      <c r="P9">
        <v>96</v>
      </c>
      <c r="Q9">
        <v>96</v>
      </c>
      <c r="R9">
        <v>96</v>
      </c>
      <c r="S9">
        <v>328</v>
      </c>
      <c r="T9">
        <v>328</v>
      </c>
      <c r="U9">
        <v>328</v>
      </c>
      <c r="V9">
        <v>48</v>
      </c>
      <c r="W9">
        <v>48</v>
      </c>
      <c r="X9">
        <v>672</v>
      </c>
      <c r="Y9">
        <v>48</v>
      </c>
      <c r="Z9">
        <v>48</v>
      </c>
      <c r="AA9">
        <v>48</v>
      </c>
      <c r="AB9">
        <v>128</v>
      </c>
      <c r="AC9">
        <v>128</v>
      </c>
      <c r="AD9">
        <v>128</v>
      </c>
      <c r="AE9">
        <v>168</v>
      </c>
      <c r="AF9">
        <v>168</v>
      </c>
      <c r="AG9">
        <v>168</v>
      </c>
      <c r="AH9">
        <v>48</v>
      </c>
      <c r="AI9">
        <v>48</v>
      </c>
      <c r="AJ9">
        <v>48</v>
      </c>
      <c r="AK9">
        <v>48</v>
      </c>
      <c r="AL9">
        <v>48</v>
      </c>
      <c r="AM9">
        <v>48</v>
      </c>
      <c r="AN9">
        <v>48</v>
      </c>
      <c r="AO9">
        <v>48</v>
      </c>
      <c r="AP9">
        <v>48</v>
      </c>
      <c r="AQ9">
        <v>48</v>
      </c>
      <c r="AR9">
        <v>48</v>
      </c>
      <c r="AS9">
        <v>48</v>
      </c>
      <c r="AT9">
        <v>48</v>
      </c>
      <c r="AU9">
        <v>48</v>
      </c>
      <c r="AV9">
        <v>48</v>
      </c>
      <c r="AW9">
        <v>48</v>
      </c>
      <c r="AX9">
        <v>48</v>
      </c>
      <c r="AY9">
        <v>64</v>
      </c>
      <c r="AZ9">
        <v>64</v>
      </c>
      <c r="BA9">
        <v>64</v>
      </c>
      <c r="BB9">
        <v>48</v>
      </c>
      <c r="BC9">
        <v>48</v>
      </c>
      <c r="BE9">
        <v>48</v>
      </c>
      <c r="BF9">
        <v>48</v>
      </c>
      <c r="BG9">
        <v>48</v>
      </c>
      <c r="BH9">
        <v>48</v>
      </c>
      <c r="BI9">
        <v>48</v>
      </c>
      <c r="BJ9">
        <v>48</v>
      </c>
      <c r="BK9">
        <v>88</v>
      </c>
      <c r="BL9">
        <v>88</v>
      </c>
      <c r="BM9">
        <v>88</v>
      </c>
      <c r="BN9">
        <v>48</v>
      </c>
      <c r="BO9">
        <v>48</v>
      </c>
      <c r="BP9">
        <v>48</v>
      </c>
      <c r="BQ9">
        <v>240</v>
      </c>
      <c r="BR9">
        <v>240</v>
      </c>
      <c r="BS9">
        <v>240</v>
      </c>
      <c r="BT9">
        <v>240</v>
      </c>
      <c r="BU9">
        <v>240</v>
      </c>
      <c r="BV9">
        <v>240</v>
      </c>
      <c r="BW9">
        <v>240</v>
      </c>
      <c r="BX9">
        <v>240</v>
      </c>
      <c r="BY9">
        <v>240</v>
      </c>
      <c r="BZ9">
        <v>640</v>
      </c>
      <c r="CA9">
        <v>640</v>
      </c>
      <c r="CB9">
        <v>640</v>
      </c>
      <c r="CC9">
        <v>240</v>
      </c>
      <c r="CD9">
        <v>240</v>
      </c>
      <c r="CE9">
        <v>240</v>
      </c>
      <c r="CF9">
        <v>240</v>
      </c>
      <c r="CG9">
        <v>240</v>
      </c>
      <c r="CH9">
        <v>240</v>
      </c>
      <c r="CI9">
        <v>48</v>
      </c>
      <c r="CJ9">
        <v>48</v>
      </c>
      <c r="CK9">
        <v>48</v>
      </c>
      <c r="CL9">
        <v>208</v>
      </c>
      <c r="CM9">
        <v>208</v>
      </c>
      <c r="CN9">
        <v>208</v>
      </c>
      <c r="CO9">
        <v>208</v>
      </c>
      <c r="CP9">
        <v>208</v>
      </c>
      <c r="CQ9">
        <v>208</v>
      </c>
      <c r="CR9">
        <v>208</v>
      </c>
      <c r="CS9">
        <v>208</v>
      </c>
      <c r="CT9">
        <v>208</v>
      </c>
      <c r="CU9">
        <v>208</v>
      </c>
      <c r="CV9">
        <v>208</v>
      </c>
      <c r="CW9">
        <v>128</v>
      </c>
      <c r="CX9">
        <v>128</v>
      </c>
      <c r="CY9">
        <v>128</v>
      </c>
      <c r="CZ9">
        <v>248</v>
      </c>
      <c r="DA9">
        <v>248</v>
      </c>
      <c r="DB9">
        <v>248</v>
      </c>
      <c r="DC9">
        <v>128</v>
      </c>
      <c r="DD9">
        <v>128</v>
      </c>
      <c r="DE9">
        <v>128</v>
      </c>
      <c r="DF9">
        <v>208</v>
      </c>
      <c r="DG9">
        <v>208</v>
      </c>
      <c r="DH9">
        <v>208</v>
      </c>
      <c r="DI9" s="42">
        <v>147</v>
      </c>
      <c r="DJ9" s="42">
        <v>147</v>
      </c>
      <c r="DK9" s="42">
        <v>147</v>
      </c>
      <c r="DL9" s="42">
        <v>147</v>
      </c>
      <c r="DM9" s="42">
        <v>148</v>
      </c>
      <c r="DN9" s="42">
        <v>148</v>
      </c>
      <c r="DO9" s="42">
        <v>148</v>
      </c>
      <c r="DP9" s="42">
        <v>136</v>
      </c>
      <c r="DQ9" s="42">
        <v>136</v>
      </c>
      <c r="DR9" s="42">
        <v>136</v>
      </c>
      <c r="DS9" s="42">
        <v>216</v>
      </c>
      <c r="DT9" s="42">
        <v>216</v>
      </c>
      <c r="DU9" s="42">
        <v>216</v>
      </c>
      <c r="DV9" s="42">
        <v>128</v>
      </c>
      <c r="DW9" s="42">
        <v>128</v>
      </c>
      <c r="DX9" s="42">
        <v>128</v>
      </c>
      <c r="DY9">
        <v>48</v>
      </c>
      <c r="DZ9" s="42">
        <v>173</v>
      </c>
      <c r="EA9" s="42">
        <v>173</v>
      </c>
      <c r="EB9">
        <v>128</v>
      </c>
      <c r="EC9">
        <v>128</v>
      </c>
      <c r="ED9">
        <v>128</v>
      </c>
      <c r="EE9">
        <v>144</v>
      </c>
      <c r="EF9">
        <v>144</v>
      </c>
      <c r="EG9">
        <v>144</v>
      </c>
      <c r="EH9" s="42">
        <v>431</v>
      </c>
      <c r="EI9" s="42">
        <v>431</v>
      </c>
      <c r="EJ9" s="42">
        <v>402</v>
      </c>
      <c r="EK9" s="42">
        <v>402</v>
      </c>
      <c r="EL9" s="42">
        <v>402</v>
      </c>
      <c r="EM9" s="42">
        <v>402</v>
      </c>
      <c r="EN9" s="42">
        <v>283</v>
      </c>
      <c r="EO9" s="42">
        <v>283</v>
      </c>
      <c r="EP9" s="42">
        <v>283</v>
      </c>
      <c r="EQ9" s="42">
        <v>256</v>
      </c>
      <c r="ER9" s="42">
        <v>256</v>
      </c>
      <c r="ES9">
        <v>272</v>
      </c>
      <c r="ET9">
        <v>128</v>
      </c>
      <c r="EU9">
        <v>128</v>
      </c>
      <c r="EV9">
        <v>80</v>
      </c>
      <c r="EW9">
        <v>80</v>
      </c>
      <c r="EX9">
        <v>80</v>
      </c>
      <c r="EY9">
        <v>80</v>
      </c>
      <c r="EZ9">
        <v>80</v>
      </c>
      <c r="FA9">
        <v>80</v>
      </c>
      <c r="FB9">
        <v>48</v>
      </c>
      <c r="FC9">
        <v>48</v>
      </c>
      <c r="FD9">
        <v>48</v>
      </c>
      <c r="FE9">
        <v>48</v>
      </c>
      <c r="FF9">
        <v>48</v>
      </c>
      <c r="FG9">
        <v>48</v>
      </c>
      <c r="FH9">
        <v>128</v>
      </c>
      <c r="FI9">
        <v>128</v>
      </c>
      <c r="FJ9">
        <v>128</v>
      </c>
      <c r="FK9">
        <v>128</v>
      </c>
      <c r="FL9">
        <v>128</v>
      </c>
      <c r="FM9">
        <v>128</v>
      </c>
      <c r="FN9">
        <v>88</v>
      </c>
      <c r="FO9">
        <v>88</v>
      </c>
      <c r="FP9">
        <v>88</v>
      </c>
      <c r="FQ9">
        <f t="shared" si="0"/>
        <v>48</v>
      </c>
      <c r="FR9">
        <v>96</v>
      </c>
      <c r="FS9">
        <v>48</v>
      </c>
      <c r="FT9">
        <v>168</v>
      </c>
      <c r="FU9">
        <v>168</v>
      </c>
      <c r="FV9">
        <v>168</v>
      </c>
      <c r="FW9">
        <v>48</v>
      </c>
      <c r="FX9">
        <v>48</v>
      </c>
      <c r="FY9">
        <v>48</v>
      </c>
      <c r="FZ9">
        <v>104</v>
      </c>
      <c r="GA9">
        <v>104</v>
      </c>
      <c r="GB9">
        <v>104</v>
      </c>
      <c r="GC9" s="43">
        <v>128</v>
      </c>
      <c r="GD9">
        <v>128</v>
      </c>
      <c r="GE9">
        <v>128</v>
      </c>
      <c r="GF9">
        <v>136</v>
      </c>
      <c r="GG9">
        <v>200</v>
      </c>
      <c r="GH9">
        <v>136</v>
      </c>
      <c r="GI9">
        <v>48</v>
      </c>
      <c r="GJ9">
        <v>88</v>
      </c>
      <c r="GK9">
        <v>88</v>
      </c>
      <c r="GL9">
        <v>88</v>
      </c>
      <c r="GM9">
        <v>88</v>
      </c>
      <c r="GN9">
        <v>88</v>
      </c>
      <c r="GO9">
        <v>88</v>
      </c>
      <c r="GP9">
        <v>48</v>
      </c>
      <c r="GQ9">
        <v>48</v>
      </c>
      <c r="GR9">
        <v>72</v>
      </c>
      <c r="GS9">
        <v>72</v>
      </c>
      <c r="GT9">
        <v>72</v>
      </c>
      <c r="GU9">
        <v>48</v>
      </c>
      <c r="GV9">
        <v>48</v>
      </c>
      <c r="GW9">
        <v>48</v>
      </c>
      <c r="GX9">
        <v>48</v>
      </c>
      <c r="GY9">
        <v>48</v>
      </c>
      <c r="GZ9">
        <v>48</v>
      </c>
      <c r="HA9">
        <v>80</v>
      </c>
      <c r="HB9">
        <v>80</v>
      </c>
      <c r="HC9">
        <v>80</v>
      </c>
      <c r="HD9">
        <v>80</v>
      </c>
      <c r="HE9">
        <v>80</v>
      </c>
      <c r="HF9">
        <v>112</v>
      </c>
      <c r="HG9">
        <v>112</v>
      </c>
      <c r="HH9">
        <v>112</v>
      </c>
      <c r="HI9">
        <v>112</v>
      </c>
      <c r="HJ9">
        <v>88</v>
      </c>
      <c r="HK9">
        <v>88</v>
      </c>
      <c r="HL9">
        <v>80</v>
      </c>
      <c r="HM9">
        <v>80</v>
      </c>
      <c r="HN9">
        <v>80</v>
      </c>
      <c r="HO9">
        <v>48</v>
      </c>
      <c r="HP9">
        <v>48</v>
      </c>
      <c r="HQ9">
        <v>48</v>
      </c>
      <c r="HR9">
        <v>48</v>
      </c>
      <c r="HS9">
        <v>48</v>
      </c>
      <c r="HT9">
        <v>48</v>
      </c>
      <c r="HU9">
        <v>88</v>
      </c>
      <c r="HV9">
        <v>88</v>
      </c>
      <c r="HW9">
        <v>88</v>
      </c>
      <c r="HX9">
        <v>48</v>
      </c>
      <c r="HY9">
        <v>48</v>
      </c>
      <c r="HZ9">
        <v>48</v>
      </c>
      <c r="IA9">
        <v>48</v>
      </c>
      <c r="IB9">
        <v>48</v>
      </c>
      <c r="IC9">
        <v>48</v>
      </c>
      <c r="ID9">
        <v>48</v>
      </c>
      <c r="IE9">
        <v>48</v>
      </c>
      <c r="IF9">
        <v>48</v>
      </c>
      <c r="IG9">
        <v>328</v>
      </c>
      <c r="IH9">
        <v>328</v>
      </c>
      <c r="II9">
        <v>328</v>
      </c>
      <c r="IJ9">
        <v>128</v>
      </c>
      <c r="IK9">
        <v>128</v>
      </c>
      <c r="IL9">
        <v>128</v>
      </c>
      <c r="IM9">
        <v>128</v>
      </c>
      <c r="IN9">
        <v>128</v>
      </c>
      <c r="IO9">
        <v>128</v>
      </c>
      <c r="IP9">
        <v>128</v>
      </c>
      <c r="IQ9">
        <v>128</v>
      </c>
      <c r="IR9">
        <v>128</v>
      </c>
      <c r="IS9">
        <v>128</v>
      </c>
      <c r="IT9">
        <v>128</v>
      </c>
      <c r="IU9">
        <v>48</v>
      </c>
      <c r="IV9">
        <v>48</v>
      </c>
      <c r="IW9">
        <v>48</v>
      </c>
      <c r="IX9">
        <v>48</v>
      </c>
      <c r="IY9">
        <v>48</v>
      </c>
      <c r="IZ9">
        <v>48</v>
      </c>
      <c r="JA9">
        <v>48</v>
      </c>
      <c r="JB9">
        <v>88</v>
      </c>
      <c r="JC9">
        <v>88</v>
      </c>
      <c r="JD9">
        <v>48</v>
      </c>
      <c r="JE9">
        <v>48</v>
      </c>
      <c r="JF9">
        <v>48</v>
      </c>
      <c r="JG9">
        <v>48</v>
      </c>
      <c r="JH9">
        <v>48</v>
      </c>
      <c r="JI9">
        <v>48</v>
      </c>
      <c r="JJ9">
        <v>48</v>
      </c>
      <c r="JK9">
        <v>48</v>
      </c>
      <c r="JL9">
        <v>48</v>
      </c>
      <c r="JM9">
        <v>648</v>
      </c>
      <c r="JN9">
        <v>328</v>
      </c>
      <c r="JO9">
        <v>328</v>
      </c>
      <c r="JP9">
        <v>584</v>
      </c>
      <c r="JQ9">
        <v>328</v>
      </c>
      <c r="JR9">
        <v>328</v>
      </c>
      <c r="JS9">
        <v>328</v>
      </c>
      <c r="JT9">
        <v>48</v>
      </c>
      <c r="JU9">
        <v>48</v>
      </c>
      <c r="JV9">
        <v>48</v>
      </c>
      <c r="JW9">
        <f t="shared" si="1"/>
        <v>48</v>
      </c>
      <c r="JY9">
        <v>48</v>
      </c>
      <c r="JZ9" s="42">
        <v>48</v>
      </c>
      <c r="KA9">
        <v>48</v>
      </c>
      <c r="KB9" s="42">
        <v>48</v>
      </c>
      <c r="KC9">
        <v>128</v>
      </c>
      <c r="KD9">
        <v>128</v>
      </c>
      <c r="KE9">
        <v>88</v>
      </c>
      <c r="KF9" s="42">
        <v>88</v>
      </c>
      <c r="KI9" s="42">
        <f t="shared" si="3"/>
        <v>48</v>
      </c>
      <c r="KJ9" s="42">
        <f t="shared" si="3"/>
        <v>48</v>
      </c>
      <c r="KK9" s="42">
        <f t="shared" si="4"/>
        <v>48</v>
      </c>
      <c r="KL9" s="42">
        <f t="shared" si="4"/>
        <v>48</v>
      </c>
      <c r="KM9" s="42">
        <f t="shared" si="4"/>
        <v>48</v>
      </c>
      <c r="KN9" s="42">
        <v>488</v>
      </c>
      <c r="KO9" s="42">
        <v>488</v>
      </c>
      <c r="KP9" s="42">
        <f t="shared" si="4"/>
        <v>48</v>
      </c>
      <c r="KQ9" s="42">
        <f t="shared" si="4"/>
        <v>48</v>
      </c>
      <c r="KR9" s="42">
        <v>336</v>
      </c>
      <c r="KS9" s="42">
        <v>336</v>
      </c>
      <c r="KT9" s="42">
        <v>208</v>
      </c>
      <c r="KU9" s="42">
        <v>208</v>
      </c>
      <c r="KV9" s="42">
        <f t="shared" si="5"/>
        <v>48</v>
      </c>
      <c r="KW9" s="42">
        <f t="shared" si="5"/>
        <v>48</v>
      </c>
      <c r="KX9" s="42">
        <v>408</v>
      </c>
    </row>
    <row r="10" spans="1:310" x14ac:dyDescent="0.35">
      <c r="A10">
        <v>296</v>
      </c>
      <c r="B10">
        <v>296</v>
      </c>
      <c r="C10">
        <v>296</v>
      </c>
      <c r="D10">
        <v>56</v>
      </c>
      <c r="E10">
        <v>56</v>
      </c>
      <c r="F10">
        <v>56</v>
      </c>
      <c r="G10">
        <v>118</v>
      </c>
      <c r="H10">
        <v>118</v>
      </c>
      <c r="I10">
        <v>118</v>
      </c>
      <c r="K10">
        <v>56</v>
      </c>
      <c r="L10">
        <v>56</v>
      </c>
      <c r="M10">
        <v>104</v>
      </c>
      <c r="N10">
        <v>104</v>
      </c>
      <c r="O10">
        <v>104</v>
      </c>
      <c r="P10">
        <v>112</v>
      </c>
      <c r="Q10">
        <v>112</v>
      </c>
      <c r="R10">
        <v>112</v>
      </c>
      <c r="S10">
        <v>392</v>
      </c>
      <c r="T10">
        <v>392</v>
      </c>
      <c r="U10">
        <v>392</v>
      </c>
      <c r="V10">
        <v>56</v>
      </c>
      <c r="W10">
        <v>56</v>
      </c>
      <c r="X10">
        <v>784</v>
      </c>
      <c r="Y10">
        <v>56</v>
      </c>
      <c r="Z10">
        <v>56</v>
      </c>
      <c r="AA10">
        <v>56</v>
      </c>
      <c r="AB10">
        <v>152</v>
      </c>
      <c r="AC10">
        <v>152</v>
      </c>
      <c r="AD10">
        <v>152</v>
      </c>
      <c r="AE10">
        <v>200</v>
      </c>
      <c r="AF10">
        <v>200</v>
      </c>
      <c r="AG10">
        <v>200</v>
      </c>
      <c r="AH10">
        <v>56</v>
      </c>
      <c r="AI10">
        <v>56</v>
      </c>
      <c r="AJ10">
        <v>56</v>
      </c>
      <c r="AK10">
        <v>56</v>
      </c>
      <c r="AL10">
        <v>56</v>
      </c>
      <c r="AM10">
        <v>56</v>
      </c>
      <c r="AN10">
        <v>56</v>
      </c>
      <c r="AO10">
        <v>56</v>
      </c>
      <c r="AP10">
        <v>56</v>
      </c>
      <c r="AQ10">
        <v>56</v>
      </c>
      <c r="AR10">
        <v>56</v>
      </c>
      <c r="AS10">
        <v>56</v>
      </c>
      <c r="AT10">
        <v>56</v>
      </c>
      <c r="AU10">
        <v>56</v>
      </c>
      <c r="AV10">
        <v>56</v>
      </c>
      <c r="AW10">
        <v>56</v>
      </c>
      <c r="AX10">
        <v>56</v>
      </c>
      <c r="AY10">
        <v>72</v>
      </c>
      <c r="AZ10">
        <v>72</v>
      </c>
      <c r="BA10">
        <v>72</v>
      </c>
      <c r="BB10">
        <v>56</v>
      </c>
      <c r="BC10">
        <v>56</v>
      </c>
      <c r="BE10">
        <v>56</v>
      </c>
      <c r="BF10">
        <v>56</v>
      </c>
      <c r="BG10">
        <v>56</v>
      </c>
      <c r="BH10">
        <v>56</v>
      </c>
      <c r="BI10">
        <v>56</v>
      </c>
      <c r="BJ10">
        <v>56</v>
      </c>
      <c r="BK10">
        <v>104</v>
      </c>
      <c r="BL10">
        <v>104</v>
      </c>
      <c r="BM10">
        <v>104</v>
      </c>
      <c r="BN10">
        <v>56</v>
      </c>
      <c r="BO10">
        <v>56</v>
      </c>
      <c r="BP10">
        <v>56</v>
      </c>
      <c r="BQ10">
        <v>280</v>
      </c>
      <c r="BR10">
        <v>280</v>
      </c>
      <c r="BS10">
        <v>280</v>
      </c>
      <c r="BT10">
        <v>280</v>
      </c>
      <c r="BU10">
        <v>280</v>
      </c>
      <c r="BV10">
        <v>280</v>
      </c>
      <c r="BW10">
        <v>280</v>
      </c>
      <c r="BX10">
        <v>280</v>
      </c>
      <c r="BY10">
        <v>280</v>
      </c>
      <c r="BZ10">
        <v>760</v>
      </c>
      <c r="CA10">
        <v>760</v>
      </c>
      <c r="CB10">
        <v>760</v>
      </c>
      <c r="CC10">
        <v>280</v>
      </c>
      <c r="CD10">
        <v>280</v>
      </c>
      <c r="CE10">
        <v>280</v>
      </c>
      <c r="CF10">
        <v>280</v>
      </c>
      <c r="CG10">
        <v>280</v>
      </c>
      <c r="CH10">
        <v>280</v>
      </c>
      <c r="CI10">
        <v>56</v>
      </c>
      <c r="CJ10">
        <v>56</v>
      </c>
      <c r="CK10">
        <v>56</v>
      </c>
      <c r="CL10">
        <v>248</v>
      </c>
      <c r="CM10">
        <v>248</v>
      </c>
      <c r="CN10">
        <v>248</v>
      </c>
      <c r="CO10">
        <v>248</v>
      </c>
      <c r="CP10">
        <v>248</v>
      </c>
      <c r="CQ10">
        <v>248</v>
      </c>
      <c r="CR10">
        <v>248</v>
      </c>
      <c r="CS10">
        <v>248</v>
      </c>
      <c r="CT10">
        <v>248</v>
      </c>
      <c r="CU10">
        <v>248</v>
      </c>
      <c r="CV10">
        <v>248</v>
      </c>
      <c r="CW10">
        <v>152</v>
      </c>
      <c r="CX10">
        <v>152</v>
      </c>
      <c r="CY10">
        <v>152</v>
      </c>
      <c r="CZ10">
        <v>296</v>
      </c>
      <c r="DA10">
        <v>296</v>
      </c>
      <c r="DB10">
        <v>296</v>
      </c>
      <c r="DC10">
        <v>152</v>
      </c>
      <c r="DD10">
        <v>152</v>
      </c>
      <c r="DE10">
        <v>152</v>
      </c>
      <c r="DF10">
        <v>248</v>
      </c>
      <c r="DG10">
        <v>248</v>
      </c>
      <c r="DH10">
        <v>248</v>
      </c>
      <c r="DI10" s="42">
        <v>155</v>
      </c>
      <c r="DJ10" s="42">
        <v>155</v>
      </c>
      <c r="DK10" s="42">
        <v>155</v>
      </c>
      <c r="DL10" s="42">
        <v>155</v>
      </c>
      <c r="DM10" s="42">
        <v>164</v>
      </c>
      <c r="DN10" s="42">
        <v>164</v>
      </c>
      <c r="DO10" s="42">
        <v>164</v>
      </c>
      <c r="DP10" s="42">
        <v>184</v>
      </c>
      <c r="DQ10" s="42">
        <v>184</v>
      </c>
      <c r="DR10" s="42">
        <v>184</v>
      </c>
      <c r="DS10" s="42">
        <v>248</v>
      </c>
      <c r="DT10" s="42">
        <v>248</v>
      </c>
      <c r="DU10" s="42">
        <v>248</v>
      </c>
      <c r="DV10" s="42">
        <v>144</v>
      </c>
      <c r="DW10" s="42">
        <v>144</v>
      </c>
      <c r="DX10" s="42">
        <v>144</v>
      </c>
      <c r="DY10">
        <v>56</v>
      </c>
      <c r="DZ10" s="42">
        <v>197</v>
      </c>
      <c r="EA10" s="42">
        <v>197</v>
      </c>
      <c r="EB10">
        <v>152</v>
      </c>
      <c r="EC10">
        <v>152</v>
      </c>
      <c r="ED10">
        <v>152</v>
      </c>
      <c r="EE10">
        <v>176</v>
      </c>
      <c r="EF10">
        <v>176</v>
      </c>
      <c r="EG10">
        <v>176</v>
      </c>
      <c r="EH10" s="42">
        <v>495</v>
      </c>
      <c r="EI10" s="42">
        <v>495</v>
      </c>
      <c r="EJ10" s="42">
        <v>498</v>
      </c>
      <c r="EK10" s="42">
        <v>498</v>
      </c>
      <c r="EL10" s="42">
        <v>498</v>
      </c>
      <c r="EM10" s="42">
        <v>498</v>
      </c>
      <c r="EN10" s="42">
        <v>347</v>
      </c>
      <c r="EO10" s="42">
        <v>347</v>
      </c>
      <c r="EP10" s="42">
        <v>347</v>
      </c>
      <c r="EQ10" s="42">
        <v>320</v>
      </c>
      <c r="ER10" s="42">
        <v>320</v>
      </c>
      <c r="ES10">
        <v>296</v>
      </c>
      <c r="ET10">
        <v>152</v>
      </c>
      <c r="EU10">
        <v>152</v>
      </c>
      <c r="EV10">
        <v>96</v>
      </c>
      <c r="EW10">
        <v>96</v>
      </c>
      <c r="EX10">
        <v>96</v>
      </c>
      <c r="EY10">
        <v>96</v>
      </c>
      <c r="EZ10">
        <v>96</v>
      </c>
      <c r="FA10">
        <v>96</v>
      </c>
      <c r="FB10">
        <v>56</v>
      </c>
      <c r="FC10">
        <v>56</v>
      </c>
      <c r="FD10">
        <v>56</v>
      </c>
      <c r="FE10">
        <v>56</v>
      </c>
      <c r="FF10">
        <v>56</v>
      </c>
      <c r="FG10">
        <v>56</v>
      </c>
      <c r="FH10">
        <v>152</v>
      </c>
      <c r="FI10">
        <v>152</v>
      </c>
      <c r="FJ10">
        <v>152</v>
      </c>
      <c r="FK10">
        <v>152</v>
      </c>
      <c r="FL10">
        <v>152</v>
      </c>
      <c r="FM10">
        <v>152</v>
      </c>
      <c r="FN10">
        <v>104</v>
      </c>
      <c r="FO10">
        <v>104</v>
      </c>
      <c r="FP10">
        <v>104</v>
      </c>
      <c r="FR10">
        <v>104</v>
      </c>
      <c r="FS10">
        <v>56</v>
      </c>
      <c r="FT10">
        <v>200</v>
      </c>
      <c r="FU10">
        <v>200</v>
      </c>
      <c r="FV10">
        <v>200</v>
      </c>
      <c r="FW10">
        <v>56</v>
      </c>
      <c r="FX10">
        <v>56</v>
      </c>
      <c r="FY10">
        <v>56</v>
      </c>
      <c r="FZ10">
        <v>128</v>
      </c>
      <c r="GA10">
        <v>128</v>
      </c>
      <c r="GB10">
        <v>128</v>
      </c>
      <c r="GC10" s="43">
        <v>152</v>
      </c>
      <c r="GD10">
        <v>152</v>
      </c>
      <c r="GE10">
        <v>152</v>
      </c>
      <c r="GF10">
        <v>168</v>
      </c>
      <c r="GG10">
        <v>232</v>
      </c>
      <c r="GH10">
        <v>168</v>
      </c>
      <c r="GI10">
        <v>56</v>
      </c>
      <c r="GJ10">
        <v>104</v>
      </c>
      <c r="GK10">
        <v>104</v>
      </c>
      <c r="GL10">
        <v>104</v>
      </c>
      <c r="GM10">
        <v>104</v>
      </c>
      <c r="GN10">
        <v>104</v>
      </c>
      <c r="GO10">
        <v>104</v>
      </c>
      <c r="GP10">
        <v>56</v>
      </c>
      <c r="GQ10">
        <v>56</v>
      </c>
      <c r="GR10">
        <v>88</v>
      </c>
      <c r="GS10">
        <v>88</v>
      </c>
      <c r="GT10">
        <v>88</v>
      </c>
      <c r="GU10">
        <v>56</v>
      </c>
      <c r="GV10">
        <v>56</v>
      </c>
      <c r="GW10">
        <v>56</v>
      </c>
      <c r="GX10">
        <v>56</v>
      </c>
      <c r="GY10">
        <v>56</v>
      </c>
      <c r="GZ10">
        <v>56</v>
      </c>
      <c r="HA10">
        <v>96</v>
      </c>
      <c r="HB10">
        <v>96</v>
      </c>
      <c r="HC10">
        <v>96</v>
      </c>
      <c r="HD10">
        <v>96</v>
      </c>
      <c r="HE10">
        <v>96</v>
      </c>
      <c r="HF10">
        <v>136</v>
      </c>
      <c r="HG10">
        <v>136</v>
      </c>
      <c r="HH10">
        <v>136</v>
      </c>
      <c r="HI10">
        <v>136</v>
      </c>
      <c r="HJ10">
        <v>112</v>
      </c>
      <c r="HK10">
        <v>112</v>
      </c>
      <c r="HL10">
        <v>96</v>
      </c>
      <c r="HM10">
        <v>96</v>
      </c>
      <c r="HN10">
        <v>96</v>
      </c>
      <c r="HO10">
        <v>56</v>
      </c>
      <c r="HP10">
        <v>56</v>
      </c>
      <c r="HQ10">
        <v>56</v>
      </c>
      <c r="HR10">
        <v>56</v>
      </c>
      <c r="HS10">
        <v>56</v>
      </c>
      <c r="HT10">
        <v>56</v>
      </c>
      <c r="HU10">
        <v>104</v>
      </c>
      <c r="HV10">
        <v>104</v>
      </c>
      <c r="HW10">
        <v>104</v>
      </c>
      <c r="HX10">
        <v>56</v>
      </c>
      <c r="HY10">
        <v>56</v>
      </c>
      <c r="HZ10">
        <v>56</v>
      </c>
      <c r="IA10">
        <v>56</v>
      </c>
      <c r="IB10">
        <v>56</v>
      </c>
      <c r="IC10">
        <v>56</v>
      </c>
      <c r="ID10">
        <v>56</v>
      </c>
      <c r="IE10">
        <v>56</v>
      </c>
      <c r="IF10">
        <v>56</v>
      </c>
      <c r="IG10">
        <v>392</v>
      </c>
      <c r="IH10">
        <v>392</v>
      </c>
      <c r="II10">
        <v>392</v>
      </c>
      <c r="IJ10">
        <v>152</v>
      </c>
      <c r="IK10">
        <v>152</v>
      </c>
      <c r="IL10">
        <v>152</v>
      </c>
      <c r="IM10">
        <v>152</v>
      </c>
      <c r="IN10">
        <v>152</v>
      </c>
      <c r="IO10">
        <v>152</v>
      </c>
      <c r="IP10">
        <v>152</v>
      </c>
      <c r="IQ10">
        <v>152</v>
      </c>
      <c r="IR10">
        <v>152</v>
      </c>
      <c r="IS10">
        <v>152</v>
      </c>
      <c r="IT10">
        <v>152</v>
      </c>
      <c r="IU10">
        <v>56</v>
      </c>
      <c r="IV10">
        <v>56</v>
      </c>
      <c r="IW10">
        <v>56</v>
      </c>
      <c r="IX10">
        <v>56</v>
      </c>
      <c r="IY10">
        <v>56</v>
      </c>
      <c r="IZ10">
        <v>56</v>
      </c>
      <c r="JA10">
        <v>56</v>
      </c>
      <c r="JB10">
        <v>104</v>
      </c>
      <c r="JC10">
        <v>104</v>
      </c>
      <c r="JD10">
        <v>56</v>
      </c>
      <c r="JE10">
        <v>56</v>
      </c>
      <c r="JF10">
        <v>56</v>
      </c>
      <c r="JG10">
        <v>56</v>
      </c>
      <c r="JH10">
        <v>56</v>
      </c>
      <c r="JI10">
        <v>56</v>
      </c>
      <c r="JJ10">
        <v>56</v>
      </c>
      <c r="JK10">
        <v>56</v>
      </c>
      <c r="JL10">
        <v>56</v>
      </c>
      <c r="JM10">
        <v>808</v>
      </c>
      <c r="JN10">
        <v>392</v>
      </c>
      <c r="JO10">
        <v>392</v>
      </c>
      <c r="JP10">
        <v>648</v>
      </c>
      <c r="JQ10">
        <v>392</v>
      </c>
      <c r="JR10">
        <v>392</v>
      </c>
      <c r="JS10">
        <v>392</v>
      </c>
      <c r="JT10">
        <v>56</v>
      </c>
      <c r="JU10">
        <v>56</v>
      </c>
      <c r="JV10">
        <v>56</v>
      </c>
      <c r="JW10">
        <f t="shared" si="1"/>
        <v>56</v>
      </c>
      <c r="JY10">
        <v>56</v>
      </c>
      <c r="JZ10" s="42">
        <v>56</v>
      </c>
      <c r="KA10">
        <v>56</v>
      </c>
      <c r="KB10" s="42">
        <v>56</v>
      </c>
      <c r="KC10">
        <v>152</v>
      </c>
      <c r="KD10">
        <v>152</v>
      </c>
      <c r="KE10">
        <v>104</v>
      </c>
      <c r="KF10" s="42">
        <v>104</v>
      </c>
      <c r="KI10" s="42">
        <f t="shared" si="3"/>
        <v>56</v>
      </c>
      <c r="KJ10" s="42">
        <f t="shared" si="3"/>
        <v>56</v>
      </c>
      <c r="KK10" s="42">
        <f t="shared" si="4"/>
        <v>56</v>
      </c>
      <c r="KL10" s="42">
        <f t="shared" si="4"/>
        <v>56</v>
      </c>
      <c r="KM10" s="42">
        <f t="shared" si="4"/>
        <v>56</v>
      </c>
      <c r="KN10" s="42">
        <v>648</v>
      </c>
      <c r="KO10" s="42">
        <v>648</v>
      </c>
      <c r="KP10" s="42">
        <f t="shared" si="4"/>
        <v>56</v>
      </c>
      <c r="KQ10" s="42">
        <f t="shared" si="4"/>
        <v>56</v>
      </c>
      <c r="KR10" s="42">
        <v>416</v>
      </c>
      <c r="KS10" s="42">
        <v>416</v>
      </c>
      <c r="KT10" s="42">
        <v>248</v>
      </c>
      <c r="KU10" s="42">
        <v>248</v>
      </c>
      <c r="KV10" s="42">
        <f t="shared" si="5"/>
        <v>56</v>
      </c>
      <c r="KW10" s="42">
        <f t="shared" si="5"/>
        <v>56</v>
      </c>
      <c r="KX10" s="42">
        <v>488</v>
      </c>
    </row>
    <row r="11" spans="1:310" x14ac:dyDescent="0.35">
      <c r="A11">
        <v>344</v>
      </c>
      <c r="B11">
        <v>344</v>
      </c>
      <c r="C11">
        <v>344</v>
      </c>
      <c r="D11">
        <v>64</v>
      </c>
      <c r="E11">
        <v>64</v>
      </c>
      <c r="F11">
        <v>64</v>
      </c>
      <c r="G11">
        <v>134</v>
      </c>
      <c r="H11">
        <v>134</v>
      </c>
      <c r="I11">
        <v>134</v>
      </c>
      <c r="K11">
        <v>64</v>
      </c>
      <c r="L11">
        <v>64</v>
      </c>
      <c r="M11">
        <v>120</v>
      </c>
      <c r="N11">
        <v>120</v>
      </c>
      <c r="O11">
        <v>120</v>
      </c>
      <c r="P11">
        <v>128</v>
      </c>
      <c r="Q11">
        <v>128</v>
      </c>
      <c r="R11">
        <v>128</v>
      </c>
      <c r="S11">
        <v>456</v>
      </c>
      <c r="T11">
        <v>456</v>
      </c>
      <c r="U11">
        <v>456</v>
      </c>
      <c r="V11">
        <v>64</v>
      </c>
      <c r="W11">
        <v>64</v>
      </c>
      <c r="X11">
        <v>896</v>
      </c>
      <c r="Y11">
        <v>64</v>
      </c>
      <c r="Z11">
        <v>64</v>
      </c>
      <c r="AA11">
        <v>64</v>
      </c>
      <c r="AB11">
        <v>176</v>
      </c>
      <c r="AC11">
        <v>176</v>
      </c>
      <c r="AD11">
        <v>176</v>
      </c>
      <c r="AE11">
        <v>232</v>
      </c>
      <c r="AF11">
        <v>232</v>
      </c>
      <c r="AG11">
        <v>232</v>
      </c>
      <c r="AH11">
        <v>64</v>
      </c>
      <c r="AI11">
        <v>64</v>
      </c>
      <c r="AJ11">
        <v>64</v>
      </c>
      <c r="AK11">
        <v>64</v>
      </c>
      <c r="AL11">
        <v>64</v>
      </c>
      <c r="AM11">
        <v>64</v>
      </c>
      <c r="AN11">
        <v>64</v>
      </c>
      <c r="AO11">
        <v>64</v>
      </c>
      <c r="AP11">
        <v>64</v>
      </c>
      <c r="AQ11">
        <v>64</v>
      </c>
      <c r="AR11">
        <v>64</v>
      </c>
      <c r="AS11">
        <v>64</v>
      </c>
      <c r="AT11">
        <v>64</v>
      </c>
      <c r="AU11">
        <v>64</v>
      </c>
      <c r="AV11">
        <v>64</v>
      </c>
      <c r="AW11">
        <v>64</v>
      </c>
      <c r="AX11">
        <v>64</v>
      </c>
      <c r="AY11">
        <v>80</v>
      </c>
      <c r="AZ11">
        <v>80</v>
      </c>
      <c r="BA11">
        <v>80</v>
      </c>
      <c r="BB11">
        <v>64</v>
      </c>
      <c r="BC11">
        <v>64</v>
      </c>
      <c r="BE11">
        <v>64</v>
      </c>
      <c r="BF11">
        <v>64</v>
      </c>
      <c r="BG11">
        <v>64</v>
      </c>
      <c r="BH11">
        <v>64</v>
      </c>
      <c r="BI11">
        <v>64</v>
      </c>
      <c r="BJ11">
        <v>64</v>
      </c>
      <c r="BK11">
        <v>120</v>
      </c>
      <c r="BL11">
        <v>120</v>
      </c>
      <c r="BM11">
        <v>120</v>
      </c>
      <c r="BN11">
        <v>64</v>
      </c>
      <c r="BO11">
        <v>64</v>
      </c>
      <c r="BP11">
        <v>64</v>
      </c>
      <c r="BQ11">
        <v>320</v>
      </c>
      <c r="BR11">
        <v>320</v>
      </c>
      <c r="BS11">
        <v>320</v>
      </c>
      <c r="BT11">
        <v>320</v>
      </c>
      <c r="BU11">
        <v>320</v>
      </c>
      <c r="BV11">
        <v>320</v>
      </c>
      <c r="BW11">
        <v>320</v>
      </c>
      <c r="BX11">
        <v>320</v>
      </c>
      <c r="BY11">
        <v>320</v>
      </c>
      <c r="BZ11">
        <v>880</v>
      </c>
      <c r="CA11">
        <v>880</v>
      </c>
      <c r="CB11">
        <v>880</v>
      </c>
      <c r="CC11">
        <v>320</v>
      </c>
      <c r="CD11">
        <v>320</v>
      </c>
      <c r="CE11">
        <v>320</v>
      </c>
      <c r="CF11">
        <v>320</v>
      </c>
      <c r="CG11">
        <v>320</v>
      </c>
      <c r="CH11">
        <v>320</v>
      </c>
      <c r="CI11">
        <v>64</v>
      </c>
      <c r="CJ11">
        <v>64</v>
      </c>
      <c r="CK11">
        <v>64</v>
      </c>
      <c r="CL11">
        <v>288</v>
      </c>
      <c r="CM11">
        <v>288</v>
      </c>
      <c r="CN11">
        <v>288</v>
      </c>
      <c r="CO11">
        <v>288</v>
      </c>
      <c r="CP11">
        <v>288</v>
      </c>
      <c r="CQ11">
        <v>288</v>
      </c>
      <c r="CR11">
        <v>288</v>
      </c>
      <c r="CS11">
        <v>288</v>
      </c>
      <c r="CT11">
        <v>288</v>
      </c>
      <c r="CU11">
        <v>288</v>
      </c>
      <c r="CV11">
        <v>288</v>
      </c>
      <c r="CW11">
        <v>176</v>
      </c>
      <c r="CX11">
        <v>176</v>
      </c>
      <c r="CY11">
        <v>176</v>
      </c>
      <c r="CZ11">
        <v>344</v>
      </c>
      <c r="DA11">
        <v>344</v>
      </c>
      <c r="DB11">
        <v>344</v>
      </c>
      <c r="DC11">
        <v>176</v>
      </c>
      <c r="DD11">
        <v>176</v>
      </c>
      <c r="DE11">
        <v>176</v>
      </c>
      <c r="DF11">
        <v>288</v>
      </c>
      <c r="DG11">
        <v>288</v>
      </c>
      <c r="DH11">
        <v>288</v>
      </c>
      <c r="DI11" s="42">
        <v>163</v>
      </c>
      <c r="DJ11" s="42">
        <v>163</v>
      </c>
      <c r="DK11" s="42">
        <v>163</v>
      </c>
      <c r="DL11" s="42">
        <v>163</v>
      </c>
      <c r="DM11" s="42">
        <v>180</v>
      </c>
      <c r="DN11" s="42">
        <v>180</v>
      </c>
      <c r="DO11" s="42">
        <v>180</v>
      </c>
      <c r="DP11" s="42">
        <v>216</v>
      </c>
      <c r="DQ11" s="42">
        <v>216</v>
      </c>
      <c r="DR11" s="42">
        <v>216</v>
      </c>
      <c r="DS11" s="42">
        <v>264</v>
      </c>
      <c r="DT11" s="42">
        <v>264</v>
      </c>
      <c r="DU11" s="42">
        <v>264</v>
      </c>
      <c r="DV11" s="42">
        <v>160</v>
      </c>
      <c r="DW11" s="42">
        <v>160</v>
      </c>
      <c r="DX11" s="42">
        <v>160</v>
      </c>
      <c r="DY11">
        <v>64</v>
      </c>
      <c r="DZ11" s="42">
        <v>221</v>
      </c>
      <c r="EA11" s="42">
        <v>221</v>
      </c>
      <c r="EB11">
        <v>176</v>
      </c>
      <c r="EC11">
        <v>176</v>
      </c>
      <c r="ED11">
        <v>176</v>
      </c>
      <c r="EE11">
        <v>208</v>
      </c>
      <c r="EF11">
        <v>208</v>
      </c>
      <c r="EG11">
        <v>208</v>
      </c>
      <c r="EH11" s="42">
        <v>559</v>
      </c>
      <c r="EI11" s="42">
        <v>559</v>
      </c>
      <c r="EJ11" s="42">
        <v>570</v>
      </c>
      <c r="EK11" s="42">
        <v>570</v>
      </c>
      <c r="EL11" s="42">
        <v>570</v>
      </c>
      <c r="EM11" s="42">
        <v>570</v>
      </c>
      <c r="EN11" s="42">
        <v>475</v>
      </c>
      <c r="EO11" s="42">
        <v>475</v>
      </c>
      <c r="EP11" s="42">
        <v>475</v>
      </c>
      <c r="EQ11" s="42">
        <v>416</v>
      </c>
      <c r="ER11" s="42">
        <v>416</v>
      </c>
      <c r="ES11">
        <v>320</v>
      </c>
      <c r="ET11">
        <v>176</v>
      </c>
      <c r="EU11">
        <v>176</v>
      </c>
      <c r="EV11">
        <v>112</v>
      </c>
      <c r="EW11">
        <v>112</v>
      </c>
      <c r="EX11">
        <v>112</v>
      </c>
      <c r="EY11">
        <v>112</v>
      </c>
      <c r="EZ11">
        <v>112</v>
      </c>
      <c r="FA11">
        <v>112</v>
      </c>
      <c r="FB11">
        <v>64</v>
      </c>
      <c r="FC11">
        <v>64</v>
      </c>
      <c r="FD11">
        <v>64</v>
      </c>
      <c r="FE11">
        <v>64</v>
      </c>
      <c r="FF11">
        <v>64</v>
      </c>
      <c r="FG11">
        <v>64</v>
      </c>
      <c r="FH11">
        <v>176</v>
      </c>
      <c r="FI11">
        <v>176</v>
      </c>
      <c r="FJ11">
        <v>176</v>
      </c>
      <c r="FK11">
        <v>176</v>
      </c>
      <c r="FL11">
        <v>176</v>
      </c>
      <c r="FM11">
        <v>176</v>
      </c>
      <c r="FN11">
        <v>120</v>
      </c>
      <c r="FO11">
        <v>120</v>
      </c>
      <c r="FP11">
        <v>120</v>
      </c>
      <c r="FR11">
        <v>112</v>
      </c>
      <c r="FS11">
        <v>64</v>
      </c>
      <c r="FT11">
        <v>232</v>
      </c>
      <c r="FU11">
        <v>232</v>
      </c>
      <c r="FV11">
        <v>232</v>
      </c>
      <c r="FW11">
        <v>64</v>
      </c>
      <c r="FX11">
        <v>64</v>
      </c>
      <c r="FY11">
        <v>64</v>
      </c>
      <c r="FZ11">
        <v>152</v>
      </c>
      <c r="GA11">
        <v>152</v>
      </c>
      <c r="GB11">
        <v>152</v>
      </c>
      <c r="GC11" s="43">
        <v>176</v>
      </c>
      <c r="GD11">
        <v>176</v>
      </c>
      <c r="GE11">
        <v>176</v>
      </c>
      <c r="GF11">
        <v>200</v>
      </c>
      <c r="GG11">
        <v>264</v>
      </c>
      <c r="GH11">
        <v>200</v>
      </c>
      <c r="GI11">
        <v>64</v>
      </c>
      <c r="GJ11">
        <v>120</v>
      </c>
      <c r="GK11">
        <v>120</v>
      </c>
      <c r="GL11">
        <v>120</v>
      </c>
      <c r="GM11">
        <v>120</v>
      </c>
      <c r="GN11">
        <v>120</v>
      </c>
      <c r="GO11">
        <v>120</v>
      </c>
      <c r="GP11">
        <v>64</v>
      </c>
      <c r="GQ11">
        <v>64</v>
      </c>
      <c r="GR11">
        <v>104</v>
      </c>
      <c r="GS11">
        <v>104</v>
      </c>
      <c r="GT11">
        <v>104</v>
      </c>
      <c r="GU11">
        <v>64</v>
      </c>
      <c r="GV11">
        <v>64</v>
      </c>
      <c r="GW11">
        <v>64</v>
      </c>
      <c r="GX11">
        <v>64</v>
      </c>
      <c r="GY11">
        <v>64</v>
      </c>
      <c r="GZ11">
        <v>64</v>
      </c>
      <c r="HA11">
        <v>112</v>
      </c>
      <c r="HB11">
        <v>112</v>
      </c>
      <c r="HC11">
        <v>112</v>
      </c>
      <c r="HD11">
        <v>112</v>
      </c>
      <c r="HE11">
        <v>112</v>
      </c>
      <c r="HF11">
        <v>160</v>
      </c>
      <c r="HG11">
        <v>160</v>
      </c>
      <c r="HH11">
        <v>160</v>
      </c>
      <c r="HI11">
        <v>160</v>
      </c>
      <c r="HJ11">
        <v>136</v>
      </c>
      <c r="HK11">
        <v>136</v>
      </c>
      <c r="HL11">
        <v>112</v>
      </c>
      <c r="HM11">
        <v>112</v>
      </c>
      <c r="HN11">
        <v>112</v>
      </c>
      <c r="HO11">
        <v>64</v>
      </c>
      <c r="HP11">
        <v>64</v>
      </c>
      <c r="HQ11">
        <v>64</v>
      </c>
      <c r="HR11">
        <v>64</v>
      </c>
      <c r="HS11">
        <v>64</v>
      </c>
      <c r="HT11">
        <v>64</v>
      </c>
      <c r="HU11">
        <v>120</v>
      </c>
      <c r="HV11">
        <v>120</v>
      </c>
      <c r="HW11">
        <v>120</v>
      </c>
      <c r="HX11">
        <v>64</v>
      </c>
      <c r="HY11">
        <v>64</v>
      </c>
      <c r="HZ11">
        <v>64</v>
      </c>
      <c r="IA11">
        <v>64</v>
      </c>
      <c r="IB11">
        <v>64</v>
      </c>
      <c r="IC11">
        <v>64</v>
      </c>
      <c r="ID11">
        <v>64</v>
      </c>
      <c r="IE11">
        <v>64</v>
      </c>
      <c r="IF11">
        <v>64</v>
      </c>
      <c r="IG11">
        <v>456</v>
      </c>
      <c r="IH11">
        <v>456</v>
      </c>
      <c r="II11">
        <v>456</v>
      </c>
      <c r="IJ11">
        <v>176</v>
      </c>
      <c r="IK11">
        <v>176</v>
      </c>
      <c r="IL11">
        <v>176</v>
      </c>
      <c r="IM11">
        <v>176</v>
      </c>
      <c r="IN11">
        <v>176</v>
      </c>
      <c r="IO11">
        <v>176</v>
      </c>
      <c r="IP11">
        <v>176</v>
      </c>
      <c r="IQ11">
        <v>176</v>
      </c>
      <c r="IR11">
        <v>176</v>
      </c>
      <c r="IS11">
        <v>176</v>
      </c>
      <c r="IT11">
        <v>176</v>
      </c>
      <c r="IU11">
        <v>64</v>
      </c>
      <c r="IV11">
        <v>64</v>
      </c>
      <c r="IW11">
        <v>64</v>
      </c>
      <c r="IX11">
        <v>64</v>
      </c>
      <c r="IY11">
        <v>64</v>
      </c>
      <c r="IZ11">
        <v>64</v>
      </c>
      <c r="JA11">
        <v>64</v>
      </c>
      <c r="JB11">
        <v>120</v>
      </c>
      <c r="JC11">
        <v>120</v>
      </c>
      <c r="JD11">
        <v>64</v>
      </c>
      <c r="JE11">
        <v>64</v>
      </c>
      <c r="JF11">
        <v>64</v>
      </c>
      <c r="JG11">
        <v>64</v>
      </c>
      <c r="JH11">
        <v>64</v>
      </c>
      <c r="JI11">
        <v>64</v>
      </c>
      <c r="JJ11">
        <v>64</v>
      </c>
      <c r="JK11">
        <v>64</v>
      </c>
      <c r="JL11">
        <v>64</v>
      </c>
      <c r="JM11">
        <v>968</v>
      </c>
      <c r="JN11">
        <v>456</v>
      </c>
      <c r="JO11">
        <v>456</v>
      </c>
      <c r="JP11">
        <v>776</v>
      </c>
      <c r="JQ11">
        <v>456</v>
      </c>
      <c r="JR11">
        <v>456</v>
      </c>
      <c r="JS11">
        <v>456</v>
      </c>
      <c r="JT11">
        <v>64</v>
      </c>
      <c r="JU11">
        <v>64</v>
      </c>
      <c r="JV11">
        <v>64</v>
      </c>
      <c r="JW11">
        <f t="shared" si="1"/>
        <v>64</v>
      </c>
      <c r="JY11">
        <v>64</v>
      </c>
      <c r="JZ11" s="42">
        <v>64</v>
      </c>
      <c r="KA11">
        <v>64</v>
      </c>
      <c r="KB11" s="42">
        <v>64</v>
      </c>
      <c r="KC11">
        <v>176</v>
      </c>
      <c r="KD11">
        <v>176</v>
      </c>
      <c r="KE11">
        <v>120</v>
      </c>
      <c r="KF11" s="42">
        <v>120</v>
      </c>
      <c r="KI11" s="42">
        <f t="shared" si="3"/>
        <v>64</v>
      </c>
      <c r="KJ11" s="42">
        <f t="shared" si="3"/>
        <v>64</v>
      </c>
      <c r="KK11" s="42">
        <f t="shared" si="4"/>
        <v>64</v>
      </c>
      <c r="KL11" s="42">
        <f t="shared" si="4"/>
        <v>64</v>
      </c>
      <c r="KM11" s="42">
        <f t="shared" si="4"/>
        <v>64</v>
      </c>
      <c r="KN11" s="42">
        <v>808</v>
      </c>
      <c r="KO11" s="42">
        <v>808</v>
      </c>
      <c r="KP11" s="42">
        <f t="shared" si="4"/>
        <v>64</v>
      </c>
      <c r="KQ11" s="42">
        <f t="shared" si="4"/>
        <v>64</v>
      </c>
      <c r="KR11" s="42">
        <v>496</v>
      </c>
      <c r="KS11" s="42">
        <v>496</v>
      </c>
      <c r="KT11" s="42">
        <v>288</v>
      </c>
      <c r="KU11" s="42">
        <v>288</v>
      </c>
      <c r="KV11" s="42">
        <f t="shared" si="5"/>
        <v>64</v>
      </c>
      <c r="KW11" s="42">
        <f t="shared" si="5"/>
        <v>64</v>
      </c>
      <c r="KX11" s="42">
        <v>568</v>
      </c>
    </row>
    <row r="12" spans="1:310" x14ac:dyDescent="0.35">
      <c r="A12">
        <v>392</v>
      </c>
      <c r="B12">
        <v>392</v>
      </c>
      <c r="C12">
        <v>392</v>
      </c>
      <c r="D12">
        <v>72</v>
      </c>
      <c r="E12">
        <v>72</v>
      </c>
      <c r="F12">
        <v>72</v>
      </c>
      <c r="G12">
        <v>150</v>
      </c>
      <c r="H12">
        <v>150</v>
      </c>
      <c r="I12">
        <v>150</v>
      </c>
      <c r="K12">
        <v>72</v>
      </c>
      <c r="L12">
        <v>72</v>
      </c>
      <c r="M12">
        <v>136</v>
      </c>
      <c r="N12">
        <v>136</v>
      </c>
      <c r="O12">
        <v>136</v>
      </c>
      <c r="P12">
        <v>144</v>
      </c>
      <c r="Q12">
        <v>144</v>
      </c>
      <c r="R12">
        <v>144</v>
      </c>
      <c r="S12">
        <v>520</v>
      </c>
      <c r="T12">
        <v>520</v>
      </c>
      <c r="U12">
        <v>520</v>
      </c>
      <c r="V12">
        <v>72</v>
      </c>
      <c r="W12">
        <v>72</v>
      </c>
      <c r="X12">
        <v>1008</v>
      </c>
      <c r="Y12">
        <v>72</v>
      </c>
      <c r="Z12">
        <v>72</v>
      </c>
      <c r="AA12">
        <v>72</v>
      </c>
      <c r="AB12">
        <v>200</v>
      </c>
      <c r="AC12">
        <v>200</v>
      </c>
      <c r="AD12">
        <v>200</v>
      </c>
      <c r="AE12">
        <v>264</v>
      </c>
      <c r="AF12">
        <v>264</v>
      </c>
      <c r="AG12">
        <v>264</v>
      </c>
      <c r="AH12">
        <v>72</v>
      </c>
      <c r="AI12">
        <v>72</v>
      </c>
      <c r="AJ12">
        <v>72</v>
      </c>
      <c r="AK12">
        <v>72</v>
      </c>
      <c r="AL12">
        <v>72</v>
      </c>
      <c r="AM12">
        <v>72</v>
      </c>
      <c r="AN12">
        <v>72</v>
      </c>
      <c r="AO12">
        <v>72</v>
      </c>
      <c r="AP12">
        <v>72</v>
      </c>
      <c r="AQ12">
        <v>72</v>
      </c>
      <c r="AR12">
        <v>72</v>
      </c>
      <c r="AS12">
        <v>72</v>
      </c>
      <c r="AW12">
        <v>72</v>
      </c>
      <c r="AX12">
        <v>72</v>
      </c>
      <c r="AY12">
        <v>88</v>
      </c>
      <c r="AZ12">
        <v>88</v>
      </c>
      <c r="BA12">
        <v>88</v>
      </c>
      <c r="BB12">
        <v>72</v>
      </c>
      <c r="BC12">
        <v>72</v>
      </c>
      <c r="BE12">
        <v>72</v>
      </c>
      <c r="BF12">
        <v>72</v>
      </c>
      <c r="BG12">
        <v>72</v>
      </c>
      <c r="BH12">
        <v>72</v>
      </c>
      <c r="BI12">
        <v>72</v>
      </c>
      <c r="BJ12">
        <v>72</v>
      </c>
      <c r="BK12">
        <v>136</v>
      </c>
      <c r="BL12">
        <v>136</v>
      </c>
      <c r="BM12">
        <v>136</v>
      </c>
      <c r="BN12">
        <v>72</v>
      </c>
      <c r="BO12">
        <v>72</v>
      </c>
      <c r="BP12">
        <v>72</v>
      </c>
      <c r="BQ12">
        <v>360</v>
      </c>
      <c r="BR12">
        <v>360</v>
      </c>
      <c r="BS12">
        <v>360</v>
      </c>
      <c r="BT12">
        <v>360</v>
      </c>
      <c r="BU12">
        <v>360</v>
      </c>
      <c r="BV12">
        <v>360</v>
      </c>
      <c r="BW12">
        <v>360</v>
      </c>
      <c r="BX12">
        <v>360</v>
      </c>
      <c r="BY12">
        <v>360</v>
      </c>
      <c r="BZ12">
        <v>1000</v>
      </c>
      <c r="CA12">
        <v>1000</v>
      </c>
      <c r="CB12">
        <v>1000</v>
      </c>
      <c r="CC12">
        <v>360</v>
      </c>
      <c r="CD12">
        <v>360</v>
      </c>
      <c r="CE12">
        <v>360</v>
      </c>
      <c r="CF12">
        <v>360</v>
      </c>
      <c r="CG12">
        <v>360</v>
      </c>
      <c r="CH12">
        <v>360</v>
      </c>
      <c r="CI12">
        <v>72</v>
      </c>
      <c r="CJ12">
        <v>72</v>
      </c>
      <c r="CK12">
        <v>72</v>
      </c>
      <c r="CL12">
        <v>328</v>
      </c>
      <c r="CM12">
        <v>328</v>
      </c>
      <c r="CN12">
        <v>328</v>
      </c>
      <c r="CO12">
        <v>328</v>
      </c>
      <c r="CP12">
        <v>328</v>
      </c>
      <c r="CQ12">
        <v>328</v>
      </c>
      <c r="CR12">
        <v>328</v>
      </c>
      <c r="CS12">
        <v>328</v>
      </c>
      <c r="CT12">
        <v>328</v>
      </c>
      <c r="CU12">
        <v>328</v>
      </c>
      <c r="CV12">
        <v>328</v>
      </c>
      <c r="CW12">
        <v>200</v>
      </c>
      <c r="CX12">
        <v>200</v>
      </c>
      <c r="CY12">
        <v>200</v>
      </c>
      <c r="CZ12">
        <v>392</v>
      </c>
      <c r="DA12">
        <v>392</v>
      </c>
      <c r="DB12">
        <v>392</v>
      </c>
      <c r="DC12">
        <v>200</v>
      </c>
      <c r="DD12">
        <v>200</v>
      </c>
      <c r="DE12">
        <v>200</v>
      </c>
      <c r="DF12">
        <v>328</v>
      </c>
      <c r="DG12">
        <v>328</v>
      </c>
      <c r="DH12">
        <v>328</v>
      </c>
      <c r="DI12" s="42">
        <v>171</v>
      </c>
      <c r="DJ12" s="42">
        <v>171</v>
      </c>
      <c r="DK12" s="42">
        <v>171</v>
      </c>
      <c r="DL12" s="42">
        <v>171</v>
      </c>
      <c r="DM12" s="42">
        <v>196</v>
      </c>
      <c r="DN12" s="42">
        <v>196</v>
      </c>
      <c r="DO12" s="42">
        <v>196</v>
      </c>
      <c r="DP12" s="42">
        <v>248</v>
      </c>
      <c r="DQ12" s="42">
        <v>248</v>
      </c>
      <c r="DR12" s="42">
        <v>248</v>
      </c>
      <c r="DS12" s="42">
        <v>280</v>
      </c>
      <c r="DT12" s="42">
        <v>280</v>
      </c>
      <c r="DU12" s="42">
        <v>280</v>
      </c>
      <c r="DV12" s="42">
        <v>168</v>
      </c>
      <c r="DW12" s="42">
        <v>168</v>
      </c>
      <c r="DX12" s="42">
        <v>168</v>
      </c>
      <c r="DY12">
        <v>72</v>
      </c>
      <c r="DZ12" s="42">
        <v>245</v>
      </c>
      <c r="EA12" s="42">
        <v>245</v>
      </c>
      <c r="EB12">
        <v>200</v>
      </c>
      <c r="EC12">
        <v>200</v>
      </c>
      <c r="ED12">
        <v>200</v>
      </c>
      <c r="EE12">
        <v>240</v>
      </c>
      <c r="EF12">
        <v>240</v>
      </c>
      <c r="EG12">
        <v>240</v>
      </c>
      <c r="EH12" s="42">
        <v>623</v>
      </c>
      <c r="EI12" s="42">
        <v>623</v>
      </c>
      <c r="EJ12" s="42">
        <v>618</v>
      </c>
      <c r="EK12" s="42">
        <v>618</v>
      </c>
      <c r="EL12" s="42">
        <v>618</v>
      </c>
      <c r="EM12" s="42">
        <v>618</v>
      </c>
      <c r="EN12" s="42">
        <v>507</v>
      </c>
      <c r="EO12" s="42">
        <v>507</v>
      </c>
      <c r="EP12" s="42">
        <v>507</v>
      </c>
      <c r="EQ12" s="42">
        <v>480</v>
      </c>
      <c r="ER12" s="42">
        <v>480</v>
      </c>
      <c r="ES12">
        <v>344</v>
      </c>
      <c r="ET12">
        <v>200</v>
      </c>
      <c r="EU12">
        <v>200</v>
      </c>
      <c r="EV12">
        <v>128</v>
      </c>
      <c r="EW12">
        <v>128</v>
      </c>
      <c r="EX12">
        <v>128</v>
      </c>
      <c r="EY12">
        <v>128</v>
      </c>
      <c r="EZ12">
        <v>128</v>
      </c>
      <c r="FA12">
        <v>128</v>
      </c>
      <c r="FB12">
        <v>72</v>
      </c>
      <c r="FC12">
        <v>72</v>
      </c>
      <c r="FD12">
        <v>72</v>
      </c>
      <c r="FE12">
        <v>72</v>
      </c>
      <c r="FF12">
        <v>72</v>
      </c>
      <c r="FG12">
        <v>72</v>
      </c>
      <c r="FH12">
        <v>200</v>
      </c>
      <c r="FI12">
        <v>200</v>
      </c>
      <c r="FJ12">
        <v>200</v>
      </c>
      <c r="FL12">
        <v>200</v>
      </c>
      <c r="FM12">
        <v>200</v>
      </c>
      <c r="FN12">
        <v>136</v>
      </c>
      <c r="FO12">
        <v>136</v>
      </c>
      <c r="FP12">
        <v>136</v>
      </c>
      <c r="FR12">
        <v>120</v>
      </c>
      <c r="FS12">
        <v>72</v>
      </c>
      <c r="FT12">
        <v>264</v>
      </c>
      <c r="FU12">
        <v>264</v>
      </c>
      <c r="FV12">
        <v>264</v>
      </c>
      <c r="FW12">
        <v>72</v>
      </c>
      <c r="FX12">
        <v>72</v>
      </c>
      <c r="FY12">
        <v>72</v>
      </c>
      <c r="FZ12">
        <v>176</v>
      </c>
      <c r="GA12">
        <v>176</v>
      </c>
      <c r="GB12">
        <v>176</v>
      </c>
      <c r="GC12" s="43">
        <v>200</v>
      </c>
      <c r="GD12">
        <v>200</v>
      </c>
      <c r="GE12">
        <v>200</v>
      </c>
      <c r="GF12">
        <v>232</v>
      </c>
      <c r="GG12">
        <v>296</v>
      </c>
      <c r="GH12">
        <v>232</v>
      </c>
      <c r="GI12">
        <v>72</v>
      </c>
      <c r="GJ12">
        <v>136</v>
      </c>
      <c r="GK12">
        <v>136</v>
      </c>
      <c r="GL12">
        <v>136</v>
      </c>
      <c r="GM12">
        <v>136</v>
      </c>
      <c r="GN12">
        <v>136</v>
      </c>
      <c r="GO12">
        <v>136</v>
      </c>
      <c r="GP12">
        <v>72</v>
      </c>
      <c r="GQ12">
        <v>72</v>
      </c>
      <c r="GR12">
        <v>120</v>
      </c>
      <c r="GS12">
        <v>120</v>
      </c>
      <c r="GT12">
        <v>120</v>
      </c>
      <c r="GU12">
        <v>72</v>
      </c>
      <c r="GV12">
        <v>72</v>
      </c>
      <c r="GW12">
        <v>72</v>
      </c>
      <c r="GX12">
        <v>72</v>
      </c>
      <c r="GY12">
        <v>72</v>
      </c>
      <c r="GZ12">
        <v>72</v>
      </c>
      <c r="HA12">
        <v>128</v>
      </c>
      <c r="HB12">
        <v>128</v>
      </c>
      <c r="HC12">
        <v>128</v>
      </c>
      <c r="HD12">
        <v>128</v>
      </c>
      <c r="HE12">
        <v>128</v>
      </c>
      <c r="HF12">
        <v>184</v>
      </c>
      <c r="HG12">
        <v>184</v>
      </c>
      <c r="HH12">
        <v>184</v>
      </c>
      <c r="HI12">
        <v>184</v>
      </c>
      <c r="HJ12">
        <v>160</v>
      </c>
      <c r="HK12">
        <v>160</v>
      </c>
      <c r="HL12">
        <v>128</v>
      </c>
      <c r="HM12">
        <v>128</v>
      </c>
      <c r="HN12">
        <v>128</v>
      </c>
      <c r="HO12">
        <v>72</v>
      </c>
      <c r="HP12">
        <v>72</v>
      </c>
      <c r="HQ12">
        <v>72</v>
      </c>
      <c r="HR12">
        <v>72</v>
      </c>
      <c r="HS12">
        <v>72</v>
      </c>
      <c r="HT12">
        <v>72</v>
      </c>
      <c r="HU12">
        <v>136</v>
      </c>
      <c r="HV12">
        <v>136</v>
      </c>
      <c r="HW12">
        <v>136</v>
      </c>
      <c r="HX12">
        <v>72</v>
      </c>
      <c r="HY12">
        <v>72</v>
      </c>
      <c r="HZ12">
        <v>72</v>
      </c>
      <c r="IA12">
        <v>72</v>
      </c>
      <c r="IB12">
        <v>72</v>
      </c>
      <c r="IC12">
        <v>72</v>
      </c>
      <c r="ID12">
        <v>72</v>
      </c>
      <c r="IE12">
        <v>72</v>
      </c>
      <c r="IF12">
        <v>72</v>
      </c>
      <c r="IG12">
        <v>520</v>
      </c>
      <c r="IH12">
        <v>520</v>
      </c>
      <c r="II12">
        <v>520</v>
      </c>
      <c r="IJ12">
        <v>200</v>
      </c>
      <c r="IK12">
        <v>200</v>
      </c>
      <c r="IL12">
        <v>200</v>
      </c>
      <c r="IM12">
        <v>200</v>
      </c>
      <c r="IN12">
        <v>200</v>
      </c>
      <c r="IO12">
        <v>200</v>
      </c>
      <c r="IP12">
        <v>200</v>
      </c>
      <c r="IQ12">
        <v>200</v>
      </c>
      <c r="IR12">
        <v>200</v>
      </c>
      <c r="IS12">
        <v>200</v>
      </c>
      <c r="IT12">
        <v>200</v>
      </c>
      <c r="IU12">
        <v>72</v>
      </c>
      <c r="IV12">
        <v>72</v>
      </c>
      <c r="IW12">
        <v>72</v>
      </c>
      <c r="IX12">
        <v>72</v>
      </c>
      <c r="IY12">
        <v>72</v>
      </c>
      <c r="IZ12">
        <v>72</v>
      </c>
      <c r="JA12">
        <v>72</v>
      </c>
      <c r="JB12">
        <v>136</v>
      </c>
      <c r="JC12">
        <v>136</v>
      </c>
      <c r="JD12">
        <v>72</v>
      </c>
      <c r="JE12">
        <v>72</v>
      </c>
      <c r="JF12">
        <v>72</v>
      </c>
      <c r="JG12">
        <v>72</v>
      </c>
      <c r="JH12">
        <v>72</v>
      </c>
      <c r="JI12">
        <v>72</v>
      </c>
      <c r="JJ12">
        <v>72</v>
      </c>
      <c r="JK12">
        <v>72</v>
      </c>
      <c r="JL12">
        <v>72</v>
      </c>
      <c r="JM12">
        <v>1128</v>
      </c>
      <c r="JN12">
        <v>520</v>
      </c>
      <c r="JO12">
        <v>520</v>
      </c>
      <c r="JP12">
        <v>968</v>
      </c>
      <c r="JQ12">
        <v>520</v>
      </c>
      <c r="JR12">
        <v>520</v>
      </c>
      <c r="JS12">
        <v>520</v>
      </c>
      <c r="JT12">
        <v>72</v>
      </c>
      <c r="JU12">
        <v>72</v>
      </c>
      <c r="JV12">
        <v>72</v>
      </c>
      <c r="JW12">
        <f t="shared" si="1"/>
        <v>72</v>
      </c>
      <c r="JY12">
        <v>72</v>
      </c>
      <c r="JZ12" s="42">
        <v>72</v>
      </c>
      <c r="KA12">
        <v>72</v>
      </c>
      <c r="KB12" s="42">
        <v>72</v>
      </c>
      <c r="KC12">
        <v>200</v>
      </c>
      <c r="KD12">
        <v>200</v>
      </c>
      <c r="KE12">
        <v>136</v>
      </c>
      <c r="KF12" s="42">
        <v>136</v>
      </c>
      <c r="KI12">
        <v>96</v>
      </c>
      <c r="KJ12" s="42">
        <f t="shared" si="3"/>
        <v>72</v>
      </c>
      <c r="KK12" s="42">
        <f t="shared" si="4"/>
        <v>72</v>
      </c>
      <c r="KL12" s="42">
        <f t="shared" si="4"/>
        <v>72</v>
      </c>
      <c r="KM12" s="42">
        <f t="shared" si="4"/>
        <v>72</v>
      </c>
      <c r="KN12" s="42">
        <v>968</v>
      </c>
      <c r="KO12" s="42">
        <v>968</v>
      </c>
      <c r="KP12" s="42">
        <f t="shared" si="4"/>
        <v>72</v>
      </c>
      <c r="KQ12" s="42">
        <f t="shared" si="4"/>
        <v>72</v>
      </c>
      <c r="KR12" s="42">
        <v>576</v>
      </c>
      <c r="KS12" s="42">
        <v>576</v>
      </c>
      <c r="KT12" s="42">
        <v>328</v>
      </c>
      <c r="KU12" s="42">
        <v>328</v>
      </c>
      <c r="KV12" s="42">
        <f t="shared" si="5"/>
        <v>72</v>
      </c>
      <c r="KW12" s="42">
        <f t="shared" si="5"/>
        <v>72</v>
      </c>
      <c r="KX12" s="42">
        <v>648</v>
      </c>
    </row>
    <row r="13" spans="1:310" x14ac:dyDescent="0.35">
      <c r="A13">
        <v>440</v>
      </c>
      <c r="B13">
        <v>440</v>
      </c>
      <c r="C13">
        <v>440</v>
      </c>
      <c r="D13">
        <v>80</v>
      </c>
      <c r="E13">
        <v>80</v>
      </c>
      <c r="F13">
        <v>80</v>
      </c>
      <c r="G13">
        <v>166</v>
      </c>
      <c r="H13">
        <v>166</v>
      </c>
      <c r="I13">
        <v>166</v>
      </c>
      <c r="K13">
        <v>80</v>
      </c>
      <c r="M13">
        <v>152</v>
      </c>
      <c r="N13">
        <v>152</v>
      </c>
      <c r="O13">
        <v>152</v>
      </c>
      <c r="P13">
        <v>160</v>
      </c>
      <c r="Q13">
        <v>160</v>
      </c>
      <c r="R13">
        <v>160</v>
      </c>
      <c r="S13">
        <v>584</v>
      </c>
      <c r="T13">
        <v>584</v>
      </c>
      <c r="U13">
        <v>584</v>
      </c>
      <c r="V13">
        <v>80</v>
      </c>
      <c r="W13">
        <v>80</v>
      </c>
      <c r="X13">
        <v>1120</v>
      </c>
      <c r="Y13">
        <v>80</v>
      </c>
      <c r="Z13">
        <v>80</v>
      </c>
      <c r="AA13">
        <v>80</v>
      </c>
      <c r="AB13">
        <v>224</v>
      </c>
      <c r="AC13">
        <v>224</v>
      </c>
      <c r="AD13">
        <v>224</v>
      </c>
      <c r="AE13">
        <v>296</v>
      </c>
      <c r="AF13">
        <v>296</v>
      </c>
      <c r="AG13">
        <v>296</v>
      </c>
      <c r="AH13">
        <v>80</v>
      </c>
      <c r="AI13">
        <v>80</v>
      </c>
      <c r="AJ13">
        <v>80</v>
      </c>
      <c r="AK13">
        <v>80</v>
      </c>
      <c r="AL13">
        <v>80</v>
      </c>
      <c r="AM13">
        <v>80</v>
      </c>
      <c r="AN13">
        <v>80</v>
      </c>
      <c r="AO13">
        <v>80</v>
      </c>
      <c r="AP13">
        <v>80</v>
      </c>
      <c r="AQ13">
        <v>80</v>
      </c>
      <c r="AR13">
        <v>80</v>
      </c>
      <c r="AS13">
        <v>80</v>
      </c>
      <c r="AW13">
        <v>80</v>
      </c>
      <c r="AX13">
        <v>80</v>
      </c>
      <c r="AY13">
        <v>96</v>
      </c>
      <c r="AZ13">
        <v>96</v>
      </c>
      <c r="BA13">
        <v>96</v>
      </c>
      <c r="BB13">
        <v>80</v>
      </c>
      <c r="BC13">
        <v>80</v>
      </c>
      <c r="BE13">
        <v>80</v>
      </c>
      <c r="BF13">
        <v>80</v>
      </c>
      <c r="BG13">
        <v>80</v>
      </c>
      <c r="BH13">
        <v>80</v>
      </c>
      <c r="BI13">
        <v>80</v>
      </c>
      <c r="BJ13">
        <v>80</v>
      </c>
      <c r="BK13">
        <v>152</v>
      </c>
      <c r="BL13">
        <v>152</v>
      </c>
      <c r="BM13">
        <v>152</v>
      </c>
      <c r="BN13">
        <v>80</v>
      </c>
      <c r="BO13">
        <v>80</v>
      </c>
      <c r="BP13">
        <v>80</v>
      </c>
      <c r="BQ13">
        <v>400</v>
      </c>
      <c r="BR13">
        <v>400</v>
      </c>
      <c r="BS13">
        <v>400</v>
      </c>
      <c r="BT13">
        <v>400</v>
      </c>
      <c r="BU13">
        <v>400</v>
      </c>
      <c r="BV13">
        <v>400</v>
      </c>
      <c r="BW13">
        <v>400</v>
      </c>
      <c r="BX13">
        <v>400</v>
      </c>
      <c r="BY13">
        <v>400</v>
      </c>
      <c r="BZ13">
        <v>1120</v>
      </c>
      <c r="CA13">
        <v>1120</v>
      </c>
      <c r="CB13">
        <v>1120</v>
      </c>
      <c r="CC13">
        <v>400</v>
      </c>
      <c r="CD13">
        <v>400</v>
      </c>
      <c r="CE13">
        <v>400</v>
      </c>
      <c r="CF13">
        <v>400</v>
      </c>
      <c r="CG13">
        <v>400</v>
      </c>
      <c r="CH13">
        <v>400</v>
      </c>
      <c r="CI13">
        <v>80</v>
      </c>
      <c r="CJ13">
        <v>80</v>
      </c>
      <c r="CK13">
        <v>80</v>
      </c>
      <c r="CL13">
        <v>368</v>
      </c>
      <c r="CM13">
        <v>368</v>
      </c>
      <c r="CN13">
        <v>368</v>
      </c>
      <c r="CO13">
        <v>368</v>
      </c>
      <c r="CP13">
        <v>368</v>
      </c>
      <c r="CQ13">
        <v>368</v>
      </c>
      <c r="CR13">
        <v>368</v>
      </c>
      <c r="CT13">
        <v>368</v>
      </c>
      <c r="CU13">
        <v>368</v>
      </c>
      <c r="CV13">
        <v>368</v>
      </c>
      <c r="CW13">
        <v>224</v>
      </c>
      <c r="CX13">
        <v>224</v>
      </c>
      <c r="CY13">
        <v>224</v>
      </c>
      <c r="CZ13">
        <v>440</v>
      </c>
      <c r="DA13">
        <v>440</v>
      </c>
      <c r="DB13">
        <v>440</v>
      </c>
      <c r="DC13">
        <v>224</v>
      </c>
      <c r="DD13">
        <v>224</v>
      </c>
      <c r="DE13">
        <v>224</v>
      </c>
      <c r="DF13">
        <v>368</v>
      </c>
      <c r="DG13">
        <v>368</v>
      </c>
      <c r="DH13">
        <v>368</v>
      </c>
      <c r="DI13" s="42">
        <v>179</v>
      </c>
      <c r="DJ13" s="42">
        <v>179</v>
      </c>
      <c r="DK13" s="42">
        <v>179</v>
      </c>
      <c r="DL13" s="42">
        <v>179</v>
      </c>
      <c r="DM13" s="42">
        <v>212</v>
      </c>
      <c r="DN13" s="42">
        <v>212</v>
      </c>
      <c r="DO13" s="42">
        <v>212</v>
      </c>
      <c r="DP13" s="42">
        <v>280</v>
      </c>
      <c r="DQ13" s="42">
        <v>280</v>
      </c>
      <c r="DR13" s="42">
        <v>280</v>
      </c>
      <c r="DS13" s="42">
        <v>296</v>
      </c>
      <c r="DT13" s="42">
        <v>296</v>
      </c>
      <c r="DU13" s="42">
        <v>296</v>
      </c>
      <c r="DV13" s="42">
        <v>184</v>
      </c>
      <c r="DW13" s="42">
        <v>184</v>
      </c>
      <c r="DX13" s="42">
        <v>184</v>
      </c>
      <c r="DY13">
        <v>80</v>
      </c>
      <c r="DZ13" s="42">
        <v>269</v>
      </c>
      <c r="EA13" s="42">
        <v>269</v>
      </c>
      <c r="EB13">
        <v>224</v>
      </c>
      <c r="EC13">
        <v>224</v>
      </c>
      <c r="ED13">
        <v>224</v>
      </c>
      <c r="EE13">
        <v>272</v>
      </c>
      <c r="EF13">
        <v>272</v>
      </c>
      <c r="EG13">
        <v>272</v>
      </c>
      <c r="EH13" s="42">
        <v>687</v>
      </c>
      <c r="EI13" s="42">
        <v>687</v>
      </c>
      <c r="EJ13" s="42">
        <v>690</v>
      </c>
      <c r="EK13" s="42">
        <v>690</v>
      </c>
      <c r="EL13" s="42">
        <v>690</v>
      </c>
      <c r="EM13" s="42">
        <v>690</v>
      </c>
      <c r="EN13" s="42">
        <v>539</v>
      </c>
      <c r="EO13" s="42">
        <v>539</v>
      </c>
      <c r="EP13" s="42">
        <v>539</v>
      </c>
      <c r="EQ13" s="42">
        <v>512</v>
      </c>
      <c r="ER13" s="42">
        <v>512</v>
      </c>
      <c r="ES13">
        <v>368</v>
      </c>
      <c r="ET13">
        <v>224</v>
      </c>
      <c r="EU13">
        <v>224</v>
      </c>
      <c r="EV13">
        <v>144</v>
      </c>
      <c r="EW13">
        <v>144</v>
      </c>
      <c r="EX13">
        <v>144</v>
      </c>
      <c r="EY13">
        <v>144</v>
      </c>
      <c r="EZ13">
        <v>144</v>
      </c>
      <c r="FA13">
        <v>144</v>
      </c>
      <c r="FB13">
        <v>80</v>
      </c>
      <c r="FC13">
        <v>80</v>
      </c>
      <c r="FE13">
        <v>80</v>
      </c>
      <c r="FF13">
        <v>80</v>
      </c>
      <c r="FG13">
        <v>80</v>
      </c>
      <c r="FH13">
        <v>224</v>
      </c>
      <c r="FI13">
        <v>224</v>
      </c>
      <c r="FJ13">
        <v>224</v>
      </c>
      <c r="FL13">
        <v>224</v>
      </c>
      <c r="FM13">
        <v>224</v>
      </c>
      <c r="FN13">
        <v>152</v>
      </c>
      <c r="FO13">
        <v>152</v>
      </c>
      <c r="FP13">
        <v>152</v>
      </c>
      <c r="FR13">
        <v>128</v>
      </c>
      <c r="FS13">
        <v>80</v>
      </c>
      <c r="FT13">
        <v>296</v>
      </c>
      <c r="FU13">
        <v>296</v>
      </c>
      <c r="FV13">
        <v>296</v>
      </c>
      <c r="FW13">
        <v>80</v>
      </c>
      <c r="FX13">
        <v>80</v>
      </c>
      <c r="FY13">
        <v>80</v>
      </c>
      <c r="FZ13">
        <v>200</v>
      </c>
      <c r="GA13">
        <v>200</v>
      </c>
      <c r="GB13">
        <v>200</v>
      </c>
      <c r="GC13" s="43">
        <v>224</v>
      </c>
      <c r="GD13">
        <v>224</v>
      </c>
      <c r="GE13">
        <v>224</v>
      </c>
      <c r="GF13">
        <v>264</v>
      </c>
      <c r="GG13">
        <v>328</v>
      </c>
      <c r="GH13">
        <v>264</v>
      </c>
      <c r="GI13">
        <v>80</v>
      </c>
      <c r="GJ13">
        <v>152</v>
      </c>
      <c r="GK13">
        <v>152</v>
      </c>
      <c r="GL13">
        <v>152</v>
      </c>
      <c r="GM13">
        <v>152</v>
      </c>
      <c r="GN13">
        <v>152</v>
      </c>
      <c r="GO13">
        <v>152</v>
      </c>
      <c r="GP13">
        <v>80</v>
      </c>
      <c r="GQ13">
        <v>80</v>
      </c>
      <c r="GR13">
        <v>136</v>
      </c>
      <c r="GS13">
        <v>136</v>
      </c>
      <c r="GT13">
        <v>136</v>
      </c>
      <c r="GU13">
        <v>80</v>
      </c>
      <c r="GV13">
        <v>80</v>
      </c>
      <c r="GW13">
        <v>80</v>
      </c>
      <c r="GX13">
        <v>80</v>
      </c>
      <c r="GY13">
        <v>80</v>
      </c>
      <c r="GZ13">
        <v>80</v>
      </c>
      <c r="HA13">
        <v>144</v>
      </c>
      <c r="HB13">
        <v>144</v>
      </c>
      <c r="HC13">
        <v>144</v>
      </c>
      <c r="HD13">
        <v>144</v>
      </c>
      <c r="HE13">
        <v>144</v>
      </c>
      <c r="HF13">
        <v>208</v>
      </c>
      <c r="HG13">
        <v>208</v>
      </c>
      <c r="HH13">
        <v>208</v>
      </c>
      <c r="HI13">
        <v>208</v>
      </c>
      <c r="HJ13">
        <v>184</v>
      </c>
      <c r="HK13">
        <v>184</v>
      </c>
      <c r="HL13">
        <v>144</v>
      </c>
      <c r="HM13">
        <v>144</v>
      </c>
      <c r="HN13">
        <v>144</v>
      </c>
      <c r="HO13">
        <v>80</v>
      </c>
      <c r="HP13">
        <v>80</v>
      </c>
      <c r="HQ13">
        <v>80</v>
      </c>
      <c r="HR13">
        <v>80</v>
      </c>
      <c r="HS13">
        <v>80</v>
      </c>
      <c r="HT13">
        <v>80</v>
      </c>
      <c r="HU13">
        <v>152</v>
      </c>
      <c r="HV13">
        <v>152</v>
      </c>
      <c r="HW13">
        <v>152</v>
      </c>
      <c r="HX13">
        <v>80</v>
      </c>
      <c r="HY13">
        <v>80</v>
      </c>
      <c r="HZ13">
        <v>80</v>
      </c>
      <c r="IA13">
        <v>80</v>
      </c>
      <c r="IB13">
        <v>80</v>
      </c>
      <c r="IC13">
        <v>80</v>
      </c>
      <c r="ID13">
        <v>80</v>
      </c>
      <c r="IE13">
        <v>80</v>
      </c>
      <c r="IF13">
        <v>80</v>
      </c>
      <c r="IG13">
        <v>584</v>
      </c>
      <c r="IH13">
        <v>584</v>
      </c>
      <c r="II13">
        <v>584</v>
      </c>
      <c r="IJ13">
        <v>224</v>
      </c>
      <c r="IK13">
        <v>224</v>
      </c>
      <c r="IL13">
        <v>224</v>
      </c>
      <c r="IM13">
        <v>224</v>
      </c>
      <c r="IN13">
        <v>224</v>
      </c>
      <c r="IO13">
        <v>224</v>
      </c>
      <c r="IP13">
        <v>224</v>
      </c>
      <c r="IQ13">
        <v>224</v>
      </c>
      <c r="IR13">
        <v>224</v>
      </c>
      <c r="IS13">
        <v>224</v>
      </c>
      <c r="IT13">
        <v>224</v>
      </c>
      <c r="IU13">
        <v>80</v>
      </c>
      <c r="IV13">
        <v>80</v>
      </c>
      <c r="IW13">
        <v>80</v>
      </c>
      <c r="IX13">
        <v>80</v>
      </c>
      <c r="IY13">
        <v>80</v>
      </c>
      <c r="IZ13">
        <v>80</v>
      </c>
      <c r="JA13">
        <v>80</v>
      </c>
      <c r="JB13">
        <v>152</v>
      </c>
      <c r="JC13">
        <v>152</v>
      </c>
      <c r="JD13">
        <v>80</v>
      </c>
      <c r="JE13">
        <v>80</v>
      </c>
      <c r="JF13">
        <v>80</v>
      </c>
      <c r="JG13">
        <v>80</v>
      </c>
      <c r="JH13">
        <v>80</v>
      </c>
      <c r="JI13">
        <v>80</v>
      </c>
      <c r="JJ13">
        <v>80</v>
      </c>
      <c r="JK13">
        <v>80</v>
      </c>
      <c r="JL13">
        <v>80</v>
      </c>
      <c r="JM13">
        <v>1288</v>
      </c>
      <c r="JN13">
        <v>584</v>
      </c>
      <c r="JO13">
        <v>584</v>
      </c>
      <c r="JP13">
        <v>1096</v>
      </c>
      <c r="JQ13">
        <v>584</v>
      </c>
      <c r="JR13">
        <v>584</v>
      </c>
      <c r="JS13">
        <v>584</v>
      </c>
      <c r="JT13">
        <v>80</v>
      </c>
      <c r="JU13">
        <v>80</v>
      </c>
      <c r="JV13">
        <v>80</v>
      </c>
      <c r="JW13">
        <f t="shared" si="1"/>
        <v>80</v>
      </c>
      <c r="JY13">
        <v>80</v>
      </c>
      <c r="JZ13" s="42">
        <v>80</v>
      </c>
      <c r="KA13">
        <v>80</v>
      </c>
      <c r="KB13" s="42">
        <v>80</v>
      </c>
      <c r="KC13">
        <v>224</v>
      </c>
      <c r="KD13">
        <v>224</v>
      </c>
      <c r="KE13">
        <v>152</v>
      </c>
      <c r="KF13" s="42">
        <v>152</v>
      </c>
      <c r="KJ13" s="42">
        <f t="shared" si="3"/>
        <v>80</v>
      </c>
      <c r="KL13" s="42">
        <f t="shared" si="4"/>
        <v>80</v>
      </c>
      <c r="KM13" s="42">
        <f t="shared" si="4"/>
        <v>80</v>
      </c>
      <c r="KN13" s="42">
        <v>1128</v>
      </c>
      <c r="KO13" s="42">
        <v>1128</v>
      </c>
      <c r="KP13" s="42">
        <f t="shared" si="4"/>
        <v>80</v>
      </c>
      <c r="KQ13" s="42">
        <f t="shared" si="4"/>
        <v>80</v>
      </c>
      <c r="KR13" s="42">
        <v>656</v>
      </c>
      <c r="KS13" s="42">
        <v>656</v>
      </c>
      <c r="KT13" s="42">
        <v>368</v>
      </c>
      <c r="KU13" s="42">
        <v>368</v>
      </c>
      <c r="KV13" s="42">
        <f t="shared" si="5"/>
        <v>80</v>
      </c>
      <c r="KW13" s="42">
        <f t="shared" si="5"/>
        <v>80</v>
      </c>
      <c r="KX13" s="42">
        <v>728</v>
      </c>
    </row>
    <row r="14" spans="1:310" x14ac:dyDescent="0.35">
      <c r="A14">
        <v>488</v>
      </c>
      <c r="B14">
        <v>488</v>
      </c>
      <c r="C14">
        <v>488</v>
      </c>
      <c r="D14">
        <v>88</v>
      </c>
      <c r="E14">
        <v>88</v>
      </c>
      <c r="F14">
        <v>88</v>
      </c>
      <c r="G14">
        <v>182</v>
      </c>
      <c r="H14">
        <v>182</v>
      </c>
      <c r="I14">
        <v>182</v>
      </c>
      <c r="K14">
        <v>88</v>
      </c>
      <c r="M14">
        <v>168</v>
      </c>
      <c r="N14">
        <v>168</v>
      </c>
      <c r="O14">
        <v>168</v>
      </c>
      <c r="S14">
        <v>648</v>
      </c>
      <c r="T14">
        <v>648</v>
      </c>
      <c r="U14">
        <v>648</v>
      </c>
      <c r="V14">
        <v>88</v>
      </c>
      <c r="W14">
        <v>88</v>
      </c>
      <c r="X14">
        <v>1232</v>
      </c>
      <c r="Y14">
        <v>88</v>
      </c>
      <c r="Z14">
        <v>88</v>
      </c>
      <c r="AA14">
        <v>88</v>
      </c>
      <c r="AB14">
        <v>248</v>
      </c>
      <c r="AC14">
        <v>248</v>
      </c>
      <c r="AD14">
        <v>248</v>
      </c>
      <c r="AE14">
        <v>328</v>
      </c>
      <c r="AF14">
        <v>328</v>
      </c>
      <c r="AG14">
        <v>328</v>
      </c>
      <c r="AH14">
        <v>88</v>
      </c>
      <c r="AI14">
        <v>88</v>
      </c>
      <c r="AJ14">
        <v>88</v>
      </c>
      <c r="AK14">
        <v>88</v>
      </c>
      <c r="AL14">
        <v>88</v>
      </c>
      <c r="AM14">
        <v>88</v>
      </c>
      <c r="AN14">
        <v>88</v>
      </c>
      <c r="AO14">
        <v>88</v>
      </c>
      <c r="AP14">
        <v>88</v>
      </c>
      <c r="AQ14">
        <v>88</v>
      </c>
      <c r="AR14">
        <v>88</v>
      </c>
      <c r="AW14">
        <v>88</v>
      </c>
      <c r="AX14">
        <v>88</v>
      </c>
      <c r="AY14">
        <v>104</v>
      </c>
      <c r="AZ14">
        <v>104</v>
      </c>
      <c r="BA14">
        <v>104</v>
      </c>
      <c r="BB14">
        <v>88</v>
      </c>
      <c r="BC14">
        <v>88</v>
      </c>
      <c r="BE14">
        <v>88</v>
      </c>
      <c r="BF14">
        <v>88</v>
      </c>
      <c r="BG14">
        <v>88</v>
      </c>
      <c r="BH14">
        <v>88</v>
      </c>
      <c r="BI14">
        <v>88</v>
      </c>
      <c r="BJ14">
        <v>88</v>
      </c>
      <c r="BK14">
        <v>168</v>
      </c>
      <c r="BL14">
        <v>168</v>
      </c>
      <c r="BM14">
        <v>168</v>
      </c>
      <c r="BN14">
        <v>88</v>
      </c>
      <c r="BO14">
        <v>88</v>
      </c>
      <c r="BP14">
        <v>88</v>
      </c>
      <c r="BQ14">
        <v>440</v>
      </c>
      <c r="BR14">
        <v>440</v>
      </c>
      <c r="BS14">
        <v>440</v>
      </c>
      <c r="BT14">
        <v>440</v>
      </c>
      <c r="BU14">
        <v>440</v>
      </c>
      <c r="BV14">
        <v>440</v>
      </c>
      <c r="BW14">
        <v>440</v>
      </c>
      <c r="BX14">
        <v>440</v>
      </c>
      <c r="BY14">
        <v>440</v>
      </c>
      <c r="BZ14">
        <v>1240</v>
      </c>
      <c r="CA14">
        <v>1240</v>
      </c>
      <c r="CB14">
        <v>1240</v>
      </c>
      <c r="CC14">
        <v>440</v>
      </c>
      <c r="CD14">
        <v>440</v>
      </c>
      <c r="CE14">
        <v>440</v>
      </c>
      <c r="CF14">
        <v>440</v>
      </c>
      <c r="CG14">
        <v>440</v>
      </c>
      <c r="CH14">
        <v>440</v>
      </c>
      <c r="CI14">
        <v>88</v>
      </c>
      <c r="CJ14">
        <v>88</v>
      </c>
      <c r="CK14">
        <v>88</v>
      </c>
      <c r="CL14">
        <v>408</v>
      </c>
      <c r="CM14">
        <v>408</v>
      </c>
      <c r="CN14">
        <v>408</v>
      </c>
      <c r="CO14">
        <v>408</v>
      </c>
      <c r="CP14">
        <v>408</v>
      </c>
      <c r="CQ14">
        <v>408</v>
      </c>
      <c r="CR14">
        <v>408</v>
      </c>
      <c r="CU14">
        <v>408</v>
      </c>
      <c r="CV14">
        <v>408</v>
      </c>
      <c r="CW14">
        <v>248</v>
      </c>
      <c r="CX14">
        <v>248</v>
      </c>
      <c r="CY14">
        <v>248</v>
      </c>
      <c r="CZ14">
        <v>488</v>
      </c>
      <c r="DA14">
        <v>488</v>
      </c>
      <c r="DB14">
        <v>488</v>
      </c>
      <c r="DC14">
        <v>248</v>
      </c>
      <c r="DD14">
        <v>248</v>
      </c>
      <c r="DE14">
        <v>248</v>
      </c>
      <c r="DF14">
        <v>408</v>
      </c>
      <c r="DG14">
        <v>408</v>
      </c>
      <c r="DH14">
        <v>408</v>
      </c>
      <c r="DY14">
        <v>88</v>
      </c>
      <c r="EB14">
        <v>248</v>
      </c>
      <c r="EC14">
        <v>248</v>
      </c>
      <c r="ED14">
        <v>248</v>
      </c>
      <c r="EE14">
        <v>304</v>
      </c>
      <c r="EF14">
        <v>304</v>
      </c>
      <c r="EG14">
        <v>304</v>
      </c>
      <c r="ES14">
        <v>392</v>
      </c>
      <c r="ET14">
        <v>248</v>
      </c>
      <c r="EU14">
        <v>248</v>
      </c>
      <c r="EV14">
        <v>160</v>
      </c>
      <c r="EW14">
        <v>160</v>
      </c>
      <c r="EX14">
        <v>160</v>
      </c>
      <c r="EY14">
        <v>160</v>
      </c>
      <c r="EZ14">
        <v>160</v>
      </c>
      <c r="FA14">
        <v>160</v>
      </c>
      <c r="FC14">
        <v>88</v>
      </c>
      <c r="FE14">
        <v>88</v>
      </c>
      <c r="FF14">
        <v>88</v>
      </c>
      <c r="FG14">
        <v>88</v>
      </c>
      <c r="FH14">
        <v>248</v>
      </c>
      <c r="FI14">
        <v>248</v>
      </c>
      <c r="FJ14">
        <v>248</v>
      </c>
      <c r="FL14">
        <v>248</v>
      </c>
      <c r="FM14">
        <v>248</v>
      </c>
      <c r="FN14">
        <v>168</v>
      </c>
      <c r="FO14">
        <v>168</v>
      </c>
      <c r="FP14">
        <v>168</v>
      </c>
      <c r="FR14">
        <v>136</v>
      </c>
      <c r="FS14">
        <v>88</v>
      </c>
      <c r="FT14">
        <v>328</v>
      </c>
      <c r="FU14">
        <v>328</v>
      </c>
      <c r="FV14">
        <v>328</v>
      </c>
      <c r="FX14">
        <v>88</v>
      </c>
      <c r="FY14">
        <v>88</v>
      </c>
      <c r="FZ14">
        <v>224</v>
      </c>
      <c r="GA14">
        <v>224</v>
      </c>
      <c r="GB14">
        <v>224</v>
      </c>
      <c r="GC14" s="43">
        <v>248</v>
      </c>
      <c r="GD14">
        <v>248</v>
      </c>
      <c r="GE14">
        <v>248</v>
      </c>
      <c r="GF14">
        <v>296</v>
      </c>
      <c r="GG14">
        <v>360</v>
      </c>
      <c r="GH14">
        <v>296</v>
      </c>
      <c r="GI14">
        <v>88</v>
      </c>
      <c r="GJ14">
        <v>168</v>
      </c>
      <c r="GK14">
        <v>168</v>
      </c>
      <c r="GL14">
        <v>168</v>
      </c>
      <c r="GM14">
        <v>168</v>
      </c>
      <c r="GN14">
        <v>168</v>
      </c>
      <c r="GO14">
        <v>168</v>
      </c>
      <c r="GP14">
        <v>88</v>
      </c>
      <c r="GQ14">
        <v>88</v>
      </c>
      <c r="GR14">
        <v>152</v>
      </c>
      <c r="GS14">
        <v>152</v>
      </c>
      <c r="GT14">
        <v>152</v>
      </c>
      <c r="GU14">
        <v>88</v>
      </c>
      <c r="GV14">
        <v>88</v>
      </c>
      <c r="GW14">
        <v>88</v>
      </c>
      <c r="GX14">
        <v>88</v>
      </c>
      <c r="GY14">
        <v>88</v>
      </c>
      <c r="GZ14">
        <v>88</v>
      </c>
      <c r="HA14">
        <v>160</v>
      </c>
      <c r="HB14">
        <v>160</v>
      </c>
      <c r="HC14">
        <v>160</v>
      </c>
      <c r="HD14">
        <v>160</v>
      </c>
      <c r="HE14">
        <v>160</v>
      </c>
      <c r="HF14">
        <v>232</v>
      </c>
      <c r="HG14">
        <v>232</v>
      </c>
      <c r="HH14">
        <v>232</v>
      </c>
      <c r="HI14">
        <v>232</v>
      </c>
      <c r="HJ14">
        <v>208</v>
      </c>
      <c r="HK14">
        <v>208</v>
      </c>
      <c r="HL14">
        <v>160</v>
      </c>
      <c r="HM14">
        <v>160</v>
      </c>
      <c r="HN14">
        <v>160</v>
      </c>
      <c r="HO14">
        <v>88</v>
      </c>
      <c r="HP14">
        <v>88</v>
      </c>
      <c r="HQ14">
        <v>88</v>
      </c>
      <c r="HR14">
        <v>88</v>
      </c>
      <c r="HS14">
        <v>88</v>
      </c>
      <c r="HT14">
        <v>88</v>
      </c>
      <c r="HU14">
        <v>168</v>
      </c>
      <c r="HV14">
        <v>168</v>
      </c>
      <c r="HW14">
        <v>168</v>
      </c>
      <c r="HX14">
        <v>88</v>
      </c>
      <c r="HY14">
        <v>88</v>
      </c>
      <c r="HZ14">
        <v>88</v>
      </c>
      <c r="IA14">
        <v>88</v>
      </c>
      <c r="IB14">
        <v>88</v>
      </c>
      <c r="IC14">
        <v>88</v>
      </c>
      <c r="ID14">
        <v>88</v>
      </c>
      <c r="IE14">
        <v>88</v>
      </c>
      <c r="IF14">
        <v>88</v>
      </c>
      <c r="IG14">
        <v>648</v>
      </c>
      <c r="IH14">
        <v>648</v>
      </c>
      <c r="II14">
        <v>648</v>
      </c>
      <c r="IJ14">
        <v>248</v>
      </c>
      <c r="IK14">
        <v>248</v>
      </c>
      <c r="IL14">
        <v>248</v>
      </c>
      <c r="IM14">
        <v>248</v>
      </c>
      <c r="IN14">
        <v>248</v>
      </c>
      <c r="IO14">
        <v>248</v>
      </c>
      <c r="IP14">
        <v>248</v>
      </c>
      <c r="IQ14">
        <v>248</v>
      </c>
      <c r="IR14">
        <v>248</v>
      </c>
      <c r="IS14">
        <v>248</v>
      </c>
      <c r="IT14">
        <v>248</v>
      </c>
      <c r="IU14">
        <v>88</v>
      </c>
      <c r="IV14">
        <v>88</v>
      </c>
      <c r="IW14">
        <v>88</v>
      </c>
      <c r="IX14">
        <v>88</v>
      </c>
      <c r="IY14">
        <v>88</v>
      </c>
      <c r="IZ14">
        <v>88</v>
      </c>
      <c r="JA14">
        <v>88</v>
      </c>
      <c r="JB14">
        <v>168</v>
      </c>
      <c r="JC14">
        <v>168</v>
      </c>
      <c r="JD14">
        <v>88</v>
      </c>
      <c r="JE14">
        <v>88</v>
      </c>
      <c r="JF14">
        <v>88</v>
      </c>
      <c r="JG14">
        <v>88</v>
      </c>
      <c r="JH14">
        <v>88</v>
      </c>
      <c r="JI14">
        <v>88</v>
      </c>
      <c r="JJ14">
        <v>88</v>
      </c>
      <c r="JK14">
        <v>88</v>
      </c>
      <c r="JL14">
        <v>88</v>
      </c>
      <c r="JM14">
        <v>1448</v>
      </c>
      <c r="JN14">
        <v>648</v>
      </c>
      <c r="JO14">
        <v>648</v>
      </c>
      <c r="JP14">
        <v>1480</v>
      </c>
      <c r="JQ14">
        <v>648</v>
      </c>
      <c r="JR14">
        <v>648</v>
      </c>
      <c r="JS14">
        <v>648</v>
      </c>
      <c r="JT14">
        <v>88</v>
      </c>
      <c r="JU14">
        <v>88</v>
      </c>
      <c r="JV14">
        <v>88</v>
      </c>
      <c r="JW14">
        <f t="shared" si="1"/>
        <v>88</v>
      </c>
      <c r="JY14">
        <v>88</v>
      </c>
      <c r="JZ14" s="42">
        <v>88</v>
      </c>
      <c r="KA14">
        <v>88</v>
      </c>
      <c r="KB14" s="42">
        <v>88</v>
      </c>
      <c r="KD14">
        <v>248</v>
      </c>
      <c r="KE14">
        <v>168</v>
      </c>
      <c r="KF14" s="42">
        <v>168</v>
      </c>
      <c r="KJ14" s="42">
        <f t="shared" si="3"/>
        <v>88</v>
      </c>
      <c r="KL14" s="42">
        <f t="shared" si="4"/>
        <v>88</v>
      </c>
      <c r="KM14" s="42">
        <f t="shared" si="4"/>
        <v>88</v>
      </c>
      <c r="KN14" s="42">
        <v>1288</v>
      </c>
      <c r="KO14" s="42">
        <v>1288</v>
      </c>
      <c r="KP14" s="42">
        <f t="shared" si="4"/>
        <v>88</v>
      </c>
      <c r="KQ14" s="42">
        <f t="shared" si="4"/>
        <v>88</v>
      </c>
      <c r="KR14" s="42">
        <v>1136</v>
      </c>
      <c r="KS14" s="42">
        <v>736</v>
      </c>
      <c r="KT14" s="42">
        <v>408</v>
      </c>
      <c r="KU14" s="42">
        <v>408</v>
      </c>
      <c r="KV14" s="42">
        <f t="shared" si="5"/>
        <v>88</v>
      </c>
      <c r="KW14" s="42">
        <f t="shared" si="5"/>
        <v>88</v>
      </c>
      <c r="KX14" s="42">
        <v>808</v>
      </c>
    </row>
    <row r="15" spans="1:310" x14ac:dyDescent="0.35">
      <c r="A15">
        <v>536</v>
      </c>
      <c r="B15">
        <v>536</v>
      </c>
      <c r="C15">
        <v>536</v>
      </c>
      <c r="D15">
        <v>96</v>
      </c>
      <c r="E15">
        <v>96</v>
      </c>
      <c r="F15">
        <v>96</v>
      </c>
      <c r="G15">
        <v>198</v>
      </c>
      <c r="H15">
        <v>198</v>
      </c>
      <c r="I15">
        <v>198</v>
      </c>
      <c r="K15">
        <v>96</v>
      </c>
      <c r="M15">
        <v>184</v>
      </c>
      <c r="N15">
        <v>184</v>
      </c>
      <c r="S15">
        <v>712</v>
      </c>
      <c r="T15">
        <v>712</v>
      </c>
      <c r="U15">
        <v>712</v>
      </c>
      <c r="W15">
        <v>96</v>
      </c>
      <c r="X15">
        <v>1344</v>
      </c>
      <c r="Y15">
        <v>96</v>
      </c>
      <c r="Z15">
        <v>96</v>
      </c>
      <c r="AA15">
        <v>96</v>
      </c>
      <c r="AB15">
        <v>272</v>
      </c>
      <c r="AC15">
        <v>272</v>
      </c>
      <c r="AD15">
        <v>272</v>
      </c>
      <c r="AE15">
        <v>360</v>
      </c>
      <c r="AG15">
        <v>360</v>
      </c>
      <c r="AH15">
        <v>96</v>
      </c>
      <c r="AI15">
        <v>96</v>
      </c>
      <c r="AJ15">
        <v>96</v>
      </c>
      <c r="AK15">
        <v>96</v>
      </c>
      <c r="AL15">
        <v>96</v>
      </c>
      <c r="AM15">
        <v>96</v>
      </c>
      <c r="AN15">
        <v>96</v>
      </c>
      <c r="AO15">
        <v>96</v>
      </c>
      <c r="AP15">
        <v>96</v>
      </c>
      <c r="AQ15">
        <v>96</v>
      </c>
      <c r="AR15">
        <v>96</v>
      </c>
      <c r="AW15">
        <v>96</v>
      </c>
      <c r="AX15">
        <v>96</v>
      </c>
      <c r="AY15">
        <v>112</v>
      </c>
      <c r="AZ15">
        <v>112</v>
      </c>
      <c r="BA15">
        <v>112</v>
      </c>
      <c r="BB15">
        <v>96</v>
      </c>
      <c r="BC15">
        <v>96</v>
      </c>
      <c r="BE15">
        <v>96</v>
      </c>
      <c r="BF15">
        <v>96</v>
      </c>
      <c r="BG15">
        <v>96</v>
      </c>
      <c r="BH15">
        <v>96</v>
      </c>
      <c r="BI15">
        <v>96</v>
      </c>
      <c r="BJ15">
        <v>96</v>
      </c>
      <c r="BK15">
        <v>184</v>
      </c>
      <c r="BL15">
        <v>184</v>
      </c>
      <c r="BM15">
        <v>184</v>
      </c>
      <c r="BN15">
        <v>96</v>
      </c>
      <c r="BO15">
        <v>96</v>
      </c>
      <c r="BP15">
        <v>96</v>
      </c>
      <c r="BQ15">
        <v>480</v>
      </c>
      <c r="BR15">
        <v>480</v>
      </c>
      <c r="BS15">
        <v>480</v>
      </c>
      <c r="BT15">
        <v>480</v>
      </c>
      <c r="BU15">
        <v>480</v>
      </c>
      <c r="BV15">
        <v>480</v>
      </c>
      <c r="BW15">
        <v>480</v>
      </c>
      <c r="BX15">
        <v>480</v>
      </c>
      <c r="BY15">
        <v>480</v>
      </c>
      <c r="BZ15">
        <v>1360</v>
      </c>
      <c r="CA15">
        <v>1360</v>
      </c>
      <c r="CB15">
        <v>1360</v>
      </c>
      <c r="CC15">
        <v>480</v>
      </c>
      <c r="CD15">
        <v>480</v>
      </c>
      <c r="CE15">
        <v>480</v>
      </c>
      <c r="CF15">
        <v>480</v>
      </c>
      <c r="CG15">
        <v>480</v>
      </c>
      <c r="CH15">
        <v>480</v>
      </c>
      <c r="CI15">
        <v>96</v>
      </c>
      <c r="CJ15">
        <v>96</v>
      </c>
      <c r="CK15">
        <v>96</v>
      </c>
      <c r="CL15">
        <v>448</v>
      </c>
      <c r="CM15">
        <v>448</v>
      </c>
      <c r="CN15">
        <v>448</v>
      </c>
      <c r="CO15">
        <v>448</v>
      </c>
      <c r="CP15">
        <v>448</v>
      </c>
      <c r="CQ15">
        <v>448</v>
      </c>
      <c r="CR15">
        <v>448</v>
      </c>
      <c r="CU15">
        <v>448</v>
      </c>
      <c r="CV15">
        <v>448</v>
      </c>
      <c r="CW15">
        <v>272</v>
      </c>
      <c r="CX15">
        <v>272</v>
      </c>
      <c r="CY15">
        <v>272</v>
      </c>
      <c r="CZ15">
        <v>536</v>
      </c>
      <c r="DA15">
        <v>536</v>
      </c>
      <c r="DB15">
        <v>536</v>
      </c>
      <c r="DC15">
        <v>272</v>
      </c>
      <c r="DD15">
        <v>272</v>
      </c>
      <c r="DE15">
        <v>272</v>
      </c>
      <c r="DF15">
        <v>448</v>
      </c>
      <c r="DG15">
        <v>448</v>
      </c>
      <c r="DH15">
        <v>448</v>
      </c>
      <c r="DY15">
        <v>96</v>
      </c>
      <c r="EB15">
        <v>272</v>
      </c>
      <c r="EC15">
        <v>272</v>
      </c>
      <c r="ED15">
        <v>272</v>
      </c>
      <c r="EE15">
        <v>336</v>
      </c>
      <c r="EF15">
        <v>336</v>
      </c>
      <c r="EG15">
        <v>336</v>
      </c>
      <c r="ES15">
        <v>416</v>
      </c>
      <c r="ET15">
        <v>272</v>
      </c>
      <c r="EU15">
        <v>272</v>
      </c>
      <c r="EV15">
        <v>176</v>
      </c>
      <c r="EW15">
        <v>176</v>
      </c>
      <c r="EX15">
        <v>176</v>
      </c>
      <c r="EY15">
        <v>176</v>
      </c>
      <c r="EZ15">
        <v>176</v>
      </c>
      <c r="FA15">
        <v>176</v>
      </c>
      <c r="FE15">
        <v>96</v>
      </c>
      <c r="FF15">
        <v>96</v>
      </c>
      <c r="FG15">
        <v>96</v>
      </c>
      <c r="FH15">
        <v>272</v>
      </c>
      <c r="FI15">
        <v>272</v>
      </c>
      <c r="FJ15">
        <v>272</v>
      </c>
      <c r="FL15">
        <v>272</v>
      </c>
      <c r="FM15">
        <v>272</v>
      </c>
      <c r="FN15">
        <v>184</v>
      </c>
      <c r="FO15">
        <v>184</v>
      </c>
      <c r="FP15">
        <v>184</v>
      </c>
      <c r="FR15">
        <v>144</v>
      </c>
      <c r="FS15">
        <v>96</v>
      </c>
      <c r="FT15">
        <v>360</v>
      </c>
      <c r="FU15">
        <v>360</v>
      </c>
      <c r="FV15">
        <v>360</v>
      </c>
      <c r="FX15">
        <v>96</v>
      </c>
      <c r="FY15">
        <v>96</v>
      </c>
      <c r="FZ15">
        <v>248</v>
      </c>
      <c r="GA15">
        <v>248</v>
      </c>
      <c r="GB15">
        <v>248</v>
      </c>
      <c r="GC15" s="43">
        <v>272</v>
      </c>
      <c r="GD15">
        <v>272</v>
      </c>
      <c r="GE15">
        <v>272</v>
      </c>
      <c r="GF15">
        <v>328</v>
      </c>
      <c r="GG15">
        <v>392</v>
      </c>
      <c r="GH15">
        <v>328</v>
      </c>
      <c r="GI15">
        <v>96</v>
      </c>
      <c r="GJ15">
        <v>184</v>
      </c>
      <c r="GK15">
        <v>184</v>
      </c>
      <c r="GL15">
        <v>184</v>
      </c>
      <c r="GM15">
        <v>184</v>
      </c>
      <c r="GN15">
        <v>184</v>
      </c>
      <c r="GO15">
        <v>184</v>
      </c>
      <c r="GP15">
        <v>96</v>
      </c>
      <c r="GQ15">
        <v>96</v>
      </c>
      <c r="GR15">
        <v>168</v>
      </c>
      <c r="GS15">
        <v>168</v>
      </c>
      <c r="GT15">
        <v>168</v>
      </c>
      <c r="GU15">
        <v>96</v>
      </c>
      <c r="GV15">
        <v>96</v>
      </c>
      <c r="GW15">
        <v>96</v>
      </c>
      <c r="GX15">
        <v>96</v>
      </c>
      <c r="GY15">
        <v>96</v>
      </c>
      <c r="GZ15">
        <v>96</v>
      </c>
      <c r="HA15">
        <v>176</v>
      </c>
      <c r="HB15">
        <v>176</v>
      </c>
      <c r="HC15">
        <v>176</v>
      </c>
      <c r="HD15">
        <v>176</v>
      </c>
      <c r="HE15">
        <v>176</v>
      </c>
      <c r="HF15">
        <v>256</v>
      </c>
      <c r="HG15">
        <v>256</v>
      </c>
      <c r="HH15">
        <v>256</v>
      </c>
      <c r="HI15">
        <v>256</v>
      </c>
      <c r="HJ15">
        <v>232</v>
      </c>
      <c r="HK15">
        <v>232</v>
      </c>
      <c r="HL15">
        <v>176</v>
      </c>
      <c r="HN15">
        <v>176</v>
      </c>
      <c r="HO15">
        <v>96</v>
      </c>
      <c r="HP15">
        <v>96</v>
      </c>
      <c r="HQ15">
        <v>96</v>
      </c>
      <c r="HR15">
        <v>96</v>
      </c>
      <c r="HS15">
        <v>96</v>
      </c>
      <c r="HT15">
        <v>96</v>
      </c>
      <c r="HU15">
        <v>184</v>
      </c>
      <c r="HV15">
        <v>184</v>
      </c>
      <c r="HW15">
        <v>184</v>
      </c>
      <c r="HX15">
        <v>96</v>
      </c>
      <c r="HY15">
        <v>96</v>
      </c>
      <c r="HZ15">
        <v>96</v>
      </c>
      <c r="IA15">
        <v>96</v>
      </c>
      <c r="IB15">
        <v>96</v>
      </c>
      <c r="IC15">
        <v>96</v>
      </c>
      <c r="ID15">
        <v>96</v>
      </c>
      <c r="IE15">
        <v>96</v>
      </c>
      <c r="IF15">
        <v>96</v>
      </c>
      <c r="IG15">
        <v>712</v>
      </c>
      <c r="IH15">
        <v>712</v>
      </c>
      <c r="II15">
        <v>712</v>
      </c>
      <c r="IJ15">
        <v>272</v>
      </c>
      <c r="IK15">
        <v>272</v>
      </c>
      <c r="IL15">
        <v>272</v>
      </c>
      <c r="IM15">
        <v>272</v>
      </c>
      <c r="IN15">
        <v>272</v>
      </c>
      <c r="IO15">
        <v>272</v>
      </c>
      <c r="IP15">
        <v>272</v>
      </c>
      <c r="IQ15">
        <v>272</v>
      </c>
      <c r="IR15">
        <v>272</v>
      </c>
      <c r="IS15">
        <v>272</v>
      </c>
      <c r="IT15">
        <v>272</v>
      </c>
      <c r="IU15">
        <v>96</v>
      </c>
      <c r="IV15">
        <v>96</v>
      </c>
      <c r="IW15">
        <v>96</v>
      </c>
      <c r="IX15">
        <v>96</v>
      </c>
      <c r="IY15">
        <v>96</v>
      </c>
      <c r="IZ15">
        <v>96</v>
      </c>
      <c r="JA15">
        <v>96</v>
      </c>
      <c r="JB15">
        <v>184</v>
      </c>
      <c r="JC15">
        <v>184</v>
      </c>
      <c r="JD15">
        <v>96</v>
      </c>
      <c r="JE15">
        <v>96</v>
      </c>
      <c r="JF15">
        <v>96</v>
      </c>
      <c r="JG15">
        <v>96</v>
      </c>
      <c r="JH15">
        <v>96</v>
      </c>
      <c r="JI15">
        <v>96</v>
      </c>
      <c r="JJ15">
        <v>96</v>
      </c>
      <c r="JK15">
        <v>96</v>
      </c>
      <c r="JL15">
        <v>96</v>
      </c>
      <c r="JM15">
        <v>1608</v>
      </c>
      <c r="JN15">
        <v>712</v>
      </c>
      <c r="JO15">
        <v>712</v>
      </c>
      <c r="JP15">
        <v>1672</v>
      </c>
      <c r="JQ15">
        <v>712</v>
      </c>
      <c r="JR15">
        <v>712</v>
      </c>
      <c r="JS15">
        <v>712</v>
      </c>
      <c r="JT15">
        <v>96</v>
      </c>
      <c r="JU15">
        <v>96</v>
      </c>
      <c r="JV15">
        <v>96</v>
      </c>
      <c r="JW15">
        <f t="shared" si="1"/>
        <v>96</v>
      </c>
      <c r="JY15">
        <v>96</v>
      </c>
      <c r="JZ15" s="42">
        <v>96</v>
      </c>
      <c r="KA15">
        <v>96</v>
      </c>
      <c r="KB15" s="42">
        <v>96</v>
      </c>
      <c r="KD15">
        <v>272</v>
      </c>
      <c r="KE15">
        <v>184</v>
      </c>
      <c r="KF15" s="42">
        <v>184</v>
      </c>
      <c r="KJ15" s="42">
        <f t="shared" si="3"/>
        <v>96</v>
      </c>
      <c r="KL15" s="42">
        <f t="shared" si="4"/>
        <v>96</v>
      </c>
      <c r="KM15" s="42">
        <f t="shared" si="4"/>
        <v>96</v>
      </c>
      <c r="KN15" s="42">
        <v>1448</v>
      </c>
      <c r="KO15" s="42">
        <v>1448</v>
      </c>
      <c r="KP15" s="42">
        <f t="shared" si="4"/>
        <v>96</v>
      </c>
      <c r="KQ15" s="42">
        <f t="shared" si="4"/>
        <v>96</v>
      </c>
      <c r="KR15" s="42">
        <v>1216</v>
      </c>
      <c r="KS15" s="42">
        <v>816</v>
      </c>
      <c r="KT15" s="42">
        <v>448</v>
      </c>
      <c r="KU15" s="42">
        <v>448</v>
      </c>
      <c r="KV15" s="42">
        <f t="shared" si="5"/>
        <v>96</v>
      </c>
      <c r="KW15" s="42">
        <f t="shared" si="5"/>
        <v>96</v>
      </c>
      <c r="KX15" s="42">
        <v>888</v>
      </c>
    </row>
    <row r="16" spans="1:310" x14ac:dyDescent="0.35">
      <c r="A16">
        <v>584</v>
      </c>
      <c r="B16">
        <v>584</v>
      </c>
      <c r="C16">
        <v>584</v>
      </c>
      <c r="D16">
        <v>104</v>
      </c>
      <c r="E16">
        <v>104</v>
      </c>
      <c r="F16">
        <v>104</v>
      </c>
      <c r="G16">
        <v>214</v>
      </c>
      <c r="H16">
        <v>214</v>
      </c>
      <c r="I16">
        <v>214</v>
      </c>
      <c r="K16">
        <v>104</v>
      </c>
      <c r="M16">
        <v>200</v>
      </c>
      <c r="N16">
        <v>200</v>
      </c>
      <c r="S16">
        <v>776</v>
      </c>
      <c r="T16">
        <v>776</v>
      </c>
      <c r="U16">
        <v>776</v>
      </c>
      <c r="W16">
        <v>104</v>
      </c>
      <c r="X16">
        <v>1456</v>
      </c>
      <c r="Y16">
        <v>104</v>
      </c>
      <c r="Z16">
        <v>104</v>
      </c>
      <c r="AA16">
        <v>104</v>
      </c>
      <c r="AB16">
        <v>296</v>
      </c>
      <c r="AC16">
        <v>296</v>
      </c>
      <c r="AD16">
        <v>296</v>
      </c>
      <c r="AE16">
        <v>392</v>
      </c>
      <c r="AG16">
        <v>392</v>
      </c>
      <c r="AH16">
        <v>104</v>
      </c>
      <c r="AI16">
        <v>104</v>
      </c>
      <c r="AJ16">
        <v>104</v>
      </c>
      <c r="AK16">
        <v>104</v>
      </c>
      <c r="AL16">
        <v>104</v>
      </c>
      <c r="AM16">
        <v>104</v>
      </c>
      <c r="AN16">
        <v>104</v>
      </c>
      <c r="AO16">
        <v>104</v>
      </c>
      <c r="AP16">
        <v>104</v>
      </c>
      <c r="AQ16">
        <v>104</v>
      </c>
      <c r="AR16">
        <v>104</v>
      </c>
      <c r="AW16">
        <v>104</v>
      </c>
      <c r="AX16">
        <v>104</v>
      </c>
      <c r="AY16">
        <v>120</v>
      </c>
      <c r="AZ16">
        <v>120</v>
      </c>
      <c r="BA16">
        <v>120</v>
      </c>
      <c r="BB16">
        <v>104</v>
      </c>
      <c r="BC16">
        <v>104</v>
      </c>
      <c r="BE16">
        <v>104</v>
      </c>
      <c r="BF16">
        <v>104</v>
      </c>
      <c r="BG16">
        <v>104</v>
      </c>
      <c r="BH16">
        <v>104</v>
      </c>
      <c r="BI16">
        <v>104</v>
      </c>
      <c r="BJ16">
        <v>104</v>
      </c>
      <c r="BK16">
        <v>200</v>
      </c>
      <c r="BL16">
        <v>200</v>
      </c>
      <c r="BM16">
        <v>200</v>
      </c>
      <c r="BN16">
        <v>104</v>
      </c>
      <c r="BO16">
        <v>104</v>
      </c>
      <c r="BP16">
        <v>104</v>
      </c>
      <c r="BQ16">
        <v>520</v>
      </c>
      <c r="BR16">
        <v>520</v>
      </c>
      <c r="BS16">
        <v>520</v>
      </c>
      <c r="BT16">
        <v>520</v>
      </c>
      <c r="BU16">
        <v>520</v>
      </c>
      <c r="BV16">
        <v>520</v>
      </c>
      <c r="BW16">
        <v>520</v>
      </c>
      <c r="BX16">
        <v>520</v>
      </c>
      <c r="BY16">
        <v>520</v>
      </c>
      <c r="BZ16">
        <v>1480</v>
      </c>
      <c r="CA16">
        <v>1480</v>
      </c>
      <c r="CB16">
        <v>1480</v>
      </c>
      <c r="CC16">
        <v>520</v>
      </c>
      <c r="CD16">
        <v>520</v>
      </c>
      <c r="CE16">
        <v>520</v>
      </c>
      <c r="CF16">
        <v>520</v>
      </c>
      <c r="CG16">
        <v>520</v>
      </c>
      <c r="CH16">
        <v>520</v>
      </c>
      <c r="CI16">
        <v>104</v>
      </c>
      <c r="CJ16">
        <v>104</v>
      </c>
      <c r="CK16">
        <v>104</v>
      </c>
      <c r="CL16">
        <v>488</v>
      </c>
      <c r="CM16">
        <v>488</v>
      </c>
      <c r="CN16">
        <v>488</v>
      </c>
      <c r="CO16">
        <v>488</v>
      </c>
      <c r="CP16">
        <v>488</v>
      </c>
      <c r="CQ16">
        <v>488</v>
      </c>
      <c r="CR16">
        <v>488</v>
      </c>
      <c r="CU16">
        <v>488</v>
      </c>
      <c r="CV16">
        <v>488</v>
      </c>
      <c r="CX16">
        <v>296</v>
      </c>
      <c r="CY16">
        <v>296</v>
      </c>
      <c r="CZ16">
        <v>584</v>
      </c>
      <c r="DA16">
        <v>584</v>
      </c>
      <c r="DB16">
        <v>584</v>
      </c>
      <c r="DC16">
        <v>296</v>
      </c>
      <c r="DD16">
        <v>296</v>
      </c>
      <c r="DE16">
        <v>296</v>
      </c>
      <c r="DF16">
        <v>488</v>
      </c>
      <c r="DG16">
        <v>488</v>
      </c>
      <c r="DH16">
        <v>488</v>
      </c>
      <c r="DY16">
        <v>104</v>
      </c>
      <c r="EB16">
        <v>296</v>
      </c>
      <c r="EC16">
        <v>296</v>
      </c>
      <c r="ED16">
        <v>296</v>
      </c>
      <c r="EE16">
        <v>368</v>
      </c>
      <c r="EF16">
        <v>368</v>
      </c>
      <c r="EG16">
        <v>368</v>
      </c>
      <c r="ES16">
        <v>440</v>
      </c>
      <c r="ET16">
        <v>296</v>
      </c>
      <c r="EU16">
        <v>296</v>
      </c>
      <c r="EV16">
        <v>192</v>
      </c>
      <c r="EW16">
        <v>192</v>
      </c>
      <c r="EX16">
        <v>192</v>
      </c>
      <c r="EY16">
        <v>192</v>
      </c>
      <c r="EZ16">
        <v>192</v>
      </c>
      <c r="FA16">
        <v>192</v>
      </c>
      <c r="FE16">
        <v>104</v>
      </c>
      <c r="FF16">
        <v>104</v>
      </c>
      <c r="FG16">
        <v>104</v>
      </c>
      <c r="FH16">
        <v>296</v>
      </c>
      <c r="FI16">
        <v>296</v>
      </c>
      <c r="FJ16">
        <v>296</v>
      </c>
      <c r="FL16">
        <v>296</v>
      </c>
      <c r="FM16">
        <v>296</v>
      </c>
      <c r="FN16">
        <v>200</v>
      </c>
      <c r="FO16">
        <v>200</v>
      </c>
      <c r="FP16">
        <v>200</v>
      </c>
      <c r="FR16">
        <v>152</v>
      </c>
      <c r="FS16">
        <v>104</v>
      </c>
      <c r="FT16">
        <v>392</v>
      </c>
      <c r="FU16">
        <v>392</v>
      </c>
      <c r="FV16">
        <v>392</v>
      </c>
      <c r="FX16">
        <v>104</v>
      </c>
      <c r="FY16">
        <v>104</v>
      </c>
      <c r="FZ16">
        <v>272</v>
      </c>
      <c r="GA16">
        <v>272</v>
      </c>
      <c r="GB16">
        <v>272</v>
      </c>
      <c r="GC16" s="43">
        <v>296</v>
      </c>
      <c r="GD16">
        <v>296</v>
      </c>
      <c r="GE16">
        <v>296</v>
      </c>
      <c r="GF16">
        <v>360</v>
      </c>
      <c r="GG16">
        <v>424</v>
      </c>
      <c r="GH16">
        <v>360</v>
      </c>
      <c r="GI16">
        <v>104</v>
      </c>
      <c r="GJ16">
        <v>200</v>
      </c>
      <c r="GK16">
        <v>200</v>
      </c>
      <c r="GL16">
        <v>200</v>
      </c>
      <c r="GM16">
        <v>200</v>
      </c>
      <c r="GN16">
        <v>200</v>
      </c>
      <c r="GO16">
        <v>200</v>
      </c>
      <c r="GP16">
        <v>104</v>
      </c>
      <c r="GQ16">
        <v>104</v>
      </c>
      <c r="GR16">
        <v>184</v>
      </c>
      <c r="GS16">
        <v>184</v>
      </c>
      <c r="GT16">
        <v>184</v>
      </c>
      <c r="GU16">
        <v>104</v>
      </c>
      <c r="GV16">
        <v>104</v>
      </c>
      <c r="GW16">
        <v>104</v>
      </c>
      <c r="GX16">
        <v>104</v>
      </c>
      <c r="GY16">
        <v>104</v>
      </c>
      <c r="GZ16">
        <v>104</v>
      </c>
      <c r="HA16">
        <v>192</v>
      </c>
      <c r="HB16">
        <v>192</v>
      </c>
      <c r="HC16">
        <v>192</v>
      </c>
      <c r="HD16">
        <v>192</v>
      </c>
      <c r="HE16">
        <v>192</v>
      </c>
      <c r="HF16">
        <v>280</v>
      </c>
      <c r="HG16">
        <v>280</v>
      </c>
      <c r="HH16">
        <v>280</v>
      </c>
      <c r="HI16">
        <v>280</v>
      </c>
      <c r="HJ16">
        <v>256</v>
      </c>
      <c r="HK16">
        <v>256</v>
      </c>
      <c r="HL16">
        <v>192</v>
      </c>
      <c r="HO16">
        <v>104</v>
      </c>
      <c r="HP16">
        <v>104</v>
      </c>
      <c r="HQ16">
        <v>104</v>
      </c>
      <c r="HR16">
        <v>104</v>
      </c>
      <c r="HS16">
        <v>104</v>
      </c>
      <c r="HT16">
        <v>104</v>
      </c>
      <c r="HU16">
        <v>200</v>
      </c>
      <c r="HV16">
        <v>200</v>
      </c>
      <c r="HW16">
        <v>200</v>
      </c>
      <c r="HX16">
        <v>104</v>
      </c>
      <c r="HY16">
        <v>104</v>
      </c>
      <c r="HZ16">
        <v>104</v>
      </c>
      <c r="IA16">
        <v>104</v>
      </c>
      <c r="IB16">
        <v>104</v>
      </c>
      <c r="IC16">
        <v>104</v>
      </c>
      <c r="ID16">
        <v>104</v>
      </c>
      <c r="IE16">
        <v>104</v>
      </c>
      <c r="IF16">
        <v>104</v>
      </c>
      <c r="IG16">
        <v>776</v>
      </c>
      <c r="IH16">
        <v>776</v>
      </c>
      <c r="II16">
        <v>776</v>
      </c>
      <c r="IJ16">
        <v>296</v>
      </c>
      <c r="IK16">
        <v>296</v>
      </c>
      <c r="IL16">
        <v>296</v>
      </c>
      <c r="IM16">
        <v>296</v>
      </c>
      <c r="IN16">
        <v>296</v>
      </c>
      <c r="IO16">
        <v>296</v>
      </c>
      <c r="IP16">
        <v>296</v>
      </c>
      <c r="IQ16">
        <v>296</v>
      </c>
      <c r="IR16">
        <v>296</v>
      </c>
      <c r="IS16">
        <v>296</v>
      </c>
      <c r="IT16">
        <v>296</v>
      </c>
      <c r="IU16">
        <v>104</v>
      </c>
      <c r="IV16">
        <v>104</v>
      </c>
      <c r="IW16">
        <v>104</v>
      </c>
      <c r="IX16">
        <v>104</v>
      </c>
      <c r="IY16">
        <v>104</v>
      </c>
      <c r="IZ16">
        <v>104</v>
      </c>
      <c r="JA16">
        <v>104</v>
      </c>
      <c r="JB16">
        <v>200</v>
      </c>
      <c r="JC16">
        <v>200</v>
      </c>
      <c r="JD16">
        <v>104</v>
      </c>
      <c r="JE16">
        <v>104</v>
      </c>
      <c r="JF16">
        <v>104</v>
      </c>
      <c r="JG16">
        <v>104</v>
      </c>
      <c r="JH16">
        <v>104</v>
      </c>
      <c r="JI16">
        <v>104</v>
      </c>
      <c r="JJ16">
        <v>104</v>
      </c>
      <c r="JK16">
        <v>104</v>
      </c>
      <c r="JL16">
        <v>104</v>
      </c>
      <c r="JM16">
        <v>1768</v>
      </c>
      <c r="JN16">
        <v>776</v>
      </c>
      <c r="JO16">
        <v>776</v>
      </c>
      <c r="JP16">
        <v>1736</v>
      </c>
      <c r="JQ16">
        <v>776</v>
      </c>
      <c r="JR16">
        <v>776</v>
      </c>
      <c r="JS16">
        <v>776</v>
      </c>
      <c r="JT16">
        <v>104</v>
      </c>
      <c r="JU16">
        <v>104</v>
      </c>
      <c r="JV16">
        <v>104</v>
      </c>
      <c r="JW16">
        <f t="shared" si="1"/>
        <v>104</v>
      </c>
      <c r="JY16">
        <v>104</v>
      </c>
      <c r="JZ16" s="42">
        <v>104</v>
      </c>
      <c r="KA16">
        <v>104</v>
      </c>
      <c r="KB16" s="42">
        <v>104</v>
      </c>
      <c r="KD16">
        <v>296</v>
      </c>
      <c r="KE16">
        <v>200</v>
      </c>
      <c r="KF16" s="42">
        <v>200</v>
      </c>
      <c r="KL16" s="42">
        <f t="shared" si="4"/>
        <v>104</v>
      </c>
      <c r="KM16" s="42">
        <f t="shared" si="4"/>
        <v>104</v>
      </c>
      <c r="KN16" s="42">
        <v>1608</v>
      </c>
      <c r="KO16" s="42">
        <v>1608</v>
      </c>
      <c r="KP16" s="42">
        <f t="shared" si="4"/>
        <v>104</v>
      </c>
      <c r="KQ16" s="42">
        <f t="shared" si="4"/>
        <v>104</v>
      </c>
      <c r="KR16" s="42">
        <v>1296</v>
      </c>
      <c r="KS16" s="42">
        <v>896</v>
      </c>
      <c r="KT16" s="42">
        <v>488</v>
      </c>
      <c r="KU16" s="42">
        <v>488</v>
      </c>
      <c r="KV16" s="42">
        <f t="shared" si="5"/>
        <v>104</v>
      </c>
      <c r="KW16" s="42">
        <f t="shared" si="5"/>
        <v>104</v>
      </c>
      <c r="KX16" s="42">
        <v>968</v>
      </c>
    </row>
    <row r="17" spans="1:310" x14ac:dyDescent="0.35">
      <c r="A17">
        <v>680</v>
      </c>
      <c r="D17">
        <v>112</v>
      </c>
      <c r="E17">
        <v>112</v>
      </c>
      <c r="F17">
        <v>112</v>
      </c>
      <c r="G17">
        <v>230</v>
      </c>
      <c r="H17">
        <v>230</v>
      </c>
      <c r="I17">
        <v>230</v>
      </c>
      <c r="M17">
        <v>216</v>
      </c>
      <c r="N17">
        <v>216</v>
      </c>
      <c r="S17">
        <v>840</v>
      </c>
      <c r="T17">
        <v>840</v>
      </c>
      <c r="U17">
        <v>840</v>
      </c>
      <c r="X17">
        <v>1568</v>
      </c>
      <c r="Y17">
        <v>112</v>
      </c>
      <c r="Z17">
        <v>112</v>
      </c>
      <c r="AA17">
        <v>112</v>
      </c>
      <c r="AB17">
        <v>320</v>
      </c>
      <c r="AC17">
        <v>320</v>
      </c>
      <c r="AD17">
        <v>320</v>
      </c>
      <c r="AE17">
        <v>424</v>
      </c>
      <c r="AG17">
        <v>424</v>
      </c>
      <c r="AH17">
        <v>112</v>
      </c>
      <c r="AI17">
        <v>112</v>
      </c>
      <c r="AJ17">
        <v>112</v>
      </c>
      <c r="AK17">
        <v>112</v>
      </c>
      <c r="AL17">
        <v>112</v>
      </c>
      <c r="AM17">
        <v>112</v>
      </c>
      <c r="AN17">
        <v>112</v>
      </c>
      <c r="AO17">
        <v>112</v>
      </c>
      <c r="AP17">
        <v>112</v>
      </c>
      <c r="AQ17">
        <v>112</v>
      </c>
      <c r="AR17">
        <v>112</v>
      </c>
      <c r="AW17">
        <v>112</v>
      </c>
      <c r="AX17">
        <v>112</v>
      </c>
      <c r="AY17">
        <v>128</v>
      </c>
      <c r="AZ17">
        <v>128</v>
      </c>
      <c r="BA17">
        <v>128</v>
      </c>
      <c r="BB17">
        <v>112</v>
      </c>
      <c r="BC17">
        <v>112</v>
      </c>
      <c r="BE17">
        <v>112</v>
      </c>
      <c r="BF17">
        <v>112</v>
      </c>
      <c r="BG17">
        <v>112</v>
      </c>
      <c r="BH17">
        <v>112</v>
      </c>
      <c r="BI17">
        <v>112</v>
      </c>
      <c r="BJ17">
        <v>112</v>
      </c>
      <c r="BK17">
        <v>216</v>
      </c>
      <c r="BL17">
        <v>216</v>
      </c>
      <c r="BM17">
        <v>216</v>
      </c>
      <c r="BN17">
        <v>112</v>
      </c>
      <c r="BO17">
        <v>112</v>
      </c>
      <c r="BP17">
        <v>112</v>
      </c>
      <c r="BQ17">
        <v>560</v>
      </c>
      <c r="BR17">
        <v>560</v>
      </c>
      <c r="BS17">
        <v>560</v>
      </c>
      <c r="BT17">
        <v>560</v>
      </c>
      <c r="BU17">
        <v>560</v>
      </c>
      <c r="BV17">
        <v>560</v>
      </c>
      <c r="BW17">
        <v>560</v>
      </c>
      <c r="BX17">
        <v>560</v>
      </c>
      <c r="BY17">
        <v>560</v>
      </c>
      <c r="BZ17">
        <v>1600</v>
      </c>
      <c r="CA17">
        <v>1600</v>
      </c>
      <c r="CB17">
        <v>1600</v>
      </c>
      <c r="CC17">
        <v>560</v>
      </c>
      <c r="CD17">
        <v>560</v>
      </c>
      <c r="CE17">
        <v>560</v>
      </c>
      <c r="CF17">
        <v>560</v>
      </c>
      <c r="CG17">
        <v>560</v>
      </c>
      <c r="CH17">
        <v>560</v>
      </c>
      <c r="CI17">
        <v>112</v>
      </c>
      <c r="CJ17">
        <v>112</v>
      </c>
      <c r="CK17">
        <v>112</v>
      </c>
      <c r="CL17">
        <v>528</v>
      </c>
      <c r="CM17">
        <v>528</v>
      </c>
      <c r="CN17">
        <v>528</v>
      </c>
      <c r="CO17">
        <v>528</v>
      </c>
      <c r="CP17">
        <v>528</v>
      </c>
      <c r="CQ17">
        <v>528</v>
      </c>
      <c r="CU17">
        <v>528</v>
      </c>
      <c r="CV17">
        <v>528</v>
      </c>
      <c r="CX17">
        <v>320</v>
      </c>
      <c r="CY17">
        <v>320</v>
      </c>
      <c r="CZ17">
        <v>632</v>
      </c>
      <c r="DA17">
        <v>632</v>
      </c>
      <c r="DB17">
        <v>632</v>
      </c>
      <c r="DC17">
        <v>320</v>
      </c>
      <c r="DD17">
        <v>320</v>
      </c>
      <c r="DE17">
        <v>320</v>
      </c>
      <c r="DF17">
        <v>528</v>
      </c>
      <c r="DG17">
        <v>528</v>
      </c>
      <c r="DH17">
        <v>528</v>
      </c>
      <c r="DY17">
        <v>112</v>
      </c>
      <c r="EB17">
        <v>320</v>
      </c>
      <c r="EC17">
        <v>320</v>
      </c>
      <c r="ED17">
        <v>320</v>
      </c>
      <c r="EE17">
        <v>400</v>
      </c>
      <c r="EF17">
        <v>400</v>
      </c>
      <c r="EG17">
        <v>400</v>
      </c>
      <c r="ES17">
        <v>464</v>
      </c>
      <c r="ET17">
        <v>320</v>
      </c>
      <c r="EU17">
        <v>320</v>
      </c>
      <c r="EV17">
        <v>208</v>
      </c>
      <c r="EW17">
        <v>208</v>
      </c>
      <c r="EX17">
        <v>208</v>
      </c>
      <c r="EY17">
        <v>208</v>
      </c>
      <c r="EZ17">
        <v>208</v>
      </c>
      <c r="FA17">
        <v>208</v>
      </c>
      <c r="FE17">
        <v>112</v>
      </c>
      <c r="FF17">
        <v>112</v>
      </c>
      <c r="FG17">
        <v>112</v>
      </c>
      <c r="FH17">
        <v>320</v>
      </c>
      <c r="FI17">
        <v>320</v>
      </c>
      <c r="FJ17">
        <v>320</v>
      </c>
      <c r="FL17">
        <v>320</v>
      </c>
      <c r="FM17">
        <v>320</v>
      </c>
      <c r="FN17">
        <v>216</v>
      </c>
      <c r="FO17">
        <v>216</v>
      </c>
      <c r="FP17">
        <v>216</v>
      </c>
      <c r="FR17">
        <v>160</v>
      </c>
      <c r="FS17">
        <v>112</v>
      </c>
      <c r="FT17">
        <v>424</v>
      </c>
      <c r="FU17">
        <v>424</v>
      </c>
      <c r="FX17">
        <v>112</v>
      </c>
      <c r="FY17">
        <v>112</v>
      </c>
      <c r="FZ17">
        <v>296</v>
      </c>
      <c r="GA17">
        <v>296</v>
      </c>
      <c r="GB17">
        <v>296</v>
      </c>
      <c r="GC17" s="43">
        <v>320</v>
      </c>
      <c r="GD17">
        <v>320</v>
      </c>
      <c r="GE17">
        <v>320</v>
      </c>
      <c r="GF17">
        <v>392</v>
      </c>
      <c r="GG17">
        <v>456</v>
      </c>
      <c r="GH17">
        <v>392</v>
      </c>
      <c r="GI17">
        <v>112</v>
      </c>
      <c r="GJ17">
        <v>216</v>
      </c>
      <c r="GM17">
        <v>216</v>
      </c>
      <c r="GN17">
        <v>216</v>
      </c>
      <c r="GO17">
        <v>216</v>
      </c>
      <c r="GP17">
        <v>112</v>
      </c>
      <c r="GQ17">
        <v>112</v>
      </c>
      <c r="GR17">
        <v>200</v>
      </c>
      <c r="GT17">
        <v>200</v>
      </c>
      <c r="GU17">
        <v>112</v>
      </c>
      <c r="GV17">
        <v>112</v>
      </c>
      <c r="GW17">
        <v>112</v>
      </c>
      <c r="GX17">
        <v>112</v>
      </c>
      <c r="GY17">
        <v>112</v>
      </c>
      <c r="GZ17">
        <v>112</v>
      </c>
      <c r="HA17">
        <v>208</v>
      </c>
      <c r="HB17">
        <v>208</v>
      </c>
      <c r="HC17">
        <v>208</v>
      </c>
      <c r="HD17">
        <v>208</v>
      </c>
      <c r="HE17">
        <v>208</v>
      </c>
      <c r="HF17">
        <v>304</v>
      </c>
      <c r="HG17">
        <v>304</v>
      </c>
      <c r="HH17">
        <v>304</v>
      </c>
      <c r="HI17">
        <v>304</v>
      </c>
      <c r="HJ17">
        <v>280</v>
      </c>
      <c r="HK17">
        <v>280</v>
      </c>
      <c r="HL17">
        <v>208</v>
      </c>
      <c r="HO17">
        <v>112</v>
      </c>
      <c r="HP17">
        <v>112</v>
      </c>
      <c r="HQ17">
        <v>112</v>
      </c>
      <c r="HR17">
        <v>112</v>
      </c>
      <c r="HS17">
        <v>112</v>
      </c>
      <c r="HT17">
        <v>112</v>
      </c>
      <c r="HU17">
        <v>216</v>
      </c>
      <c r="HV17">
        <v>216</v>
      </c>
      <c r="HW17">
        <v>216</v>
      </c>
      <c r="HX17">
        <v>112</v>
      </c>
      <c r="HY17">
        <v>112</v>
      </c>
      <c r="HZ17">
        <v>112</v>
      </c>
      <c r="IA17">
        <v>112</v>
      </c>
      <c r="IB17">
        <v>112</v>
      </c>
      <c r="IC17">
        <v>112</v>
      </c>
      <c r="ID17">
        <v>112</v>
      </c>
      <c r="IE17">
        <v>112</v>
      </c>
      <c r="IF17">
        <v>112</v>
      </c>
      <c r="IG17">
        <v>840</v>
      </c>
      <c r="IH17">
        <v>840</v>
      </c>
      <c r="II17">
        <v>840</v>
      </c>
      <c r="IJ17">
        <v>320</v>
      </c>
      <c r="IK17">
        <v>320</v>
      </c>
      <c r="IL17">
        <v>320</v>
      </c>
      <c r="IM17">
        <v>320</v>
      </c>
      <c r="IN17">
        <v>320</v>
      </c>
      <c r="IO17">
        <v>320</v>
      </c>
      <c r="IP17">
        <v>320</v>
      </c>
      <c r="IQ17">
        <v>320</v>
      </c>
      <c r="IR17">
        <v>320</v>
      </c>
      <c r="IS17">
        <v>320</v>
      </c>
      <c r="IT17">
        <v>320</v>
      </c>
      <c r="IU17">
        <v>112</v>
      </c>
      <c r="IV17">
        <v>112</v>
      </c>
      <c r="IW17">
        <v>112</v>
      </c>
      <c r="IX17">
        <v>112</v>
      </c>
      <c r="IY17">
        <v>112</v>
      </c>
      <c r="IZ17">
        <v>112</v>
      </c>
      <c r="JA17">
        <v>112</v>
      </c>
      <c r="JB17">
        <v>216</v>
      </c>
      <c r="JC17">
        <v>216</v>
      </c>
      <c r="JD17">
        <v>112</v>
      </c>
      <c r="JE17">
        <v>112</v>
      </c>
      <c r="JF17">
        <v>112</v>
      </c>
      <c r="JG17">
        <v>112</v>
      </c>
      <c r="JH17">
        <v>112</v>
      </c>
      <c r="JI17">
        <v>112</v>
      </c>
      <c r="JJ17">
        <v>112</v>
      </c>
      <c r="JK17">
        <v>112</v>
      </c>
      <c r="JL17">
        <v>112</v>
      </c>
      <c r="JM17">
        <v>1928</v>
      </c>
      <c r="JO17">
        <v>840</v>
      </c>
      <c r="JQ17">
        <v>840</v>
      </c>
      <c r="JR17">
        <v>840</v>
      </c>
      <c r="JS17">
        <v>840</v>
      </c>
      <c r="JT17">
        <v>112</v>
      </c>
      <c r="JU17">
        <v>112</v>
      </c>
      <c r="JV17">
        <v>112</v>
      </c>
      <c r="JW17">
        <f t="shared" si="1"/>
        <v>112</v>
      </c>
      <c r="JY17">
        <v>112</v>
      </c>
      <c r="JZ17" s="42">
        <v>112</v>
      </c>
      <c r="KA17">
        <v>112</v>
      </c>
      <c r="KB17" s="42">
        <v>112</v>
      </c>
      <c r="KD17">
        <v>320</v>
      </c>
      <c r="KE17">
        <v>216</v>
      </c>
      <c r="KF17" s="42">
        <v>216</v>
      </c>
      <c r="KL17" s="42">
        <f t="shared" si="4"/>
        <v>112</v>
      </c>
      <c r="KM17" s="42">
        <f t="shared" si="4"/>
        <v>112</v>
      </c>
      <c r="KN17" s="42">
        <v>1768</v>
      </c>
      <c r="KO17" s="42">
        <v>1768</v>
      </c>
      <c r="KP17" s="42">
        <f t="shared" si="4"/>
        <v>112</v>
      </c>
      <c r="KQ17" s="42">
        <f t="shared" si="4"/>
        <v>112</v>
      </c>
      <c r="KR17" s="42">
        <v>1376</v>
      </c>
      <c r="KS17" s="42">
        <v>976</v>
      </c>
      <c r="KT17" s="42">
        <v>528</v>
      </c>
      <c r="KU17" s="42">
        <v>528</v>
      </c>
      <c r="KV17" s="42">
        <f t="shared" si="5"/>
        <v>112</v>
      </c>
      <c r="KW17" s="42">
        <f t="shared" si="5"/>
        <v>112</v>
      </c>
      <c r="KX17" s="42">
        <v>1048</v>
      </c>
    </row>
    <row r="18" spans="1:310" x14ac:dyDescent="0.35">
      <c r="A18">
        <v>728</v>
      </c>
      <c r="D18">
        <v>120</v>
      </c>
      <c r="E18">
        <v>120</v>
      </c>
      <c r="F18">
        <v>120</v>
      </c>
      <c r="G18">
        <v>246</v>
      </c>
      <c r="H18">
        <v>246</v>
      </c>
      <c r="I18">
        <v>246</v>
      </c>
      <c r="M18">
        <v>232</v>
      </c>
      <c r="N18">
        <v>232</v>
      </c>
      <c r="S18">
        <v>904</v>
      </c>
      <c r="T18">
        <v>904</v>
      </c>
      <c r="U18">
        <v>904</v>
      </c>
      <c r="X18">
        <v>1680</v>
      </c>
      <c r="Y18">
        <v>120</v>
      </c>
      <c r="Z18">
        <v>120</v>
      </c>
      <c r="AA18">
        <v>120</v>
      </c>
      <c r="AB18">
        <v>344</v>
      </c>
      <c r="AC18">
        <v>344</v>
      </c>
      <c r="AD18">
        <v>344</v>
      </c>
      <c r="AE18">
        <v>456</v>
      </c>
      <c r="AH18">
        <v>120</v>
      </c>
      <c r="AI18">
        <v>120</v>
      </c>
      <c r="AJ18">
        <v>120</v>
      </c>
      <c r="AK18">
        <v>120</v>
      </c>
      <c r="AL18">
        <v>120</v>
      </c>
      <c r="AM18">
        <v>120</v>
      </c>
      <c r="AN18">
        <v>120</v>
      </c>
      <c r="AO18">
        <v>120</v>
      </c>
      <c r="AP18">
        <v>120</v>
      </c>
      <c r="AQ18">
        <v>120</v>
      </c>
      <c r="AR18">
        <v>120</v>
      </c>
      <c r="AW18">
        <v>120</v>
      </c>
      <c r="AX18">
        <v>120</v>
      </c>
      <c r="AY18">
        <v>136</v>
      </c>
      <c r="AZ18">
        <v>136</v>
      </c>
      <c r="BA18">
        <v>136</v>
      </c>
      <c r="BB18">
        <v>120</v>
      </c>
      <c r="BC18">
        <v>120</v>
      </c>
      <c r="BE18">
        <v>120</v>
      </c>
      <c r="BF18">
        <v>120</v>
      </c>
      <c r="BG18">
        <v>120</v>
      </c>
      <c r="BH18">
        <v>120</v>
      </c>
      <c r="BI18">
        <v>120</v>
      </c>
      <c r="BJ18">
        <v>120</v>
      </c>
      <c r="BK18">
        <v>232</v>
      </c>
      <c r="BL18">
        <v>232</v>
      </c>
      <c r="BM18">
        <v>232</v>
      </c>
      <c r="BN18">
        <v>120</v>
      </c>
      <c r="BO18">
        <v>120</v>
      </c>
      <c r="BP18">
        <v>120</v>
      </c>
      <c r="BQ18">
        <v>600</v>
      </c>
      <c r="BR18">
        <v>600</v>
      </c>
      <c r="BS18">
        <v>600</v>
      </c>
      <c r="BT18">
        <v>600</v>
      </c>
      <c r="BU18">
        <v>600</v>
      </c>
      <c r="BV18">
        <v>600</v>
      </c>
      <c r="BW18">
        <v>600</v>
      </c>
      <c r="BX18">
        <v>600</v>
      </c>
      <c r="BY18">
        <v>600</v>
      </c>
      <c r="BZ18">
        <v>1720</v>
      </c>
      <c r="CA18">
        <v>1720</v>
      </c>
      <c r="CB18">
        <v>1720</v>
      </c>
      <c r="CC18">
        <v>600</v>
      </c>
      <c r="CD18">
        <v>600</v>
      </c>
      <c r="CE18">
        <v>600</v>
      </c>
      <c r="CF18">
        <v>600</v>
      </c>
      <c r="CG18">
        <v>600</v>
      </c>
      <c r="CH18">
        <v>600</v>
      </c>
      <c r="CI18">
        <v>120</v>
      </c>
      <c r="CJ18">
        <v>120</v>
      </c>
      <c r="CK18">
        <v>120</v>
      </c>
      <c r="CM18">
        <v>568</v>
      </c>
      <c r="CN18">
        <v>568</v>
      </c>
      <c r="CO18">
        <v>568</v>
      </c>
      <c r="CP18">
        <v>568</v>
      </c>
      <c r="CQ18">
        <v>568</v>
      </c>
      <c r="CU18">
        <v>568</v>
      </c>
      <c r="CV18">
        <v>568</v>
      </c>
      <c r="CX18">
        <v>344</v>
      </c>
      <c r="CY18">
        <v>344</v>
      </c>
      <c r="CZ18">
        <v>680</v>
      </c>
      <c r="DA18">
        <v>680</v>
      </c>
      <c r="DB18">
        <v>680</v>
      </c>
      <c r="DC18">
        <v>344</v>
      </c>
      <c r="DD18">
        <v>344</v>
      </c>
      <c r="DE18">
        <v>344</v>
      </c>
      <c r="DF18">
        <v>568</v>
      </c>
      <c r="DG18">
        <v>568</v>
      </c>
      <c r="DH18">
        <v>568</v>
      </c>
      <c r="DY18">
        <v>120</v>
      </c>
      <c r="EB18">
        <v>344</v>
      </c>
      <c r="EC18">
        <v>344</v>
      </c>
      <c r="ED18">
        <v>344</v>
      </c>
      <c r="EE18">
        <v>432</v>
      </c>
      <c r="EF18">
        <v>432</v>
      </c>
      <c r="EG18">
        <v>432</v>
      </c>
      <c r="ES18">
        <v>488</v>
      </c>
      <c r="ET18">
        <v>344</v>
      </c>
      <c r="EU18">
        <v>344</v>
      </c>
      <c r="EV18">
        <v>224</v>
      </c>
      <c r="EW18">
        <v>224</v>
      </c>
      <c r="EY18">
        <v>224</v>
      </c>
      <c r="EZ18">
        <v>224</v>
      </c>
      <c r="FA18">
        <v>224</v>
      </c>
      <c r="FE18">
        <v>120</v>
      </c>
      <c r="FF18">
        <v>120</v>
      </c>
      <c r="FG18">
        <v>120</v>
      </c>
      <c r="FH18">
        <v>344</v>
      </c>
      <c r="FI18">
        <v>344</v>
      </c>
      <c r="FJ18">
        <v>344</v>
      </c>
      <c r="FL18">
        <v>344</v>
      </c>
      <c r="FM18">
        <v>344</v>
      </c>
      <c r="FN18">
        <v>232</v>
      </c>
      <c r="FP18">
        <v>232</v>
      </c>
      <c r="FR18">
        <v>168</v>
      </c>
      <c r="FS18">
        <v>120</v>
      </c>
      <c r="FU18">
        <v>456</v>
      </c>
      <c r="FX18">
        <v>120</v>
      </c>
      <c r="FY18">
        <v>120</v>
      </c>
      <c r="FZ18">
        <v>320</v>
      </c>
      <c r="GA18">
        <v>320</v>
      </c>
      <c r="GB18">
        <v>320</v>
      </c>
      <c r="GC18" s="43">
        <v>344</v>
      </c>
      <c r="GD18">
        <v>344</v>
      </c>
      <c r="GE18">
        <v>344</v>
      </c>
      <c r="GF18">
        <v>424</v>
      </c>
      <c r="GG18">
        <v>488</v>
      </c>
      <c r="GH18">
        <v>424</v>
      </c>
      <c r="GI18">
        <v>120</v>
      </c>
      <c r="GJ18">
        <v>232</v>
      </c>
      <c r="GM18">
        <v>232</v>
      </c>
      <c r="GO18">
        <v>232</v>
      </c>
      <c r="GP18">
        <v>120</v>
      </c>
      <c r="GQ18">
        <v>120</v>
      </c>
      <c r="GR18">
        <v>216</v>
      </c>
      <c r="GT18">
        <v>216</v>
      </c>
      <c r="GU18">
        <v>120</v>
      </c>
      <c r="GV18">
        <v>120</v>
      </c>
      <c r="GW18">
        <v>120</v>
      </c>
      <c r="GX18">
        <v>120</v>
      </c>
      <c r="GY18">
        <v>120</v>
      </c>
      <c r="GZ18">
        <v>120</v>
      </c>
      <c r="HA18">
        <v>224</v>
      </c>
      <c r="HB18">
        <v>224</v>
      </c>
      <c r="HC18">
        <v>224</v>
      </c>
      <c r="HD18">
        <v>224</v>
      </c>
      <c r="HE18">
        <v>224</v>
      </c>
      <c r="HF18">
        <v>328</v>
      </c>
      <c r="HG18">
        <v>328</v>
      </c>
      <c r="HH18">
        <v>328</v>
      </c>
      <c r="HI18">
        <v>328</v>
      </c>
      <c r="HJ18">
        <v>304</v>
      </c>
      <c r="HK18">
        <v>304</v>
      </c>
      <c r="HO18">
        <v>120</v>
      </c>
      <c r="HP18">
        <v>120</v>
      </c>
      <c r="HR18">
        <v>120</v>
      </c>
      <c r="HS18">
        <v>120</v>
      </c>
      <c r="HT18">
        <v>120</v>
      </c>
      <c r="HU18">
        <v>232</v>
      </c>
      <c r="HV18">
        <v>232</v>
      </c>
      <c r="HW18">
        <v>232</v>
      </c>
      <c r="HX18">
        <v>120</v>
      </c>
      <c r="HY18">
        <v>120</v>
      </c>
      <c r="HZ18">
        <v>120</v>
      </c>
      <c r="IA18">
        <v>120</v>
      </c>
      <c r="IB18">
        <v>120</v>
      </c>
      <c r="IC18">
        <v>120</v>
      </c>
      <c r="ID18">
        <v>120</v>
      </c>
      <c r="IE18">
        <v>120</v>
      </c>
      <c r="IF18">
        <v>120</v>
      </c>
      <c r="IG18">
        <v>904</v>
      </c>
      <c r="IH18">
        <v>904</v>
      </c>
      <c r="II18">
        <v>904</v>
      </c>
      <c r="IJ18">
        <v>344</v>
      </c>
      <c r="IK18">
        <v>344</v>
      </c>
      <c r="IL18">
        <v>344</v>
      </c>
      <c r="IM18">
        <v>344</v>
      </c>
      <c r="IN18">
        <v>344</v>
      </c>
      <c r="IO18">
        <v>344</v>
      </c>
      <c r="IP18">
        <v>344</v>
      </c>
      <c r="IQ18">
        <v>344</v>
      </c>
      <c r="IR18">
        <v>344</v>
      </c>
      <c r="IS18">
        <v>344</v>
      </c>
      <c r="IT18">
        <v>344</v>
      </c>
      <c r="IU18">
        <v>120</v>
      </c>
      <c r="IV18">
        <v>120</v>
      </c>
      <c r="IW18">
        <v>120</v>
      </c>
      <c r="IX18">
        <v>120</v>
      </c>
      <c r="IY18">
        <v>120</v>
      </c>
      <c r="IZ18">
        <v>120</v>
      </c>
      <c r="JA18">
        <v>120</v>
      </c>
      <c r="JB18">
        <v>232</v>
      </c>
      <c r="JC18">
        <v>232</v>
      </c>
      <c r="JD18">
        <v>120</v>
      </c>
      <c r="JE18">
        <v>120</v>
      </c>
      <c r="JF18">
        <v>120</v>
      </c>
      <c r="JG18">
        <v>120</v>
      </c>
      <c r="JH18">
        <v>120</v>
      </c>
      <c r="JI18">
        <v>120</v>
      </c>
      <c r="JJ18">
        <v>120</v>
      </c>
      <c r="JK18">
        <v>120</v>
      </c>
      <c r="JL18">
        <v>120</v>
      </c>
      <c r="JM18">
        <v>2088</v>
      </c>
      <c r="JO18">
        <v>904</v>
      </c>
      <c r="JQ18">
        <v>904</v>
      </c>
      <c r="JR18">
        <v>904</v>
      </c>
      <c r="JS18">
        <v>904</v>
      </c>
      <c r="JT18">
        <v>120</v>
      </c>
      <c r="JU18">
        <v>120</v>
      </c>
      <c r="JV18">
        <v>120</v>
      </c>
      <c r="JW18">
        <f t="shared" si="1"/>
        <v>120</v>
      </c>
      <c r="JY18">
        <v>120</v>
      </c>
      <c r="JZ18" s="42">
        <v>120</v>
      </c>
      <c r="KA18">
        <v>120</v>
      </c>
      <c r="KB18" s="42">
        <v>120</v>
      </c>
      <c r="KD18">
        <v>344</v>
      </c>
      <c r="KE18">
        <v>232</v>
      </c>
      <c r="KF18" s="42">
        <v>232</v>
      </c>
      <c r="KL18" s="42">
        <f t="shared" si="4"/>
        <v>120</v>
      </c>
      <c r="KM18" s="42">
        <f t="shared" si="4"/>
        <v>120</v>
      </c>
      <c r="KN18" s="42">
        <v>1928</v>
      </c>
      <c r="KO18" s="42">
        <v>1928</v>
      </c>
      <c r="KP18" s="42">
        <f t="shared" si="4"/>
        <v>120</v>
      </c>
      <c r="KQ18" s="42">
        <f t="shared" si="4"/>
        <v>120</v>
      </c>
      <c r="KR18" s="42">
        <v>1456</v>
      </c>
      <c r="KS18" s="42">
        <v>1056</v>
      </c>
      <c r="KT18" s="42">
        <v>568</v>
      </c>
      <c r="KU18" s="42">
        <v>568</v>
      </c>
      <c r="KV18" s="42">
        <f t="shared" si="5"/>
        <v>120</v>
      </c>
      <c r="KW18" s="42">
        <f t="shared" si="5"/>
        <v>120</v>
      </c>
      <c r="KX18" s="42">
        <v>1128</v>
      </c>
    </row>
    <row r="19" spans="1:310" x14ac:dyDescent="0.35">
      <c r="A19">
        <v>776</v>
      </c>
      <c r="D19">
        <v>128</v>
      </c>
      <c r="E19">
        <v>128</v>
      </c>
      <c r="F19">
        <v>128</v>
      </c>
      <c r="G19">
        <v>262</v>
      </c>
      <c r="H19">
        <v>262</v>
      </c>
      <c r="I19">
        <v>262</v>
      </c>
      <c r="M19">
        <v>248</v>
      </c>
      <c r="N19">
        <v>248</v>
      </c>
      <c r="S19">
        <v>968</v>
      </c>
      <c r="T19">
        <v>968</v>
      </c>
      <c r="U19">
        <v>968</v>
      </c>
      <c r="X19">
        <v>1792</v>
      </c>
      <c r="Y19">
        <v>128</v>
      </c>
      <c r="Z19">
        <v>128</v>
      </c>
      <c r="AA19">
        <v>128</v>
      </c>
      <c r="AB19">
        <v>368</v>
      </c>
      <c r="AC19">
        <v>368</v>
      </c>
      <c r="AD19">
        <v>368</v>
      </c>
      <c r="AE19">
        <v>488</v>
      </c>
      <c r="AH19">
        <v>128</v>
      </c>
      <c r="AI19">
        <v>128</v>
      </c>
      <c r="AJ19">
        <v>128</v>
      </c>
      <c r="AL19">
        <v>128</v>
      </c>
      <c r="AN19">
        <v>128</v>
      </c>
      <c r="AO19">
        <v>128</v>
      </c>
      <c r="AP19">
        <v>128</v>
      </c>
      <c r="AQ19">
        <v>128</v>
      </c>
      <c r="AR19">
        <v>128</v>
      </c>
      <c r="AW19">
        <v>128</v>
      </c>
      <c r="AX19">
        <v>128</v>
      </c>
      <c r="AZ19">
        <v>144</v>
      </c>
      <c r="BB19">
        <v>128</v>
      </c>
      <c r="BC19">
        <v>128</v>
      </c>
      <c r="BE19">
        <v>128</v>
      </c>
      <c r="BF19">
        <v>128</v>
      </c>
      <c r="BG19">
        <v>128</v>
      </c>
      <c r="BH19">
        <v>128</v>
      </c>
      <c r="BI19">
        <v>128</v>
      </c>
      <c r="BJ19">
        <v>128</v>
      </c>
      <c r="BK19">
        <v>248</v>
      </c>
      <c r="BL19">
        <v>376</v>
      </c>
      <c r="BM19">
        <v>248</v>
      </c>
      <c r="BN19">
        <v>128</v>
      </c>
      <c r="BO19">
        <v>128</v>
      </c>
      <c r="BP19">
        <v>128</v>
      </c>
      <c r="BQ19">
        <v>640</v>
      </c>
      <c r="BR19">
        <v>640</v>
      </c>
      <c r="BS19">
        <v>640</v>
      </c>
      <c r="BT19">
        <v>640</v>
      </c>
      <c r="BU19">
        <v>640</v>
      </c>
      <c r="BV19">
        <v>640</v>
      </c>
      <c r="BW19">
        <v>640</v>
      </c>
      <c r="BX19">
        <v>640</v>
      </c>
      <c r="BY19">
        <v>640</v>
      </c>
      <c r="BZ19">
        <v>1840</v>
      </c>
      <c r="CA19">
        <v>1840</v>
      </c>
      <c r="CB19">
        <v>1840</v>
      </c>
      <c r="CC19">
        <v>640</v>
      </c>
      <c r="CD19">
        <v>640</v>
      </c>
      <c r="CE19">
        <v>640</v>
      </c>
      <c r="CF19">
        <v>640</v>
      </c>
      <c r="CG19">
        <v>640</v>
      </c>
      <c r="CH19">
        <v>640</v>
      </c>
      <c r="CI19">
        <v>128</v>
      </c>
      <c r="CJ19">
        <v>128</v>
      </c>
      <c r="CK19">
        <v>128</v>
      </c>
      <c r="CM19">
        <v>608</v>
      </c>
      <c r="CN19">
        <v>608</v>
      </c>
      <c r="CO19">
        <v>608</v>
      </c>
      <c r="CP19">
        <v>608</v>
      </c>
      <c r="CQ19">
        <v>608</v>
      </c>
      <c r="CU19">
        <v>608</v>
      </c>
      <c r="CV19">
        <v>608</v>
      </c>
      <c r="CZ19">
        <v>728</v>
      </c>
      <c r="DA19">
        <v>728</v>
      </c>
      <c r="DB19">
        <v>728</v>
      </c>
      <c r="DC19">
        <v>368</v>
      </c>
      <c r="DD19">
        <v>368</v>
      </c>
      <c r="DE19">
        <v>368</v>
      </c>
      <c r="DF19">
        <v>608</v>
      </c>
      <c r="DG19">
        <v>608</v>
      </c>
      <c r="DH19">
        <v>608</v>
      </c>
      <c r="DY19">
        <v>128</v>
      </c>
      <c r="EB19">
        <v>368</v>
      </c>
      <c r="EC19">
        <v>368</v>
      </c>
      <c r="ED19">
        <v>368</v>
      </c>
      <c r="EE19">
        <v>464</v>
      </c>
      <c r="EF19">
        <v>464</v>
      </c>
      <c r="EG19">
        <v>464</v>
      </c>
      <c r="ES19">
        <v>512</v>
      </c>
      <c r="ET19">
        <v>368</v>
      </c>
      <c r="EU19">
        <v>368</v>
      </c>
      <c r="EV19">
        <v>240</v>
      </c>
      <c r="EW19">
        <v>240</v>
      </c>
      <c r="EY19">
        <v>240</v>
      </c>
      <c r="EZ19">
        <v>240</v>
      </c>
      <c r="FA19">
        <v>240</v>
      </c>
      <c r="FE19">
        <v>128</v>
      </c>
      <c r="FF19">
        <v>128</v>
      </c>
      <c r="FG19">
        <v>128</v>
      </c>
      <c r="FI19">
        <v>368</v>
      </c>
      <c r="FJ19">
        <v>368</v>
      </c>
      <c r="FL19">
        <v>368</v>
      </c>
      <c r="FM19">
        <v>368</v>
      </c>
      <c r="FN19">
        <v>248</v>
      </c>
      <c r="FP19">
        <v>248</v>
      </c>
      <c r="FR19">
        <v>176</v>
      </c>
      <c r="FS19">
        <v>128</v>
      </c>
      <c r="FU19">
        <v>488</v>
      </c>
      <c r="FX19">
        <v>128</v>
      </c>
      <c r="FY19">
        <v>128</v>
      </c>
      <c r="FZ19">
        <v>344</v>
      </c>
      <c r="GA19">
        <v>344</v>
      </c>
      <c r="GB19">
        <v>344</v>
      </c>
      <c r="GC19" s="43">
        <v>368</v>
      </c>
      <c r="GD19">
        <v>368</v>
      </c>
      <c r="GE19">
        <v>368</v>
      </c>
      <c r="GF19">
        <v>456</v>
      </c>
      <c r="GG19">
        <v>520</v>
      </c>
      <c r="GH19">
        <v>456</v>
      </c>
      <c r="GI19">
        <v>128</v>
      </c>
      <c r="GM19">
        <v>248</v>
      </c>
      <c r="GP19">
        <v>128</v>
      </c>
      <c r="GQ19">
        <v>128</v>
      </c>
      <c r="GR19">
        <v>232</v>
      </c>
      <c r="GT19">
        <v>232</v>
      </c>
      <c r="GU19">
        <v>128</v>
      </c>
      <c r="GV19">
        <v>128</v>
      </c>
      <c r="GW19">
        <v>128</v>
      </c>
      <c r="GX19">
        <v>128</v>
      </c>
      <c r="GY19">
        <v>128</v>
      </c>
      <c r="GZ19">
        <v>128</v>
      </c>
      <c r="HA19">
        <v>240</v>
      </c>
      <c r="HB19">
        <v>240</v>
      </c>
      <c r="HC19">
        <v>240</v>
      </c>
      <c r="HD19">
        <v>240</v>
      </c>
      <c r="HE19">
        <v>240</v>
      </c>
      <c r="HF19">
        <v>352</v>
      </c>
      <c r="HG19">
        <v>352</v>
      </c>
      <c r="HH19">
        <v>352</v>
      </c>
      <c r="HI19">
        <v>352</v>
      </c>
      <c r="HO19">
        <v>128</v>
      </c>
      <c r="HP19">
        <v>128</v>
      </c>
      <c r="HR19">
        <v>128</v>
      </c>
      <c r="HS19">
        <v>128</v>
      </c>
      <c r="HT19">
        <v>128</v>
      </c>
      <c r="HU19">
        <v>248</v>
      </c>
      <c r="HV19">
        <v>248</v>
      </c>
      <c r="HW19">
        <v>248</v>
      </c>
      <c r="HX19">
        <v>128</v>
      </c>
      <c r="HY19">
        <v>128</v>
      </c>
      <c r="HZ19">
        <v>128</v>
      </c>
      <c r="IA19">
        <v>128</v>
      </c>
      <c r="IB19">
        <v>128</v>
      </c>
      <c r="IC19">
        <v>128</v>
      </c>
      <c r="ID19">
        <v>128</v>
      </c>
      <c r="IE19">
        <v>128</v>
      </c>
      <c r="IF19">
        <v>128</v>
      </c>
      <c r="IG19">
        <v>968</v>
      </c>
      <c r="IH19">
        <v>968</v>
      </c>
      <c r="II19">
        <v>968</v>
      </c>
      <c r="IJ19">
        <v>368</v>
      </c>
      <c r="IK19">
        <v>368</v>
      </c>
      <c r="IL19">
        <v>368</v>
      </c>
      <c r="IM19">
        <v>368</v>
      </c>
      <c r="IN19">
        <v>368</v>
      </c>
      <c r="IO19">
        <v>368</v>
      </c>
      <c r="IP19">
        <v>368</v>
      </c>
      <c r="IQ19">
        <v>368</v>
      </c>
      <c r="IR19">
        <v>368</v>
      </c>
      <c r="IS19">
        <v>368</v>
      </c>
      <c r="IT19">
        <v>368</v>
      </c>
      <c r="IU19">
        <v>128</v>
      </c>
      <c r="IV19">
        <v>128</v>
      </c>
      <c r="IW19">
        <v>128</v>
      </c>
      <c r="IX19">
        <v>128</v>
      </c>
      <c r="IY19">
        <v>128</v>
      </c>
      <c r="IZ19">
        <v>128</v>
      </c>
      <c r="JA19">
        <v>128</v>
      </c>
      <c r="JB19">
        <v>248</v>
      </c>
      <c r="JC19">
        <v>248</v>
      </c>
      <c r="JD19">
        <v>128</v>
      </c>
      <c r="JE19">
        <v>128</v>
      </c>
      <c r="JF19">
        <v>128</v>
      </c>
      <c r="JG19">
        <v>128</v>
      </c>
      <c r="JH19">
        <v>128</v>
      </c>
      <c r="JI19">
        <v>128</v>
      </c>
      <c r="JJ19">
        <v>128</v>
      </c>
      <c r="JK19">
        <v>128</v>
      </c>
      <c r="JL19">
        <v>128</v>
      </c>
      <c r="JM19">
        <v>2248</v>
      </c>
      <c r="JO19">
        <v>968</v>
      </c>
      <c r="JQ19">
        <v>968</v>
      </c>
      <c r="JR19">
        <v>968</v>
      </c>
      <c r="JS19">
        <v>968</v>
      </c>
      <c r="JT19">
        <v>128</v>
      </c>
      <c r="JU19">
        <v>128</v>
      </c>
      <c r="JV19">
        <v>128</v>
      </c>
      <c r="JW19">
        <f t="shared" si="1"/>
        <v>128</v>
      </c>
      <c r="JZ19" s="42">
        <v>128</v>
      </c>
      <c r="KA19">
        <v>128</v>
      </c>
      <c r="KB19" s="42">
        <v>128</v>
      </c>
      <c r="KD19">
        <v>368</v>
      </c>
      <c r="KE19">
        <v>248</v>
      </c>
      <c r="KF19" s="42">
        <v>248</v>
      </c>
      <c r="KL19" s="42">
        <f t="shared" si="4"/>
        <v>128</v>
      </c>
      <c r="KM19" s="42">
        <f t="shared" si="4"/>
        <v>128</v>
      </c>
      <c r="KN19" s="42">
        <v>2088</v>
      </c>
      <c r="KO19" s="42">
        <v>2088</v>
      </c>
      <c r="KP19" s="42">
        <f t="shared" si="4"/>
        <v>128</v>
      </c>
      <c r="KR19" s="42">
        <v>1536</v>
      </c>
      <c r="KS19" s="42">
        <v>1136</v>
      </c>
      <c r="KT19" s="42">
        <v>608</v>
      </c>
      <c r="KU19" s="42">
        <v>608</v>
      </c>
      <c r="KV19" s="42">
        <f t="shared" si="5"/>
        <v>128</v>
      </c>
      <c r="KW19" s="42">
        <f t="shared" si="5"/>
        <v>128</v>
      </c>
      <c r="KX19" s="42">
        <v>1208</v>
      </c>
    </row>
    <row r="20" spans="1:310" x14ac:dyDescent="0.35">
      <c r="A20">
        <v>824</v>
      </c>
      <c r="D20">
        <v>136</v>
      </c>
      <c r="E20">
        <v>136</v>
      </c>
      <c r="F20">
        <v>136</v>
      </c>
      <c r="G20">
        <v>278</v>
      </c>
      <c r="H20">
        <v>278</v>
      </c>
      <c r="I20">
        <v>278</v>
      </c>
      <c r="M20">
        <v>264</v>
      </c>
      <c r="N20">
        <v>264</v>
      </c>
      <c r="S20">
        <v>1032</v>
      </c>
      <c r="T20">
        <v>1032</v>
      </c>
      <c r="U20">
        <v>1032</v>
      </c>
      <c r="X20">
        <v>1904</v>
      </c>
      <c r="Y20">
        <v>136</v>
      </c>
      <c r="Z20">
        <v>136</v>
      </c>
      <c r="AA20">
        <v>136</v>
      </c>
      <c r="AB20">
        <v>392</v>
      </c>
      <c r="AC20">
        <v>392</v>
      </c>
      <c r="AD20">
        <v>392</v>
      </c>
      <c r="AE20">
        <v>520</v>
      </c>
      <c r="AH20">
        <v>136</v>
      </c>
      <c r="AI20">
        <v>136</v>
      </c>
      <c r="AJ20">
        <v>136</v>
      </c>
      <c r="AN20">
        <v>136</v>
      </c>
      <c r="AO20">
        <v>136</v>
      </c>
      <c r="AP20">
        <v>136</v>
      </c>
      <c r="AQ20">
        <v>136</v>
      </c>
      <c r="AR20">
        <v>136</v>
      </c>
      <c r="AW20">
        <v>136</v>
      </c>
      <c r="AX20">
        <v>136</v>
      </c>
      <c r="AZ20">
        <v>152</v>
      </c>
      <c r="BB20">
        <v>136</v>
      </c>
      <c r="BC20">
        <v>136</v>
      </c>
      <c r="BE20">
        <v>136</v>
      </c>
      <c r="BF20">
        <v>136</v>
      </c>
      <c r="BG20">
        <v>136</v>
      </c>
      <c r="BH20">
        <v>136</v>
      </c>
      <c r="BI20">
        <v>136</v>
      </c>
      <c r="BJ20">
        <v>136</v>
      </c>
      <c r="BK20">
        <v>264</v>
      </c>
      <c r="BL20">
        <v>384</v>
      </c>
      <c r="BM20">
        <v>264</v>
      </c>
      <c r="BN20">
        <v>136</v>
      </c>
      <c r="BO20">
        <v>136</v>
      </c>
      <c r="BP20">
        <v>136</v>
      </c>
      <c r="BQ20">
        <v>680</v>
      </c>
      <c r="BR20">
        <v>680</v>
      </c>
      <c r="BS20">
        <v>680</v>
      </c>
      <c r="BT20">
        <v>680</v>
      </c>
      <c r="BU20">
        <v>680</v>
      </c>
      <c r="BV20">
        <v>680</v>
      </c>
      <c r="BW20">
        <v>680</v>
      </c>
      <c r="BX20">
        <v>680</v>
      </c>
      <c r="BY20">
        <v>680</v>
      </c>
      <c r="BZ20">
        <v>1960</v>
      </c>
      <c r="CA20">
        <v>1960</v>
      </c>
      <c r="CB20">
        <v>1960</v>
      </c>
      <c r="CC20">
        <v>680</v>
      </c>
      <c r="CD20">
        <v>680</v>
      </c>
      <c r="CE20">
        <v>680</v>
      </c>
      <c r="CF20">
        <v>680</v>
      </c>
      <c r="CG20">
        <v>680</v>
      </c>
      <c r="CH20">
        <v>680</v>
      </c>
      <c r="CI20">
        <v>136</v>
      </c>
      <c r="CJ20">
        <v>136</v>
      </c>
      <c r="CK20">
        <v>136</v>
      </c>
      <c r="CO20">
        <v>648</v>
      </c>
      <c r="CP20">
        <v>648</v>
      </c>
      <c r="CQ20">
        <v>648</v>
      </c>
      <c r="CU20">
        <v>648</v>
      </c>
      <c r="CV20">
        <v>648</v>
      </c>
      <c r="CZ20">
        <v>776</v>
      </c>
      <c r="DA20">
        <v>776</v>
      </c>
      <c r="DB20">
        <v>776</v>
      </c>
      <c r="DC20">
        <v>392</v>
      </c>
      <c r="DD20">
        <v>392</v>
      </c>
      <c r="DE20">
        <v>392</v>
      </c>
      <c r="DF20">
        <v>648</v>
      </c>
      <c r="DG20">
        <v>648</v>
      </c>
      <c r="DH20">
        <v>648</v>
      </c>
      <c r="DY20">
        <v>136</v>
      </c>
      <c r="EB20">
        <v>392</v>
      </c>
      <c r="EC20">
        <v>392</v>
      </c>
      <c r="ED20">
        <v>392</v>
      </c>
      <c r="EE20">
        <v>496</v>
      </c>
      <c r="EF20">
        <v>496</v>
      </c>
      <c r="EG20">
        <v>496</v>
      </c>
      <c r="ES20">
        <v>536</v>
      </c>
      <c r="ET20">
        <v>392</v>
      </c>
      <c r="EU20">
        <v>392</v>
      </c>
      <c r="EV20">
        <v>256</v>
      </c>
      <c r="EY20">
        <v>256</v>
      </c>
      <c r="EZ20">
        <v>256</v>
      </c>
      <c r="FE20">
        <v>136</v>
      </c>
      <c r="FF20">
        <v>136</v>
      </c>
      <c r="FG20">
        <v>136</v>
      </c>
      <c r="FI20">
        <v>392</v>
      </c>
      <c r="FJ20">
        <v>392</v>
      </c>
      <c r="FL20">
        <v>392</v>
      </c>
      <c r="FM20">
        <v>392</v>
      </c>
      <c r="FN20">
        <v>264</v>
      </c>
      <c r="FP20">
        <v>264</v>
      </c>
      <c r="FR20">
        <v>184</v>
      </c>
      <c r="FS20">
        <v>136</v>
      </c>
      <c r="FX20">
        <v>136</v>
      </c>
      <c r="FY20">
        <v>136</v>
      </c>
      <c r="FZ20">
        <v>368</v>
      </c>
      <c r="GA20">
        <v>368</v>
      </c>
      <c r="GB20">
        <v>368</v>
      </c>
      <c r="GC20" s="43">
        <v>392</v>
      </c>
      <c r="GD20">
        <v>392</v>
      </c>
      <c r="GE20">
        <v>392</v>
      </c>
      <c r="GF20">
        <v>488</v>
      </c>
      <c r="GG20">
        <v>552</v>
      </c>
      <c r="GH20">
        <v>488</v>
      </c>
      <c r="GM20">
        <v>264</v>
      </c>
      <c r="GP20">
        <v>136</v>
      </c>
      <c r="GQ20">
        <v>136</v>
      </c>
      <c r="GR20">
        <v>248</v>
      </c>
      <c r="GT20">
        <v>248</v>
      </c>
      <c r="GU20">
        <v>136</v>
      </c>
      <c r="GV20">
        <v>136</v>
      </c>
      <c r="GW20">
        <v>136</v>
      </c>
      <c r="GX20">
        <v>136</v>
      </c>
      <c r="GY20">
        <v>136</v>
      </c>
      <c r="GZ20">
        <v>136</v>
      </c>
      <c r="HA20">
        <v>256</v>
      </c>
      <c r="HB20">
        <v>256</v>
      </c>
      <c r="HC20">
        <v>256</v>
      </c>
      <c r="HD20">
        <v>256</v>
      </c>
      <c r="HE20">
        <v>256</v>
      </c>
      <c r="HF20">
        <v>376</v>
      </c>
      <c r="HG20">
        <v>376</v>
      </c>
      <c r="HH20">
        <v>376</v>
      </c>
      <c r="HI20">
        <v>376</v>
      </c>
      <c r="HO20">
        <v>136</v>
      </c>
      <c r="HP20">
        <v>136</v>
      </c>
      <c r="HR20">
        <v>136</v>
      </c>
      <c r="HS20">
        <v>136</v>
      </c>
      <c r="HT20">
        <v>136</v>
      </c>
      <c r="HU20">
        <v>264</v>
      </c>
      <c r="HV20">
        <v>264</v>
      </c>
      <c r="HW20">
        <v>264</v>
      </c>
      <c r="HX20">
        <v>136</v>
      </c>
      <c r="HY20">
        <v>136</v>
      </c>
      <c r="HZ20">
        <v>136</v>
      </c>
      <c r="IA20">
        <v>136</v>
      </c>
      <c r="IB20">
        <v>136</v>
      </c>
      <c r="IC20">
        <v>136</v>
      </c>
      <c r="ID20">
        <v>136</v>
      </c>
      <c r="IE20">
        <v>136</v>
      </c>
      <c r="IF20">
        <v>136</v>
      </c>
      <c r="IG20">
        <v>1032</v>
      </c>
      <c r="IH20">
        <v>1032</v>
      </c>
      <c r="II20">
        <v>1032</v>
      </c>
      <c r="IJ20">
        <v>392</v>
      </c>
      <c r="IK20">
        <v>392</v>
      </c>
      <c r="IL20">
        <v>392</v>
      </c>
      <c r="IM20">
        <v>392</v>
      </c>
      <c r="IN20">
        <v>392</v>
      </c>
      <c r="IO20">
        <v>392</v>
      </c>
      <c r="IP20">
        <v>392</v>
      </c>
      <c r="IQ20">
        <v>392</v>
      </c>
      <c r="IR20">
        <v>392</v>
      </c>
      <c r="IS20">
        <v>392</v>
      </c>
      <c r="IT20">
        <v>392</v>
      </c>
      <c r="IU20">
        <v>136</v>
      </c>
      <c r="IV20">
        <v>136</v>
      </c>
      <c r="IW20">
        <v>136</v>
      </c>
      <c r="IX20">
        <v>136</v>
      </c>
      <c r="IY20">
        <v>136</v>
      </c>
      <c r="IZ20">
        <v>136</v>
      </c>
      <c r="JA20">
        <v>136</v>
      </c>
      <c r="JB20">
        <v>264</v>
      </c>
      <c r="JC20">
        <v>264</v>
      </c>
      <c r="JD20">
        <v>136</v>
      </c>
      <c r="JE20">
        <v>136</v>
      </c>
      <c r="JF20">
        <v>136</v>
      </c>
      <c r="JG20">
        <v>136</v>
      </c>
      <c r="JH20">
        <v>272</v>
      </c>
      <c r="JI20">
        <v>136</v>
      </c>
      <c r="JJ20">
        <v>136</v>
      </c>
      <c r="JK20">
        <v>136</v>
      </c>
      <c r="JL20">
        <v>136</v>
      </c>
      <c r="JM20">
        <v>2408</v>
      </c>
      <c r="JO20">
        <v>1032</v>
      </c>
      <c r="JQ20">
        <v>1032</v>
      </c>
      <c r="JR20">
        <v>1032</v>
      </c>
      <c r="JS20">
        <v>1032</v>
      </c>
      <c r="JT20">
        <v>136</v>
      </c>
      <c r="JU20">
        <v>136</v>
      </c>
      <c r="JV20">
        <v>136</v>
      </c>
      <c r="JW20">
        <f>8+JW19</f>
        <v>136</v>
      </c>
      <c r="JZ20" s="42">
        <v>136</v>
      </c>
      <c r="KA20">
        <v>136</v>
      </c>
      <c r="KB20" s="42">
        <v>136</v>
      </c>
      <c r="KD20">
        <v>392</v>
      </c>
      <c r="KE20">
        <v>264</v>
      </c>
      <c r="KF20" s="42">
        <v>264</v>
      </c>
      <c r="KL20" s="42">
        <f t="shared" si="4"/>
        <v>136</v>
      </c>
      <c r="KM20" s="42">
        <f t="shared" si="4"/>
        <v>136</v>
      </c>
      <c r="KN20" s="42">
        <v>2248</v>
      </c>
      <c r="KO20" s="42">
        <v>2248</v>
      </c>
      <c r="KP20" s="42">
        <f t="shared" si="4"/>
        <v>136</v>
      </c>
      <c r="KR20" s="42">
        <v>1616</v>
      </c>
      <c r="KS20" s="42">
        <v>1216</v>
      </c>
      <c r="KT20" s="42">
        <v>648</v>
      </c>
      <c r="KU20" s="42">
        <v>648</v>
      </c>
      <c r="KV20" s="42">
        <f t="shared" si="5"/>
        <v>136</v>
      </c>
      <c r="KW20" s="42">
        <f t="shared" si="5"/>
        <v>136</v>
      </c>
      <c r="KX20" s="42">
        <v>1288</v>
      </c>
    </row>
    <row r="21" spans="1:310" x14ac:dyDescent="0.35">
      <c r="A21">
        <v>872</v>
      </c>
      <c r="D21">
        <v>144</v>
      </c>
      <c r="E21">
        <v>144</v>
      </c>
      <c r="F21">
        <v>144</v>
      </c>
      <c r="G21">
        <v>294</v>
      </c>
      <c r="H21">
        <v>294</v>
      </c>
      <c r="I21">
        <v>294</v>
      </c>
      <c r="M21">
        <v>280</v>
      </c>
      <c r="S21">
        <v>1096</v>
      </c>
      <c r="T21">
        <v>1096</v>
      </c>
      <c r="U21">
        <v>1096</v>
      </c>
      <c r="X21">
        <v>2016</v>
      </c>
      <c r="Y21">
        <v>144</v>
      </c>
      <c r="Z21">
        <v>144</v>
      </c>
      <c r="AA21">
        <v>144</v>
      </c>
      <c r="AB21">
        <v>416</v>
      </c>
      <c r="AD21">
        <v>416</v>
      </c>
      <c r="AH21">
        <v>144</v>
      </c>
      <c r="AI21">
        <v>144</v>
      </c>
      <c r="AJ21">
        <v>144</v>
      </c>
      <c r="AN21">
        <v>144</v>
      </c>
      <c r="AO21">
        <v>144</v>
      </c>
      <c r="AP21">
        <v>144</v>
      </c>
      <c r="AQ21">
        <v>144</v>
      </c>
      <c r="AR21">
        <v>144</v>
      </c>
      <c r="AW21">
        <v>144</v>
      </c>
      <c r="AX21">
        <v>144</v>
      </c>
      <c r="AZ21">
        <v>160</v>
      </c>
      <c r="BB21">
        <v>144</v>
      </c>
      <c r="BC21">
        <v>144</v>
      </c>
      <c r="BE21">
        <v>144</v>
      </c>
      <c r="BF21">
        <v>144</v>
      </c>
      <c r="BG21">
        <v>144</v>
      </c>
      <c r="BH21">
        <v>144</v>
      </c>
      <c r="BI21">
        <v>144</v>
      </c>
      <c r="BJ21">
        <v>144</v>
      </c>
      <c r="BK21">
        <v>280</v>
      </c>
      <c r="BL21">
        <v>392</v>
      </c>
      <c r="BM21">
        <v>280</v>
      </c>
      <c r="BN21">
        <v>144</v>
      </c>
      <c r="BO21">
        <v>144</v>
      </c>
      <c r="BP21">
        <v>144</v>
      </c>
      <c r="BQ21">
        <v>720</v>
      </c>
      <c r="BR21">
        <v>720</v>
      </c>
      <c r="BS21">
        <v>720</v>
      </c>
      <c r="BT21">
        <v>720</v>
      </c>
      <c r="BU21">
        <v>720</v>
      </c>
      <c r="BV21">
        <v>720</v>
      </c>
      <c r="BW21">
        <v>720</v>
      </c>
      <c r="BX21">
        <v>720</v>
      </c>
      <c r="BY21">
        <v>720</v>
      </c>
      <c r="BZ21">
        <v>2080</v>
      </c>
      <c r="CA21">
        <v>2080</v>
      </c>
      <c r="CB21">
        <v>2080</v>
      </c>
      <c r="CC21">
        <v>720</v>
      </c>
      <c r="CD21">
        <v>720</v>
      </c>
      <c r="CE21">
        <v>720</v>
      </c>
      <c r="CF21">
        <v>720</v>
      </c>
      <c r="CG21">
        <v>720</v>
      </c>
      <c r="CH21">
        <v>720</v>
      </c>
      <c r="CI21">
        <v>144</v>
      </c>
      <c r="CJ21">
        <v>144</v>
      </c>
      <c r="CK21">
        <v>144</v>
      </c>
      <c r="CO21">
        <v>688</v>
      </c>
      <c r="CP21">
        <v>688</v>
      </c>
      <c r="CQ21">
        <v>688</v>
      </c>
      <c r="CU21">
        <v>688</v>
      </c>
      <c r="CV21">
        <v>688</v>
      </c>
      <c r="CZ21">
        <v>824</v>
      </c>
      <c r="DA21">
        <v>824</v>
      </c>
      <c r="DB21">
        <v>824</v>
      </c>
      <c r="DC21">
        <v>416</v>
      </c>
      <c r="DD21">
        <v>416</v>
      </c>
      <c r="DE21">
        <v>416</v>
      </c>
      <c r="DF21">
        <v>688</v>
      </c>
      <c r="DG21">
        <v>688</v>
      </c>
      <c r="DH21">
        <v>688</v>
      </c>
      <c r="DY21">
        <v>144</v>
      </c>
      <c r="EB21">
        <v>416</v>
      </c>
      <c r="EC21">
        <v>416</v>
      </c>
      <c r="ED21">
        <v>416</v>
      </c>
      <c r="EE21">
        <v>528</v>
      </c>
      <c r="EF21">
        <v>528</v>
      </c>
      <c r="EG21">
        <v>528</v>
      </c>
      <c r="ES21">
        <v>560</v>
      </c>
      <c r="ET21">
        <v>416</v>
      </c>
      <c r="EU21">
        <v>416</v>
      </c>
      <c r="EY21">
        <v>272</v>
      </c>
      <c r="EZ21">
        <v>272</v>
      </c>
      <c r="FE21">
        <v>144</v>
      </c>
      <c r="FF21">
        <v>144</v>
      </c>
      <c r="FG21">
        <v>144</v>
      </c>
      <c r="FI21">
        <v>416</v>
      </c>
      <c r="FJ21">
        <v>416</v>
      </c>
      <c r="FL21">
        <v>416</v>
      </c>
      <c r="FM21">
        <v>416</v>
      </c>
      <c r="FN21">
        <v>280</v>
      </c>
      <c r="FP21">
        <v>280</v>
      </c>
      <c r="FR21">
        <v>192</v>
      </c>
      <c r="FS21">
        <v>144</v>
      </c>
      <c r="FX21">
        <v>144</v>
      </c>
      <c r="FY21">
        <v>144</v>
      </c>
      <c r="FZ21">
        <v>392</v>
      </c>
      <c r="GA21">
        <v>392</v>
      </c>
      <c r="GB21">
        <v>392</v>
      </c>
      <c r="GC21" s="43">
        <v>416</v>
      </c>
      <c r="GD21">
        <v>416</v>
      </c>
      <c r="GE21">
        <v>416</v>
      </c>
      <c r="GF21">
        <v>520</v>
      </c>
      <c r="GG21">
        <v>584</v>
      </c>
      <c r="GH21">
        <v>520</v>
      </c>
      <c r="GM21">
        <v>280</v>
      </c>
      <c r="GP21">
        <v>144</v>
      </c>
      <c r="GQ21">
        <v>144</v>
      </c>
      <c r="GR21">
        <v>264</v>
      </c>
      <c r="GT21">
        <v>264</v>
      </c>
      <c r="GU21">
        <v>144</v>
      </c>
      <c r="GV21">
        <v>144</v>
      </c>
      <c r="GW21">
        <v>144</v>
      </c>
      <c r="GX21">
        <v>144</v>
      </c>
      <c r="GY21">
        <v>144</v>
      </c>
      <c r="GZ21">
        <v>144</v>
      </c>
      <c r="HA21">
        <v>272</v>
      </c>
      <c r="HB21">
        <v>272</v>
      </c>
      <c r="HC21">
        <v>272</v>
      </c>
      <c r="HD21">
        <v>272</v>
      </c>
      <c r="HE21">
        <v>272</v>
      </c>
      <c r="HF21">
        <v>400</v>
      </c>
      <c r="HG21">
        <v>400</v>
      </c>
      <c r="HH21">
        <v>400</v>
      </c>
      <c r="HI21">
        <v>400</v>
      </c>
      <c r="HO21">
        <v>144</v>
      </c>
      <c r="HP21">
        <v>144</v>
      </c>
      <c r="HR21">
        <v>144</v>
      </c>
      <c r="HS21">
        <v>144</v>
      </c>
      <c r="HT21">
        <v>144</v>
      </c>
      <c r="HU21">
        <v>280</v>
      </c>
      <c r="HV21">
        <v>280</v>
      </c>
      <c r="HW21">
        <v>280</v>
      </c>
      <c r="HX21">
        <v>144</v>
      </c>
      <c r="HY21">
        <v>144</v>
      </c>
      <c r="HZ21">
        <v>144</v>
      </c>
      <c r="IA21">
        <v>144</v>
      </c>
      <c r="IB21">
        <v>144</v>
      </c>
      <c r="IC21">
        <v>144</v>
      </c>
      <c r="ID21">
        <v>144</v>
      </c>
      <c r="IE21">
        <v>144</v>
      </c>
      <c r="IF21">
        <v>144</v>
      </c>
      <c r="IG21">
        <v>1096</v>
      </c>
      <c r="IH21">
        <v>1096</v>
      </c>
      <c r="II21">
        <v>1096</v>
      </c>
      <c r="IJ21">
        <v>416</v>
      </c>
      <c r="IK21">
        <v>416</v>
      </c>
      <c r="IL21">
        <v>416</v>
      </c>
      <c r="IM21">
        <v>416</v>
      </c>
      <c r="IN21">
        <v>416</v>
      </c>
      <c r="IO21">
        <v>416</v>
      </c>
      <c r="IP21">
        <v>416</v>
      </c>
      <c r="IQ21">
        <v>416</v>
      </c>
      <c r="IR21">
        <v>416</v>
      </c>
      <c r="IS21">
        <v>416</v>
      </c>
      <c r="IT21">
        <v>416</v>
      </c>
      <c r="IU21">
        <v>144</v>
      </c>
      <c r="IV21">
        <v>144</v>
      </c>
      <c r="IW21">
        <v>144</v>
      </c>
      <c r="IX21">
        <v>144</v>
      </c>
      <c r="IY21">
        <v>144</v>
      </c>
      <c r="IZ21">
        <v>144</v>
      </c>
      <c r="JA21">
        <v>144</v>
      </c>
      <c r="JB21">
        <v>280</v>
      </c>
      <c r="JC21">
        <v>280</v>
      </c>
      <c r="JD21">
        <v>144</v>
      </c>
      <c r="JE21">
        <v>144</v>
      </c>
      <c r="JF21">
        <v>144</v>
      </c>
      <c r="JG21">
        <v>144</v>
      </c>
      <c r="JH21">
        <v>280</v>
      </c>
      <c r="JI21">
        <v>144</v>
      </c>
      <c r="JJ21">
        <v>144</v>
      </c>
      <c r="JK21">
        <v>144</v>
      </c>
      <c r="JL21">
        <v>144</v>
      </c>
      <c r="JM21">
        <v>2568</v>
      </c>
      <c r="JO21">
        <v>1096</v>
      </c>
      <c r="JQ21">
        <v>1096</v>
      </c>
      <c r="JR21">
        <v>1096</v>
      </c>
      <c r="JS21">
        <v>1096</v>
      </c>
      <c r="JT21">
        <v>144</v>
      </c>
      <c r="JU21">
        <v>144</v>
      </c>
      <c r="JV21">
        <v>144</v>
      </c>
      <c r="JW21">
        <f>8+JW20</f>
        <v>144</v>
      </c>
      <c r="JZ21" s="42">
        <v>144</v>
      </c>
      <c r="KA21">
        <v>144</v>
      </c>
      <c r="KB21" s="42">
        <v>144</v>
      </c>
      <c r="KD21">
        <v>416</v>
      </c>
      <c r="KE21">
        <v>280</v>
      </c>
      <c r="KF21" s="42">
        <v>280</v>
      </c>
      <c r="KL21" s="42">
        <f t="shared" si="4"/>
        <v>144</v>
      </c>
      <c r="KM21" s="42">
        <f t="shared" si="4"/>
        <v>144</v>
      </c>
      <c r="KN21" s="42">
        <v>2408</v>
      </c>
      <c r="KO21" s="42">
        <v>2408</v>
      </c>
      <c r="KP21" s="42">
        <f t="shared" si="4"/>
        <v>144</v>
      </c>
      <c r="KR21" s="42">
        <v>1696</v>
      </c>
      <c r="KS21" s="42">
        <v>1296</v>
      </c>
      <c r="KT21" s="42">
        <v>688</v>
      </c>
      <c r="KU21" s="42">
        <v>688</v>
      </c>
      <c r="KV21" s="42">
        <f t="shared" si="5"/>
        <v>144</v>
      </c>
      <c r="KW21" s="42">
        <f t="shared" si="5"/>
        <v>144</v>
      </c>
      <c r="KX21" s="42">
        <v>1368</v>
      </c>
    </row>
    <row r="22" spans="1:310" x14ac:dyDescent="0.35">
      <c r="A22">
        <v>920</v>
      </c>
      <c r="D22">
        <v>152</v>
      </c>
      <c r="E22">
        <v>152</v>
      </c>
      <c r="F22">
        <v>152</v>
      </c>
      <c r="H22">
        <v>310</v>
      </c>
      <c r="I22">
        <v>310</v>
      </c>
      <c r="M22">
        <v>296</v>
      </c>
      <c r="S22">
        <v>1160</v>
      </c>
      <c r="T22">
        <v>1160</v>
      </c>
      <c r="U22">
        <v>1160</v>
      </c>
      <c r="X22">
        <v>2128</v>
      </c>
      <c r="Y22">
        <v>152</v>
      </c>
      <c r="Z22">
        <v>152</v>
      </c>
      <c r="AA22">
        <v>152</v>
      </c>
      <c r="AB22">
        <v>440</v>
      </c>
      <c r="AN22">
        <v>152</v>
      </c>
      <c r="AO22">
        <v>152</v>
      </c>
      <c r="AP22">
        <v>152</v>
      </c>
      <c r="AQ22">
        <v>152</v>
      </c>
      <c r="AR22">
        <v>152</v>
      </c>
      <c r="AW22">
        <v>152</v>
      </c>
      <c r="AX22">
        <v>152</v>
      </c>
      <c r="AZ22">
        <v>168</v>
      </c>
      <c r="BB22">
        <v>152</v>
      </c>
      <c r="BE22">
        <v>152</v>
      </c>
      <c r="BF22">
        <v>152</v>
      </c>
      <c r="BG22">
        <v>152</v>
      </c>
      <c r="BH22">
        <v>152</v>
      </c>
      <c r="BI22">
        <v>152</v>
      </c>
      <c r="BJ22">
        <v>152</v>
      </c>
      <c r="BK22">
        <v>376</v>
      </c>
      <c r="BL22">
        <v>400</v>
      </c>
      <c r="BM22">
        <v>296</v>
      </c>
      <c r="BN22">
        <v>152</v>
      </c>
      <c r="BO22">
        <v>152</v>
      </c>
      <c r="BP22">
        <v>152</v>
      </c>
      <c r="BQ22">
        <v>760</v>
      </c>
      <c r="BR22">
        <v>760</v>
      </c>
      <c r="BS22">
        <v>760</v>
      </c>
      <c r="BT22">
        <v>760</v>
      </c>
      <c r="BU22">
        <v>760</v>
      </c>
      <c r="BV22">
        <v>760</v>
      </c>
      <c r="BW22">
        <v>760</v>
      </c>
      <c r="BX22">
        <v>760</v>
      </c>
      <c r="BY22">
        <v>760</v>
      </c>
      <c r="BZ22">
        <v>2200</v>
      </c>
      <c r="CA22">
        <v>2200</v>
      </c>
      <c r="CB22">
        <v>2200</v>
      </c>
      <c r="CC22">
        <v>760</v>
      </c>
      <c r="CD22">
        <v>760</v>
      </c>
      <c r="CE22">
        <v>760</v>
      </c>
      <c r="CF22">
        <v>760</v>
      </c>
      <c r="CG22">
        <v>760</v>
      </c>
      <c r="CH22">
        <v>760</v>
      </c>
      <c r="CI22">
        <v>152</v>
      </c>
      <c r="CJ22">
        <v>152</v>
      </c>
      <c r="CK22">
        <v>152</v>
      </c>
      <c r="CO22">
        <v>728</v>
      </c>
      <c r="CP22">
        <v>728</v>
      </c>
      <c r="CQ22">
        <v>728</v>
      </c>
      <c r="CU22">
        <v>728</v>
      </c>
      <c r="CV22">
        <v>728</v>
      </c>
      <c r="CZ22">
        <v>872</v>
      </c>
      <c r="DA22">
        <v>872</v>
      </c>
      <c r="DB22">
        <v>872</v>
      </c>
      <c r="DC22">
        <v>440</v>
      </c>
      <c r="DD22">
        <v>440</v>
      </c>
      <c r="DE22">
        <v>440</v>
      </c>
      <c r="DF22">
        <v>728</v>
      </c>
      <c r="DG22">
        <v>728</v>
      </c>
      <c r="DH22">
        <v>728</v>
      </c>
      <c r="DY22">
        <v>152</v>
      </c>
      <c r="EB22">
        <v>440</v>
      </c>
      <c r="EC22">
        <v>440</v>
      </c>
      <c r="ED22">
        <v>440</v>
      </c>
      <c r="EE22">
        <v>560</v>
      </c>
      <c r="EF22">
        <v>560</v>
      </c>
      <c r="EG22">
        <v>560</v>
      </c>
      <c r="ES22">
        <v>584</v>
      </c>
      <c r="ET22">
        <v>440</v>
      </c>
      <c r="EU22">
        <v>440</v>
      </c>
      <c r="EY22">
        <v>288</v>
      </c>
      <c r="EZ22">
        <v>288</v>
      </c>
      <c r="FE22">
        <v>152</v>
      </c>
      <c r="FF22">
        <v>152</v>
      </c>
      <c r="FG22">
        <v>152</v>
      </c>
      <c r="FJ22">
        <v>440</v>
      </c>
      <c r="FL22">
        <v>440</v>
      </c>
      <c r="FN22">
        <v>296</v>
      </c>
      <c r="FP22">
        <v>296</v>
      </c>
      <c r="FR22">
        <v>200</v>
      </c>
      <c r="FS22">
        <v>152</v>
      </c>
      <c r="FX22">
        <v>152</v>
      </c>
      <c r="FY22">
        <v>152</v>
      </c>
      <c r="FZ22">
        <v>416</v>
      </c>
      <c r="GA22">
        <v>416</v>
      </c>
      <c r="GB22">
        <v>416</v>
      </c>
      <c r="GC22" s="43">
        <v>440</v>
      </c>
      <c r="GD22">
        <v>440</v>
      </c>
      <c r="GE22">
        <v>440</v>
      </c>
      <c r="GF22">
        <v>552</v>
      </c>
      <c r="GG22">
        <v>616</v>
      </c>
      <c r="GP22">
        <v>152</v>
      </c>
      <c r="GQ22">
        <v>152</v>
      </c>
      <c r="GR22">
        <v>280</v>
      </c>
      <c r="GT22">
        <v>280</v>
      </c>
      <c r="GU22">
        <v>152</v>
      </c>
      <c r="GV22">
        <v>152</v>
      </c>
      <c r="GW22">
        <v>152</v>
      </c>
      <c r="GX22">
        <v>152</v>
      </c>
      <c r="GY22">
        <v>152</v>
      </c>
      <c r="GZ22">
        <v>152</v>
      </c>
      <c r="HA22">
        <v>288</v>
      </c>
      <c r="HB22">
        <v>288</v>
      </c>
      <c r="HC22">
        <v>288</v>
      </c>
      <c r="HD22">
        <v>288</v>
      </c>
      <c r="HE22">
        <v>288</v>
      </c>
      <c r="HF22">
        <v>424</v>
      </c>
      <c r="HG22">
        <v>424</v>
      </c>
      <c r="HH22">
        <v>424</v>
      </c>
      <c r="HI22">
        <v>424</v>
      </c>
      <c r="HO22">
        <v>152</v>
      </c>
      <c r="HP22">
        <v>152</v>
      </c>
      <c r="HR22">
        <v>152</v>
      </c>
      <c r="HS22">
        <v>152</v>
      </c>
      <c r="HT22">
        <v>152</v>
      </c>
      <c r="HU22">
        <v>296</v>
      </c>
      <c r="HV22">
        <v>296</v>
      </c>
      <c r="HW22">
        <v>296</v>
      </c>
      <c r="HX22">
        <v>152</v>
      </c>
      <c r="HY22">
        <v>152</v>
      </c>
      <c r="HZ22">
        <v>152</v>
      </c>
      <c r="IA22">
        <v>152</v>
      </c>
      <c r="IB22">
        <v>152</v>
      </c>
      <c r="IC22">
        <v>152</v>
      </c>
      <c r="ID22">
        <v>152</v>
      </c>
      <c r="IE22">
        <v>152</v>
      </c>
      <c r="IF22">
        <v>152</v>
      </c>
      <c r="IG22">
        <v>1160</v>
      </c>
      <c r="IH22">
        <v>1160</v>
      </c>
      <c r="II22">
        <v>1160</v>
      </c>
      <c r="IJ22">
        <v>440</v>
      </c>
      <c r="IK22">
        <v>440</v>
      </c>
      <c r="IL22">
        <v>440</v>
      </c>
      <c r="IM22">
        <v>440</v>
      </c>
      <c r="IN22">
        <v>440</v>
      </c>
      <c r="IO22">
        <v>440</v>
      </c>
      <c r="IP22">
        <v>440</v>
      </c>
      <c r="IQ22">
        <v>440</v>
      </c>
      <c r="IR22">
        <v>440</v>
      </c>
      <c r="IS22">
        <v>440</v>
      </c>
      <c r="IT22">
        <v>440</v>
      </c>
      <c r="IU22">
        <v>152</v>
      </c>
      <c r="IV22">
        <v>152</v>
      </c>
      <c r="IW22">
        <v>152</v>
      </c>
      <c r="IX22">
        <v>152</v>
      </c>
      <c r="IY22">
        <v>152</v>
      </c>
      <c r="IZ22">
        <v>152</v>
      </c>
      <c r="JA22">
        <v>152</v>
      </c>
      <c r="JB22">
        <v>296</v>
      </c>
      <c r="JC22">
        <v>296</v>
      </c>
      <c r="JD22">
        <v>152</v>
      </c>
      <c r="JE22">
        <v>152</v>
      </c>
      <c r="JF22">
        <v>152</v>
      </c>
      <c r="JG22">
        <v>152</v>
      </c>
      <c r="JH22">
        <v>288</v>
      </c>
      <c r="JI22">
        <v>152</v>
      </c>
      <c r="JJ22">
        <v>152</v>
      </c>
      <c r="JK22">
        <v>152</v>
      </c>
      <c r="JL22">
        <v>152</v>
      </c>
      <c r="JM22">
        <v>2728</v>
      </c>
      <c r="JO22">
        <v>1160</v>
      </c>
      <c r="JQ22">
        <v>1480</v>
      </c>
      <c r="JR22">
        <v>1160</v>
      </c>
      <c r="JS22">
        <v>1160</v>
      </c>
      <c r="JT22">
        <v>152</v>
      </c>
      <c r="JU22">
        <v>152</v>
      </c>
      <c r="JV22">
        <v>152</v>
      </c>
      <c r="JZ22" s="42">
        <v>152</v>
      </c>
      <c r="KA22">
        <v>152</v>
      </c>
      <c r="KB22" s="42">
        <v>152</v>
      </c>
      <c r="KD22">
        <v>440</v>
      </c>
      <c r="KF22" s="42">
        <v>296</v>
      </c>
      <c r="KL22" s="42">
        <f t="shared" ref="KL22:KM37" si="6">8+KL21</f>
        <v>152</v>
      </c>
      <c r="KM22" s="42">
        <f t="shared" si="6"/>
        <v>152</v>
      </c>
      <c r="KN22" s="42">
        <v>2568</v>
      </c>
      <c r="KO22" s="42">
        <v>2568</v>
      </c>
      <c r="KP22" s="42">
        <f>8+KP21</f>
        <v>152</v>
      </c>
      <c r="KR22" s="42">
        <v>1776</v>
      </c>
      <c r="KS22" s="42">
        <v>1696</v>
      </c>
      <c r="KT22" s="42">
        <v>728</v>
      </c>
      <c r="KU22" s="42">
        <v>728</v>
      </c>
      <c r="KV22" s="42">
        <f t="shared" si="5"/>
        <v>152</v>
      </c>
      <c r="KW22" s="42">
        <f t="shared" si="5"/>
        <v>152</v>
      </c>
      <c r="KX22" s="42">
        <v>1448</v>
      </c>
    </row>
    <row r="23" spans="1:310" x14ac:dyDescent="0.35">
      <c r="A23">
        <v>968</v>
      </c>
      <c r="D23">
        <v>160</v>
      </c>
      <c r="E23">
        <v>160</v>
      </c>
      <c r="F23">
        <v>160</v>
      </c>
      <c r="H23">
        <v>326</v>
      </c>
      <c r="I23">
        <v>326</v>
      </c>
      <c r="M23">
        <v>312</v>
      </c>
      <c r="S23">
        <v>1224</v>
      </c>
      <c r="T23">
        <v>1224</v>
      </c>
      <c r="U23">
        <v>1224</v>
      </c>
      <c r="X23">
        <v>2240</v>
      </c>
      <c r="Y23">
        <v>160</v>
      </c>
      <c r="Z23">
        <v>160</v>
      </c>
      <c r="AA23">
        <v>160</v>
      </c>
      <c r="AB23">
        <v>464</v>
      </c>
      <c r="AN23">
        <v>160</v>
      </c>
      <c r="AO23">
        <v>160</v>
      </c>
      <c r="AP23">
        <v>160</v>
      </c>
      <c r="AQ23">
        <v>160</v>
      </c>
      <c r="AR23">
        <v>160</v>
      </c>
      <c r="AW23">
        <v>160</v>
      </c>
      <c r="AX23">
        <v>160</v>
      </c>
      <c r="AZ23">
        <v>176</v>
      </c>
      <c r="BB23">
        <v>160</v>
      </c>
      <c r="BE23">
        <v>160</v>
      </c>
      <c r="BF23">
        <v>160</v>
      </c>
      <c r="BG23">
        <v>160</v>
      </c>
      <c r="BH23">
        <v>160</v>
      </c>
      <c r="BI23">
        <v>160</v>
      </c>
      <c r="BJ23">
        <v>160</v>
      </c>
      <c r="BK23">
        <v>384</v>
      </c>
      <c r="BL23">
        <v>408</v>
      </c>
      <c r="BM23">
        <v>376</v>
      </c>
      <c r="BN23">
        <v>160</v>
      </c>
      <c r="BO23">
        <v>160</v>
      </c>
      <c r="BP23">
        <v>160</v>
      </c>
      <c r="BQ23">
        <v>800</v>
      </c>
      <c r="BR23">
        <v>800</v>
      </c>
      <c r="BS23">
        <v>800</v>
      </c>
      <c r="BT23">
        <v>800</v>
      </c>
      <c r="BU23">
        <v>800</v>
      </c>
      <c r="BV23">
        <v>800</v>
      </c>
      <c r="BW23">
        <v>800</v>
      </c>
      <c r="BX23">
        <v>800</v>
      </c>
      <c r="BY23">
        <v>800</v>
      </c>
      <c r="BZ23">
        <v>2320</v>
      </c>
      <c r="CA23">
        <v>2320</v>
      </c>
      <c r="CB23">
        <v>2320</v>
      </c>
      <c r="CC23">
        <v>800</v>
      </c>
      <c r="CD23">
        <v>800</v>
      </c>
      <c r="CE23">
        <v>800</v>
      </c>
      <c r="CF23">
        <v>800</v>
      </c>
      <c r="CG23">
        <v>800</v>
      </c>
      <c r="CH23">
        <v>800</v>
      </c>
      <c r="CI23">
        <v>160</v>
      </c>
      <c r="CJ23">
        <v>160</v>
      </c>
      <c r="CK23">
        <v>160</v>
      </c>
      <c r="CO23">
        <v>768</v>
      </c>
      <c r="CP23">
        <v>768</v>
      </c>
      <c r="CQ23">
        <v>768</v>
      </c>
      <c r="CU23">
        <v>768</v>
      </c>
      <c r="CV23">
        <v>768</v>
      </c>
      <c r="CZ23">
        <v>920</v>
      </c>
      <c r="DA23">
        <v>920</v>
      </c>
      <c r="DB23">
        <v>920</v>
      </c>
      <c r="DC23">
        <v>464</v>
      </c>
      <c r="DD23">
        <v>464</v>
      </c>
      <c r="DE23">
        <v>464</v>
      </c>
      <c r="DF23">
        <v>768</v>
      </c>
      <c r="DG23">
        <v>768</v>
      </c>
      <c r="DH23">
        <v>768</v>
      </c>
      <c r="DY23">
        <v>160</v>
      </c>
      <c r="EB23">
        <v>464</v>
      </c>
      <c r="EC23">
        <v>464</v>
      </c>
      <c r="ED23">
        <v>464</v>
      </c>
      <c r="EE23">
        <v>592</v>
      </c>
      <c r="EF23">
        <v>592</v>
      </c>
      <c r="EG23">
        <v>592</v>
      </c>
      <c r="ET23">
        <v>464</v>
      </c>
      <c r="EU23">
        <v>464</v>
      </c>
      <c r="EY23">
        <v>304</v>
      </c>
      <c r="EZ23">
        <v>304</v>
      </c>
      <c r="FE23">
        <v>160</v>
      </c>
      <c r="FF23">
        <v>160</v>
      </c>
      <c r="FG23">
        <v>160</v>
      </c>
      <c r="FJ23">
        <v>464</v>
      </c>
      <c r="FN23">
        <v>312</v>
      </c>
      <c r="FP23">
        <v>312</v>
      </c>
      <c r="FR23">
        <v>208</v>
      </c>
      <c r="FS23">
        <v>160</v>
      </c>
      <c r="FX23">
        <v>160</v>
      </c>
      <c r="FY23">
        <v>160</v>
      </c>
      <c r="FZ23">
        <v>440</v>
      </c>
      <c r="GA23">
        <v>440</v>
      </c>
      <c r="GB23">
        <v>440</v>
      </c>
      <c r="GC23" s="43">
        <v>464</v>
      </c>
      <c r="GD23">
        <v>464</v>
      </c>
      <c r="GE23">
        <v>464</v>
      </c>
      <c r="GF23">
        <v>584</v>
      </c>
      <c r="GP23">
        <v>160</v>
      </c>
      <c r="GQ23">
        <v>160</v>
      </c>
      <c r="GT23">
        <v>296</v>
      </c>
      <c r="GU23">
        <v>160</v>
      </c>
      <c r="GV23">
        <v>160</v>
      </c>
      <c r="GW23">
        <v>160</v>
      </c>
      <c r="GX23">
        <v>160</v>
      </c>
      <c r="GY23">
        <v>160</v>
      </c>
      <c r="GZ23">
        <v>160</v>
      </c>
      <c r="HA23">
        <v>304</v>
      </c>
      <c r="HB23">
        <v>304</v>
      </c>
      <c r="HC23">
        <v>304</v>
      </c>
      <c r="HD23">
        <v>304</v>
      </c>
      <c r="HE23">
        <v>304</v>
      </c>
      <c r="HF23">
        <v>448</v>
      </c>
      <c r="HG23">
        <v>448</v>
      </c>
      <c r="HH23">
        <v>448</v>
      </c>
      <c r="HI23">
        <v>448</v>
      </c>
      <c r="HO23">
        <v>160</v>
      </c>
      <c r="HP23">
        <v>160</v>
      </c>
      <c r="HR23">
        <v>160</v>
      </c>
      <c r="HS23">
        <v>160</v>
      </c>
      <c r="HT23">
        <v>160</v>
      </c>
      <c r="HV23">
        <v>312</v>
      </c>
      <c r="HX23">
        <v>160</v>
      </c>
      <c r="HY23">
        <v>160</v>
      </c>
      <c r="IB23">
        <v>160</v>
      </c>
      <c r="IC23">
        <v>160</v>
      </c>
      <c r="ID23">
        <v>160</v>
      </c>
      <c r="IE23">
        <v>160</v>
      </c>
      <c r="IF23">
        <v>160</v>
      </c>
      <c r="IG23">
        <v>1224</v>
      </c>
      <c r="IH23">
        <v>1224</v>
      </c>
      <c r="II23">
        <v>1224</v>
      </c>
      <c r="IJ23">
        <v>464</v>
      </c>
      <c r="IK23">
        <v>464</v>
      </c>
      <c r="IL23">
        <v>464</v>
      </c>
      <c r="IM23">
        <v>464</v>
      </c>
      <c r="IN23">
        <v>464</v>
      </c>
      <c r="IO23">
        <v>464</v>
      </c>
      <c r="IP23">
        <v>464</v>
      </c>
      <c r="IQ23">
        <v>464</v>
      </c>
      <c r="IR23">
        <v>464</v>
      </c>
      <c r="IS23">
        <v>464</v>
      </c>
      <c r="IT23">
        <v>464</v>
      </c>
      <c r="IU23">
        <v>160</v>
      </c>
      <c r="IV23">
        <v>160</v>
      </c>
      <c r="IW23">
        <v>160</v>
      </c>
      <c r="IX23">
        <v>160</v>
      </c>
      <c r="IY23">
        <v>160</v>
      </c>
      <c r="IZ23">
        <v>160</v>
      </c>
      <c r="JA23">
        <v>160</v>
      </c>
      <c r="JB23">
        <v>312</v>
      </c>
      <c r="JC23">
        <v>312</v>
      </c>
      <c r="JD23">
        <v>160</v>
      </c>
      <c r="JE23">
        <v>160</v>
      </c>
      <c r="JF23">
        <v>160</v>
      </c>
      <c r="JG23">
        <v>160</v>
      </c>
      <c r="JH23">
        <v>296</v>
      </c>
      <c r="JI23">
        <v>160</v>
      </c>
      <c r="JJ23">
        <v>160</v>
      </c>
      <c r="JK23">
        <v>160</v>
      </c>
      <c r="JL23">
        <v>160</v>
      </c>
      <c r="JM23">
        <v>2888</v>
      </c>
      <c r="JO23">
        <v>1224</v>
      </c>
      <c r="JQ23">
        <v>1672</v>
      </c>
      <c r="JR23">
        <v>1224</v>
      </c>
      <c r="JS23">
        <v>1224</v>
      </c>
      <c r="JT23">
        <v>160</v>
      </c>
      <c r="JU23">
        <v>160</v>
      </c>
      <c r="JV23">
        <v>160</v>
      </c>
      <c r="KB23" s="42">
        <v>160</v>
      </c>
      <c r="KD23">
        <v>464</v>
      </c>
      <c r="KL23" s="42">
        <f t="shared" si="6"/>
        <v>160</v>
      </c>
      <c r="KM23" s="42">
        <f t="shared" si="6"/>
        <v>160</v>
      </c>
      <c r="KN23" s="42">
        <v>2728</v>
      </c>
      <c r="KO23" s="42">
        <v>2728</v>
      </c>
      <c r="KP23" s="42">
        <f>8+KP22</f>
        <v>160</v>
      </c>
      <c r="KR23" s="42">
        <v>1856</v>
      </c>
      <c r="KS23" s="42">
        <v>1776</v>
      </c>
      <c r="KT23" s="42">
        <v>768</v>
      </c>
      <c r="KU23" s="42">
        <v>768</v>
      </c>
      <c r="KV23" s="42">
        <f t="shared" si="5"/>
        <v>160</v>
      </c>
      <c r="KW23" s="42">
        <f t="shared" si="5"/>
        <v>160</v>
      </c>
      <c r="KX23" s="42">
        <v>1528</v>
      </c>
    </row>
    <row r="24" spans="1:310" x14ac:dyDescent="0.35">
      <c r="A24">
        <v>1016</v>
      </c>
      <c r="D24">
        <v>168</v>
      </c>
      <c r="E24">
        <v>168</v>
      </c>
      <c r="F24">
        <v>168</v>
      </c>
      <c r="I24">
        <v>342</v>
      </c>
      <c r="M24">
        <v>328</v>
      </c>
      <c r="S24">
        <v>1288</v>
      </c>
      <c r="T24">
        <v>1288</v>
      </c>
      <c r="U24">
        <v>1288</v>
      </c>
      <c r="X24">
        <v>2352</v>
      </c>
      <c r="Y24">
        <v>168</v>
      </c>
      <c r="Z24">
        <v>168</v>
      </c>
      <c r="AA24">
        <v>168</v>
      </c>
      <c r="AB24">
        <v>488</v>
      </c>
      <c r="AN24">
        <v>168</v>
      </c>
      <c r="AO24">
        <v>168</v>
      </c>
      <c r="AP24">
        <v>168</v>
      </c>
      <c r="AQ24">
        <v>168</v>
      </c>
      <c r="AR24">
        <v>168</v>
      </c>
      <c r="AW24">
        <v>168</v>
      </c>
      <c r="AX24">
        <v>168</v>
      </c>
      <c r="AZ24">
        <v>184</v>
      </c>
      <c r="BB24">
        <v>168</v>
      </c>
      <c r="BE24">
        <v>168</v>
      </c>
      <c r="BF24">
        <v>168</v>
      </c>
      <c r="BG24">
        <v>168</v>
      </c>
      <c r="BH24">
        <v>168</v>
      </c>
      <c r="BI24">
        <v>168</v>
      </c>
      <c r="BJ24">
        <v>168</v>
      </c>
      <c r="BK24">
        <v>392</v>
      </c>
      <c r="BL24">
        <v>416</v>
      </c>
      <c r="BM24">
        <v>384</v>
      </c>
      <c r="BN24">
        <v>168</v>
      </c>
      <c r="BO24">
        <v>168</v>
      </c>
      <c r="BP24">
        <v>168</v>
      </c>
      <c r="BQ24">
        <v>840</v>
      </c>
      <c r="BR24">
        <v>840</v>
      </c>
      <c r="BS24">
        <v>840</v>
      </c>
      <c r="BT24">
        <v>840</v>
      </c>
      <c r="BU24">
        <v>840</v>
      </c>
      <c r="BV24">
        <v>840</v>
      </c>
      <c r="BW24">
        <v>840</v>
      </c>
      <c r="BX24">
        <v>840</v>
      </c>
      <c r="BY24">
        <v>840</v>
      </c>
      <c r="BZ24">
        <v>2440</v>
      </c>
      <c r="CA24">
        <v>2440</v>
      </c>
      <c r="CB24">
        <v>2440</v>
      </c>
      <c r="CC24">
        <v>840</v>
      </c>
      <c r="CD24">
        <v>840</v>
      </c>
      <c r="CE24">
        <v>840</v>
      </c>
      <c r="CF24">
        <v>840</v>
      </c>
      <c r="CG24">
        <v>840</v>
      </c>
      <c r="CH24">
        <v>840</v>
      </c>
      <c r="CI24">
        <v>168</v>
      </c>
      <c r="CJ24">
        <v>168</v>
      </c>
      <c r="CK24">
        <v>168</v>
      </c>
      <c r="CP24">
        <v>808</v>
      </c>
      <c r="CQ24">
        <v>808</v>
      </c>
      <c r="CU24">
        <v>808</v>
      </c>
      <c r="CV24">
        <v>808</v>
      </c>
      <c r="CZ24">
        <v>968</v>
      </c>
      <c r="DA24">
        <v>968</v>
      </c>
      <c r="DB24">
        <v>968</v>
      </c>
      <c r="DC24">
        <v>488</v>
      </c>
      <c r="DD24">
        <v>488</v>
      </c>
      <c r="DE24">
        <v>488</v>
      </c>
      <c r="DF24">
        <v>808</v>
      </c>
      <c r="DG24">
        <v>808</v>
      </c>
      <c r="DH24">
        <v>808</v>
      </c>
      <c r="DY24">
        <v>168</v>
      </c>
      <c r="EB24">
        <v>488</v>
      </c>
      <c r="EC24">
        <v>488</v>
      </c>
      <c r="ED24">
        <v>488</v>
      </c>
      <c r="EE24">
        <v>624</v>
      </c>
      <c r="EF24">
        <v>624</v>
      </c>
      <c r="EG24">
        <v>624</v>
      </c>
      <c r="ET24">
        <v>488</v>
      </c>
      <c r="EU24">
        <v>488</v>
      </c>
      <c r="EY24">
        <v>320</v>
      </c>
      <c r="EZ24">
        <v>320</v>
      </c>
      <c r="FE24">
        <v>168</v>
      </c>
      <c r="FF24">
        <v>168</v>
      </c>
      <c r="FG24">
        <v>168</v>
      </c>
      <c r="FJ24">
        <v>488</v>
      </c>
      <c r="FN24">
        <v>328</v>
      </c>
      <c r="FP24">
        <v>328</v>
      </c>
      <c r="FR24">
        <v>216</v>
      </c>
      <c r="FS24">
        <v>168</v>
      </c>
      <c r="FX24">
        <v>168</v>
      </c>
      <c r="FY24">
        <v>168</v>
      </c>
      <c r="FZ24">
        <v>464</v>
      </c>
      <c r="GA24">
        <v>464</v>
      </c>
      <c r="GC24" s="43">
        <v>488</v>
      </c>
      <c r="GD24">
        <v>488</v>
      </c>
      <c r="GE24">
        <v>488</v>
      </c>
      <c r="GF24">
        <v>616</v>
      </c>
      <c r="GP24">
        <v>168</v>
      </c>
      <c r="GQ24">
        <v>168</v>
      </c>
      <c r="GT24">
        <v>312</v>
      </c>
      <c r="GU24">
        <v>168</v>
      </c>
      <c r="GV24">
        <v>168</v>
      </c>
      <c r="GW24">
        <v>168</v>
      </c>
      <c r="GX24">
        <v>168</v>
      </c>
      <c r="GY24">
        <v>168</v>
      </c>
      <c r="GZ24">
        <v>168</v>
      </c>
      <c r="HA24">
        <v>320</v>
      </c>
      <c r="HB24">
        <v>320</v>
      </c>
      <c r="HC24">
        <v>320</v>
      </c>
      <c r="HD24">
        <v>320</v>
      </c>
      <c r="HE24">
        <v>320</v>
      </c>
      <c r="HF24">
        <v>472</v>
      </c>
      <c r="HG24">
        <v>472</v>
      </c>
      <c r="HO24">
        <v>168</v>
      </c>
      <c r="HP24">
        <v>168</v>
      </c>
      <c r="HR24">
        <v>168</v>
      </c>
      <c r="HT24">
        <v>168</v>
      </c>
      <c r="HY24">
        <v>168</v>
      </c>
      <c r="IB24">
        <v>168</v>
      </c>
      <c r="IC24">
        <v>168</v>
      </c>
      <c r="ID24">
        <v>168</v>
      </c>
      <c r="IE24">
        <v>168</v>
      </c>
      <c r="IF24">
        <v>168</v>
      </c>
      <c r="IG24">
        <v>1288</v>
      </c>
      <c r="IH24">
        <v>1288</v>
      </c>
      <c r="II24">
        <v>1288</v>
      </c>
      <c r="IJ24">
        <v>488</v>
      </c>
      <c r="IK24">
        <v>488</v>
      </c>
      <c r="IL24">
        <v>488</v>
      </c>
      <c r="IM24">
        <v>488</v>
      </c>
      <c r="IN24">
        <v>488</v>
      </c>
      <c r="IO24">
        <v>488</v>
      </c>
      <c r="IP24">
        <v>488</v>
      </c>
      <c r="IQ24">
        <v>488</v>
      </c>
      <c r="IR24">
        <v>488</v>
      </c>
      <c r="IU24">
        <v>168</v>
      </c>
      <c r="IV24">
        <v>168</v>
      </c>
      <c r="IW24">
        <v>168</v>
      </c>
      <c r="IX24">
        <v>168</v>
      </c>
      <c r="IY24">
        <v>168</v>
      </c>
      <c r="IZ24">
        <v>168</v>
      </c>
      <c r="JA24">
        <v>168</v>
      </c>
      <c r="JB24">
        <v>328</v>
      </c>
      <c r="JC24">
        <v>328</v>
      </c>
      <c r="JD24">
        <v>168</v>
      </c>
      <c r="JE24">
        <v>168</v>
      </c>
      <c r="JF24">
        <v>168</v>
      </c>
      <c r="JG24">
        <v>168</v>
      </c>
      <c r="JH24">
        <v>304</v>
      </c>
      <c r="JI24">
        <v>168</v>
      </c>
      <c r="JJ24">
        <v>168</v>
      </c>
      <c r="JK24">
        <v>168</v>
      </c>
      <c r="JL24">
        <v>168</v>
      </c>
      <c r="JM24">
        <v>3048</v>
      </c>
      <c r="JO24">
        <v>1288</v>
      </c>
      <c r="JQ24">
        <v>1736</v>
      </c>
      <c r="JR24">
        <v>1288</v>
      </c>
      <c r="JS24">
        <v>1288</v>
      </c>
      <c r="JT24">
        <v>168</v>
      </c>
      <c r="JU24">
        <v>168</v>
      </c>
      <c r="JV24">
        <v>168</v>
      </c>
      <c r="KB24" s="42">
        <v>168</v>
      </c>
      <c r="KD24">
        <v>488</v>
      </c>
      <c r="KL24" s="42">
        <f t="shared" si="6"/>
        <v>168</v>
      </c>
      <c r="KM24" s="42">
        <f t="shared" si="6"/>
        <v>168</v>
      </c>
      <c r="KR24" s="42">
        <v>1936</v>
      </c>
      <c r="KS24" s="42">
        <v>1856</v>
      </c>
      <c r="KT24" s="42">
        <v>808</v>
      </c>
      <c r="KU24" s="42">
        <v>808</v>
      </c>
      <c r="KV24" s="42">
        <f t="shared" si="5"/>
        <v>168</v>
      </c>
      <c r="KW24" s="42">
        <f t="shared" si="5"/>
        <v>168</v>
      </c>
      <c r="KX24" s="42">
        <v>1608</v>
      </c>
    </row>
    <row r="25" spans="1:310" x14ac:dyDescent="0.35">
      <c r="D25">
        <v>176</v>
      </c>
      <c r="E25">
        <v>176</v>
      </c>
      <c r="F25">
        <v>176</v>
      </c>
      <c r="I25">
        <v>358</v>
      </c>
      <c r="M25">
        <v>344</v>
      </c>
      <c r="T25">
        <v>1352</v>
      </c>
      <c r="U25">
        <v>1352</v>
      </c>
      <c r="X25">
        <v>2464</v>
      </c>
      <c r="Y25">
        <v>176</v>
      </c>
      <c r="Z25">
        <v>176</v>
      </c>
      <c r="AA25">
        <v>176</v>
      </c>
      <c r="AN25">
        <v>176</v>
      </c>
      <c r="AO25">
        <v>176</v>
      </c>
      <c r="AP25">
        <v>176</v>
      </c>
      <c r="AQ25">
        <v>176</v>
      </c>
      <c r="AW25">
        <v>176</v>
      </c>
      <c r="AX25">
        <v>176</v>
      </c>
      <c r="AZ25">
        <v>192</v>
      </c>
      <c r="BB25">
        <v>176</v>
      </c>
      <c r="BE25">
        <v>176</v>
      </c>
      <c r="BF25">
        <v>176</v>
      </c>
      <c r="BG25">
        <v>176</v>
      </c>
      <c r="BH25">
        <v>176</v>
      </c>
      <c r="BI25">
        <v>176</v>
      </c>
      <c r="BJ25">
        <v>176</v>
      </c>
      <c r="BK25">
        <v>400</v>
      </c>
      <c r="BL25">
        <v>424</v>
      </c>
      <c r="BM25">
        <v>392</v>
      </c>
      <c r="BN25">
        <v>176</v>
      </c>
      <c r="BO25">
        <v>176</v>
      </c>
      <c r="BP25">
        <v>176</v>
      </c>
      <c r="BQ25">
        <v>880</v>
      </c>
      <c r="BR25">
        <v>880</v>
      </c>
      <c r="BS25">
        <v>880</v>
      </c>
      <c r="BT25">
        <v>880</v>
      </c>
      <c r="BU25">
        <v>880</v>
      </c>
      <c r="BV25">
        <v>880</v>
      </c>
      <c r="BW25">
        <v>880</v>
      </c>
      <c r="BX25">
        <v>880</v>
      </c>
      <c r="BY25">
        <v>880</v>
      </c>
      <c r="BZ25">
        <v>2560</v>
      </c>
      <c r="CA25">
        <v>2560</v>
      </c>
      <c r="CB25">
        <v>2560</v>
      </c>
      <c r="CC25">
        <v>880</v>
      </c>
      <c r="CD25">
        <v>880</v>
      </c>
      <c r="CE25">
        <v>880</v>
      </c>
      <c r="CF25">
        <v>880</v>
      </c>
      <c r="CG25">
        <v>880</v>
      </c>
      <c r="CH25">
        <v>880</v>
      </c>
      <c r="CI25">
        <v>176</v>
      </c>
      <c r="CJ25">
        <v>176</v>
      </c>
      <c r="CK25">
        <v>176</v>
      </c>
      <c r="CP25">
        <v>848</v>
      </c>
      <c r="CQ25">
        <v>848</v>
      </c>
      <c r="CU25">
        <v>848</v>
      </c>
      <c r="CV25">
        <v>848</v>
      </c>
      <c r="CZ25">
        <v>1016</v>
      </c>
      <c r="DA25">
        <v>1016</v>
      </c>
      <c r="DB25">
        <v>1016</v>
      </c>
      <c r="DC25">
        <v>512</v>
      </c>
      <c r="DD25">
        <v>512</v>
      </c>
      <c r="DE25">
        <v>512</v>
      </c>
      <c r="DF25">
        <v>848</v>
      </c>
      <c r="DG25">
        <v>848</v>
      </c>
      <c r="DH25">
        <v>848</v>
      </c>
      <c r="DY25">
        <v>176</v>
      </c>
      <c r="EB25">
        <v>512</v>
      </c>
      <c r="EC25">
        <v>512</v>
      </c>
      <c r="ED25">
        <v>512</v>
      </c>
      <c r="EE25">
        <v>656</v>
      </c>
      <c r="EF25">
        <v>656</v>
      </c>
      <c r="EG25">
        <v>656</v>
      </c>
      <c r="EU25">
        <v>512</v>
      </c>
      <c r="EY25">
        <v>336</v>
      </c>
      <c r="EZ25">
        <v>336</v>
      </c>
      <c r="FE25">
        <v>176</v>
      </c>
      <c r="FF25">
        <v>176</v>
      </c>
      <c r="FG25">
        <v>176</v>
      </c>
      <c r="FP25">
        <v>344</v>
      </c>
      <c r="FR25">
        <v>224</v>
      </c>
      <c r="FS25">
        <v>176</v>
      </c>
      <c r="FX25">
        <v>176</v>
      </c>
      <c r="GA25">
        <v>488</v>
      </c>
      <c r="GC25" s="43">
        <v>512</v>
      </c>
      <c r="GD25">
        <v>512</v>
      </c>
      <c r="GE25">
        <v>512</v>
      </c>
      <c r="GF25">
        <v>648</v>
      </c>
      <c r="GP25">
        <v>176</v>
      </c>
      <c r="GQ25">
        <v>176</v>
      </c>
      <c r="GT25">
        <v>328</v>
      </c>
      <c r="GU25">
        <v>176</v>
      </c>
      <c r="GV25">
        <v>176</v>
      </c>
      <c r="GW25">
        <v>176</v>
      </c>
      <c r="GX25">
        <v>176</v>
      </c>
      <c r="GY25">
        <v>176</v>
      </c>
      <c r="GZ25">
        <v>176</v>
      </c>
      <c r="HA25">
        <v>336</v>
      </c>
      <c r="HB25">
        <v>336</v>
      </c>
      <c r="HC25">
        <v>336</v>
      </c>
      <c r="HD25">
        <v>336</v>
      </c>
      <c r="HE25">
        <v>336</v>
      </c>
      <c r="HF25">
        <v>496</v>
      </c>
      <c r="HG25">
        <v>496</v>
      </c>
      <c r="HO25">
        <v>176</v>
      </c>
      <c r="HP25">
        <v>176</v>
      </c>
      <c r="HT25">
        <v>176</v>
      </c>
      <c r="HY25">
        <v>176</v>
      </c>
      <c r="IB25">
        <v>176</v>
      </c>
      <c r="IC25">
        <v>176</v>
      </c>
      <c r="ID25">
        <v>176</v>
      </c>
      <c r="IE25">
        <v>176</v>
      </c>
      <c r="IF25">
        <v>176</v>
      </c>
      <c r="IG25">
        <v>1352</v>
      </c>
      <c r="IH25">
        <v>1352</v>
      </c>
      <c r="II25">
        <v>1352</v>
      </c>
      <c r="IJ25">
        <v>512</v>
      </c>
      <c r="IK25">
        <v>512</v>
      </c>
      <c r="IL25">
        <v>512</v>
      </c>
      <c r="IM25">
        <v>512</v>
      </c>
      <c r="IN25">
        <v>512</v>
      </c>
      <c r="IO25">
        <v>512</v>
      </c>
      <c r="IP25">
        <v>512</v>
      </c>
      <c r="IQ25">
        <v>512</v>
      </c>
      <c r="IR25">
        <v>512</v>
      </c>
      <c r="IU25">
        <v>176</v>
      </c>
      <c r="IV25">
        <v>176</v>
      </c>
      <c r="IW25">
        <v>176</v>
      </c>
      <c r="IX25">
        <v>176</v>
      </c>
      <c r="IY25">
        <v>176</v>
      </c>
      <c r="IZ25">
        <v>176</v>
      </c>
      <c r="JA25">
        <v>176</v>
      </c>
      <c r="JB25">
        <v>344</v>
      </c>
      <c r="JC25">
        <v>344</v>
      </c>
      <c r="JD25">
        <v>176</v>
      </c>
      <c r="JE25">
        <v>176</v>
      </c>
      <c r="JF25">
        <v>176</v>
      </c>
      <c r="JG25">
        <v>176</v>
      </c>
      <c r="JH25">
        <v>312</v>
      </c>
      <c r="JI25">
        <v>176</v>
      </c>
      <c r="JJ25">
        <v>176</v>
      </c>
      <c r="JK25">
        <v>176</v>
      </c>
      <c r="JL25">
        <v>176</v>
      </c>
      <c r="JM25">
        <v>3208</v>
      </c>
      <c r="JO25">
        <v>1352</v>
      </c>
      <c r="JQ25">
        <v>1800</v>
      </c>
      <c r="JR25">
        <v>1352</v>
      </c>
      <c r="JS25">
        <v>1352</v>
      </c>
      <c r="JT25">
        <v>176</v>
      </c>
      <c r="JU25">
        <v>176</v>
      </c>
      <c r="JV25">
        <v>176</v>
      </c>
      <c r="KB25" s="42">
        <v>176</v>
      </c>
      <c r="KD25">
        <v>512</v>
      </c>
      <c r="KM25" s="42">
        <f t="shared" si="6"/>
        <v>176</v>
      </c>
      <c r="KR25" s="42">
        <v>2016</v>
      </c>
      <c r="KS25" s="42">
        <v>1936</v>
      </c>
      <c r="KT25" s="42">
        <v>848</v>
      </c>
      <c r="KU25" s="42">
        <v>848</v>
      </c>
      <c r="KV25" s="42">
        <f t="shared" si="5"/>
        <v>176</v>
      </c>
      <c r="KW25" s="42">
        <f t="shared" si="5"/>
        <v>176</v>
      </c>
      <c r="KX25" s="42">
        <v>1688</v>
      </c>
    </row>
    <row r="26" spans="1:310" x14ac:dyDescent="0.35">
      <c r="D26">
        <v>184</v>
      </c>
      <c r="E26">
        <v>184</v>
      </c>
      <c r="F26">
        <v>184</v>
      </c>
      <c r="X26">
        <v>2576</v>
      </c>
      <c r="Y26">
        <v>184</v>
      </c>
      <c r="Z26">
        <v>184</v>
      </c>
      <c r="AA26">
        <v>184</v>
      </c>
      <c r="AN26">
        <v>184</v>
      </c>
      <c r="AO26">
        <v>184</v>
      </c>
      <c r="AP26">
        <v>184</v>
      </c>
      <c r="AQ26">
        <v>184</v>
      </c>
      <c r="AW26">
        <v>184</v>
      </c>
      <c r="AX26">
        <v>184</v>
      </c>
      <c r="AZ26">
        <v>200</v>
      </c>
      <c r="BB26">
        <v>184</v>
      </c>
      <c r="BE26">
        <v>184</v>
      </c>
      <c r="BF26">
        <v>184</v>
      </c>
      <c r="BG26">
        <v>184</v>
      </c>
      <c r="BH26">
        <v>184</v>
      </c>
      <c r="BI26">
        <v>184</v>
      </c>
      <c r="BJ26">
        <v>184</v>
      </c>
      <c r="BK26">
        <v>408</v>
      </c>
      <c r="BL26">
        <v>432</v>
      </c>
      <c r="BM26">
        <v>400</v>
      </c>
      <c r="BN26">
        <v>184</v>
      </c>
      <c r="BO26">
        <v>184</v>
      </c>
      <c r="BP26">
        <v>184</v>
      </c>
      <c r="BQ26">
        <v>920</v>
      </c>
      <c r="BR26">
        <v>920</v>
      </c>
      <c r="BS26">
        <v>920</v>
      </c>
      <c r="BT26">
        <v>920</v>
      </c>
      <c r="BU26">
        <v>920</v>
      </c>
      <c r="BV26">
        <v>920</v>
      </c>
      <c r="BW26">
        <v>920</v>
      </c>
      <c r="BX26">
        <v>920</v>
      </c>
      <c r="BY26">
        <v>920</v>
      </c>
      <c r="BZ26">
        <v>2680</v>
      </c>
      <c r="CA26">
        <v>2680</v>
      </c>
      <c r="CB26">
        <v>2680</v>
      </c>
      <c r="CC26">
        <v>920</v>
      </c>
      <c r="CD26">
        <v>920</v>
      </c>
      <c r="CE26">
        <v>920</v>
      </c>
      <c r="CF26">
        <v>920</v>
      </c>
      <c r="CG26">
        <v>920</v>
      </c>
      <c r="CH26">
        <v>920</v>
      </c>
      <c r="CI26">
        <v>184</v>
      </c>
      <c r="CJ26">
        <v>184</v>
      </c>
      <c r="CK26">
        <v>184</v>
      </c>
      <c r="CP26">
        <v>888</v>
      </c>
      <c r="CQ26">
        <v>888</v>
      </c>
      <c r="CU26">
        <v>888</v>
      </c>
      <c r="CV26">
        <v>888</v>
      </c>
      <c r="CZ26">
        <v>1064</v>
      </c>
      <c r="DA26">
        <v>1064</v>
      </c>
      <c r="DB26">
        <v>1064</v>
      </c>
      <c r="DC26">
        <v>536</v>
      </c>
      <c r="DD26">
        <v>536</v>
      </c>
      <c r="DE26">
        <v>536</v>
      </c>
      <c r="DF26">
        <v>888</v>
      </c>
      <c r="DG26">
        <v>888</v>
      </c>
      <c r="DH26">
        <v>888</v>
      </c>
      <c r="DY26">
        <v>184</v>
      </c>
      <c r="EB26">
        <v>536</v>
      </c>
      <c r="EC26">
        <v>536</v>
      </c>
      <c r="ED26">
        <v>536</v>
      </c>
      <c r="EE26">
        <v>688</v>
      </c>
      <c r="EF26">
        <v>688</v>
      </c>
      <c r="EG26">
        <v>688</v>
      </c>
      <c r="EU26">
        <v>536</v>
      </c>
      <c r="EY26">
        <v>352</v>
      </c>
      <c r="EZ26">
        <v>352</v>
      </c>
      <c r="FE26">
        <v>184</v>
      </c>
      <c r="FF26">
        <v>184</v>
      </c>
      <c r="FG26">
        <v>184</v>
      </c>
      <c r="FP26">
        <v>360</v>
      </c>
      <c r="FS26">
        <v>184</v>
      </c>
      <c r="FX26">
        <v>184</v>
      </c>
      <c r="GF26">
        <v>680</v>
      </c>
      <c r="GP26">
        <v>184</v>
      </c>
      <c r="GQ26">
        <v>184</v>
      </c>
      <c r="GT26">
        <v>344</v>
      </c>
      <c r="GU26">
        <v>184</v>
      </c>
      <c r="GV26">
        <v>184</v>
      </c>
      <c r="GW26">
        <v>184</v>
      </c>
      <c r="GX26">
        <v>184</v>
      </c>
      <c r="GY26">
        <v>184</v>
      </c>
      <c r="GZ26">
        <v>184</v>
      </c>
      <c r="HA26">
        <v>352</v>
      </c>
      <c r="HB26">
        <v>352</v>
      </c>
      <c r="HC26">
        <v>352</v>
      </c>
      <c r="HD26">
        <v>352</v>
      </c>
      <c r="HE26">
        <v>352</v>
      </c>
      <c r="HF26">
        <v>520</v>
      </c>
      <c r="HG26">
        <v>520</v>
      </c>
      <c r="HO26">
        <v>184</v>
      </c>
      <c r="HP26">
        <v>184</v>
      </c>
      <c r="HT26">
        <v>184</v>
      </c>
      <c r="IB26">
        <v>184</v>
      </c>
      <c r="IC26">
        <v>184</v>
      </c>
      <c r="ID26">
        <v>184</v>
      </c>
      <c r="IE26">
        <v>184</v>
      </c>
      <c r="IF26">
        <v>184</v>
      </c>
      <c r="IG26">
        <v>1416</v>
      </c>
      <c r="IH26">
        <v>1416</v>
      </c>
      <c r="II26">
        <v>1416</v>
      </c>
      <c r="IJ26">
        <v>536</v>
      </c>
      <c r="IK26">
        <v>536</v>
      </c>
      <c r="IL26">
        <v>536</v>
      </c>
      <c r="IM26">
        <v>536</v>
      </c>
      <c r="IN26">
        <v>536</v>
      </c>
      <c r="IO26">
        <v>536</v>
      </c>
      <c r="IP26">
        <v>536</v>
      </c>
      <c r="IQ26">
        <v>536</v>
      </c>
      <c r="IR26">
        <v>536</v>
      </c>
      <c r="IU26">
        <v>184</v>
      </c>
      <c r="IV26">
        <v>184</v>
      </c>
      <c r="IW26">
        <v>184</v>
      </c>
      <c r="IX26">
        <v>184</v>
      </c>
      <c r="IY26">
        <v>184</v>
      </c>
      <c r="IZ26">
        <v>184</v>
      </c>
      <c r="JA26">
        <v>184</v>
      </c>
      <c r="JB26">
        <v>360</v>
      </c>
      <c r="JC26">
        <v>360</v>
      </c>
      <c r="JD26">
        <v>184</v>
      </c>
      <c r="JE26">
        <v>184</v>
      </c>
      <c r="JF26">
        <v>184</v>
      </c>
      <c r="JG26">
        <v>184</v>
      </c>
      <c r="JH26">
        <v>320</v>
      </c>
      <c r="JI26">
        <v>184</v>
      </c>
      <c r="JJ26">
        <v>184</v>
      </c>
      <c r="JK26">
        <v>184</v>
      </c>
      <c r="JL26">
        <v>184</v>
      </c>
      <c r="JM26">
        <v>3368</v>
      </c>
      <c r="JO26">
        <v>1416</v>
      </c>
      <c r="JR26">
        <v>1416</v>
      </c>
      <c r="JS26">
        <v>1416</v>
      </c>
      <c r="JT26">
        <v>184</v>
      </c>
      <c r="JU26">
        <v>184</v>
      </c>
      <c r="JV26">
        <v>184</v>
      </c>
      <c r="KB26" s="42">
        <v>184</v>
      </c>
      <c r="KD26">
        <v>536</v>
      </c>
      <c r="KM26" s="42">
        <f t="shared" si="6"/>
        <v>184</v>
      </c>
      <c r="KR26" s="42">
        <v>2096</v>
      </c>
      <c r="KS26" s="42">
        <v>2016</v>
      </c>
      <c r="KT26" s="42">
        <v>888</v>
      </c>
      <c r="KU26" s="42">
        <v>888</v>
      </c>
      <c r="KV26" s="42">
        <f t="shared" si="5"/>
        <v>184</v>
      </c>
      <c r="KW26" s="42">
        <f t="shared" si="5"/>
        <v>184</v>
      </c>
      <c r="KX26" s="42">
        <v>1768</v>
      </c>
    </row>
    <row r="27" spans="1:310" x14ac:dyDescent="0.35">
      <c r="D27">
        <v>192</v>
      </c>
      <c r="E27">
        <v>192</v>
      </c>
      <c r="F27">
        <v>192</v>
      </c>
      <c r="X27">
        <v>2688</v>
      </c>
      <c r="Y27">
        <v>192</v>
      </c>
      <c r="Z27">
        <v>192</v>
      </c>
      <c r="AA27">
        <v>192</v>
      </c>
      <c r="AN27">
        <v>192</v>
      </c>
      <c r="AO27">
        <v>192</v>
      </c>
      <c r="AP27">
        <v>192</v>
      </c>
      <c r="AW27">
        <v>192</v>
      </c>
      <c r="AX27">
        <v>192</v>
      </c>
      <c r="AZ27">
        <v>208</v>
      </c>
      <c r="BB27">
        <v>192</v>
      </c>
      <c r="BE27">
        <v>192</v>
      </c>
      <c r="BF27">
        <v>192</v>
      </c>
      <c r="BG27">
        <v>192</v>
      </c>
      <c r="BH27">
        <v>192</v>
      </c>
      <c r="BI27">
        <v>192</v>
      </c>
      <c r="BJ27">
        <v>192</v>
      </c>
      <c r="BK27">
        <v>416</v>
      </c>
      <c r="BM27">
        <v>408</v>
      </c>
      <c r="BN27">
        <v>192</v>
      </c>
      <c r="BO27">
        <v>192</v>
      </c>
      <c r="BP27">
        <v>192</v>
      </c>
      <c r="BQ27">
        <v>960</v>
      </c>
      <c r="BR27">
        <v>960</v>
      </c>
      <c r="BS27">
        <v>960</v>
      </c>
      <c r="BT27">
        <v>960</v>
      </c>
      <c r="BU27">
        <v>960</v>
      </c>
      <c r="BV27">
        <v>960</v>
      </c>
      <c r="BW27">
        <v>960</v>
      </c>
      <c r="BX27">
        <v>960</v>
      </c>
      <c r="BY27">
        <v>960</v>
      </c>
      <c r="BZ27">
        <v>2800</v>
      </c>
      <c r="CA27">
        <v>2800</v>
      </c>
      <c r="CB27">
        <v>2800</v>
      </c>
      <c r="CC27">
        <v>960</v>
      </c>
      <c r="CE27">
        <v>960</v>
      </c>
      <c r="CF27">
        <v>960</v>
      </c>
      <c r="CG27">
        <v>960</v>
      </c>
      <c r="CH27">
        <v>960</v>
      </c>
      <c r="CI27">
        <v>192</v>
      </c>
      <c r="CJ27">
        <v>192</v>
      </c>
      <c r="CK27">
        <v>192</v>
      </c>
      <c r="CP27">
        <v>928</v>
      </c>
      <c r="CQ27">
        <v>928</v>
      </c>
      <c r="CU27">
        <v>928</v>
      </c>
      <c r="CV27">
        <v>928</v>
      </c>
      <c r="CZ27">
        <v>1112</v>
      </c>
      <c r="DA27">
        <v>1112</v>
      </c>
      <c r="DB27">
        <v>1112</v>
      </c>
      <c r="DC27">
        <v>560</v>
      </c>
      <c r="DD27">
        <v>560</v>
      </c>
      <c r="DE27">
        <v>560</v>
      </c>
      <c r="DF27">
        <v>928</v>
      </c>
      <c r="DG27">
        <v>928</v>
      </c>
      <c r="DH27">
        <v>928</v>
      </c>
      <c r="DY27">
        <v>192</v>
      </c>
      <c r="EB27">
        <v>560</v>
      </c>
      <c r="EC27">
        <v>560</v>
      </c>
      <c r="ED27">
        <v>560</v>
      </c>
      <c r="EE27">
        <v>720</v>
      </c>
      <c r="EF27">
        <v>720</v>
      </c>
      <c r="EG27">
        <v>720</v>
      </c>
      <c r="EY27">
        <v>368</v>
      </c>
      <c r="FE27">
        <v>192</v>
      </c>
      <c r="FF27">
        <v>192</v>
      </c>
      <c r="FG27">
        <v>192</v>
      </c>
      <c r="FP27">
        <v>376</v>
      </c>
      <c r="FS27">
        <v>192</v>
      </c>
      <c r="FX27">
        <v>192</v>
      </c>
      <c r="GF27">
        <v>712</v>
      </c>
      <c r="GP27">
        <v>192</v>
      </c>
      <c r="GQ27">
        <v>192</v>
      </c>
      <c r="GU27">
        <v>192</v>
      </c>
      <c r="GV27">
        <v>192</v>
      </c>
      <c r="GW27">
        <v>192</v>
      </c>
      <c r="GX27">
        <v>192</v>
      </c>
      <c r="GY27">
        <v>192</v>
      </c>
      <c r="GZ27">
        <v>192</v>
      </c>
      <c r="HA27">
        <v>368</v>
      </c>
      <c r="HB27">
        <v>368</v>
      </c>
      <c r="HC27">
        <v>368</v>
      </c>
      <c r="HD27">
        <v>368</v>
      </c>
      <c r="HE27">
        <v>368</v>
      </c>
      <c r="HF27">
        <v>544</v>
      </c>
      <c r="HG27">
        <v>544</v>
      </c>
      <c r="HO27">
        <v>192</v>
      </c>
      <c r="HP27">
        <v>192</v>
      </c>
      <c r="HT27">
        <v>192</v>
      </c>
      <c r="IB27">
        <v>192</v>
      </c>
      <c r="IC27">
        <v>192</v>
      </c>
      <c r="ID27">
        <v>192</v>
      </c>
      <c r="IE27">
        <v>192</v>
      </c>
      <c r="IF27">
        <v>192</v>
      </c>
      <c r="IG27">
        <v>1480</v>
      </c>
      <c r="IH27">
        <v>1480</v>
      </c>
      <c r="IJ27">
        <v>560</v>
      </c>
      <c r="IK27">
        <v>560</v>
      </c>
      <c r="IL27">
        <v>560</v>
      </c>
      <c r="IM27">
        <v>560</v>
      </c>
      <c r="IN27">
        <v>560</v>
      </c>
      <c r="IO27">
        <v>560</v>
      </c>
      <c r="IP27">
        <v>560</v>
      </c>
      <c r="IQ27">
        <v>560</v>
      </c>
      <c r="IR27">
        <v>560</v>
      </c>
      <c r="IU27">
        <v>192</v>
      </c>
      <c r="IV27">
        <v>192</v>
      </c>
      <c r="IW27">
        <v>192</v>
      </c>
      <c r="IX27">
        <v>192</v>
      </c>
      <c r="IY27">
        <v>192</v>
      </c>
      <c r="IZ27">
        <v>192</v>
      </c>
      <c r="JA27">
        <v>192</v>
      </c>
      <c r="JB27">
        <v>376</v>
      </c>
      <c r="JC27">
        <v>376</v>
      </c>
      <c r="JD27">
        <v>192</v>
      </c>
      <c r="JE27">
        <v>192</v>
      </c>
      <c r="JF27">
        <v>192</v>
      </c>
      <c r="JG27">
        <v>192</v>
      </c>
      <c r="JH27">
        <v>328</v>
      </c>
      <c r="JI27">
        <v>192</v>
      </c>
      <c r="JJ27">
        <v>192</v>
      </c>
      <c r="JK27">
        <v>192</v>
      </c>
      <c r="JL27">
        <v>192</v>
      </c>
      <c r="JM27">
        <v>3528</v>
      </c>
      <c r="JR27">
        <v>1480</v>
      </c>
      <c r="JS27">
        <v>1480</v>
      </c>
      <c r="JT27">
        <v>192</v>
      </c>
      <c r="JU27">
        <v>192</v>
      </c>
      <c r="JV27">
        <v>192</v>
      </c>
      <c r="KB27" s="42">
        <v>192</v>
      </c>
      <c r="KD27">
        <v>560</v>
      </c>
      <c r="KM27" s="42">
        <f t="shared" si="6"/>
        <v>192</v>
      </c>
      <c r="KS27" s="42">
        <v>2096</v>
      </c>
      <c r="KT27" s="42">
        <v>928</v>
      </c>
      <c r="KU27" s="42">
        <v>928</v>
      </c>
      <c r="KV27" s="42">
        <f t="shared" si="5"/>
        <v>192</v>
      </c>
      <c r="KW27" s="42">
        <f t="shared" si="5"/>
        <v>192</v>
      </c>
      <c r="KX27" s="42">
        <v>1848</v>
      </c>
    </row>
    <row r="28" spans="1:310" x14ac:dyDescent="0.35">
      <c r="D28">
        <v>200</v>
      </c>
      <c r="E28">
        <v>200</v>
      </c>
      <c r="F28">
        <v>200</v>
      </c>
      <c r="X28">
        <v>2800</v>
      </c>
      <c r="Y28">
        <v>200</v>
      </c>
      <c r="Z28">
        <v>200</v>
      </c>
      <c r="AA28">
        <v>200</v>
      </c>
      <c r="AN28">
        <v>200</v>
      </c>
      <c r="AO28">
        <v>200</v>
      </c>
      <c r="AP28">
        <v>200</v>
      </c>
      <c r="AW28">
        <v>200</v>
      </c>
      <c r="AX28">
        <v>200</v>
      </c>
      <c r="AZ28">
        <v>216</v>
      </c>
      <c r="BB28">
        <v>200</v>
      </c>
      <c r="BE28">
        <v>200</v>
      </c>
      <c r="BF28">
        <v>200</v>
      </c>
      <c r="BG28">
        <v>200</v>
      </c>
      <c r="BH28">
        <v>200</v>
      </c>
      <c r="BI28">
        <v>200</v>
      </c>
      <c r="BJ28">
        <v>200</v>
      </c>
      <c r="BK28">
        <v>424</v>
      </c>
      <c r="BM28">
        <v>416</v>
      </c>
      <c r="BN28">
        <v>200</v>
      </c>
      <c r="BO28">
        <v>200</v>
      </c>
      <c r="BP28">
        <v>200</v>
      </c>
      <c r="BQ28">
        <v>1000</v>
      </c>
      <c r="BR28">
        <v>1000</v>
      </c>
      <c r="BS28">
        <v>1000</v>
      </c>
      <c r="BT28">
        <v>1000</v>
      </c>
      <c r="BU28">
        <v>1000</v>
      </c>
      <c r="BV28">
        <v>1000</v>
      </c>
      <c r="BW28">
        <v>1000</v>
      </c>
      <c r="BX28">
        <v>1000</v>
      </c>
      <c r="BY28">
        <v>1000</v>
      </c>
      <c r="BZ28">
        <v>2920</v>
      </c>
      <c r="CA28">
        <v>2920</v>
      </c>
      <c r="CB28">
        <v>2920</v>
      </c>
      <c r="CC28">
        <v>1000</v>
      </c>
      <c r="CE28">
        <v>1000</v>
      </c>
      <c r="CF28">
        <v>1000</v>
      </c>
      <c r="CG28">
        <v>1000</v>
      </c>
      <c r="CH28">
        <v>1000</v>
      </c>
      <c r="CI28">
        <v>200</v>
      </c>
      <c r="CJ28">
        <v>200</v>
      </c>
      <c r="CK28">
        <v>200</v>
      </c>
      <c r="CP28">
        <v>968</v>
      </c>
      <c r="CQ28">
        <v>968</v>
      </c>
      <c r="CU28">
        <v>968</v>
      </c>
      <c r="CV28">
        <v>968</v>
      </c>
      <c r="CZ28">
        <v>1160</v>
      </c>
      <c r="DA28">
        <v>1160</v>
      </c>
      <c r="DB28">
        <v>1160</v>
      </c>
      <c r="DC28">
        <v>584</v>
      </c>
      <c r="DD28">
        <v>584</v>
      </c>
      <c r="DE28">
        <v>584</v>
      </c>
      <c r="DF28">
        <v>968</v>
      </c>
      <c r="DG28">
        <v>968</v>
      </c>
      <c r="DH28">
        <v>968</v>
      </c>
      <c r="DY28">
        <v>200</v>
      </c>
      <c r="EB28">
        <v>584</v>
      </c>
      <c r="EC28">
        <v>584</v>
      </c>
      <c r="ED28">
        <v>584</v>
      </c>
      <c r="EE28">
        <v>752</v>
      </c>
      <c r="EF28">
        <v>752</v>
      </c>
      <c r="EG28">
        <v>752</v>
      </c>
      <c r="EY28">
        <v>384</v>
      </c>
      <c r="FE28">
        <v>200</v>
      </c>
      <c r="FF28">
        <v>200</v>
      </c>
      <c r="FG28">
        <v>200</v>
      </c>
      <c r="FS28">
        <v>200</v>
      </c>
      <c r="FX28">
        <v>200</v>
      </c>
      <c r="GF28">
        <v>744</v>
      </c>
      <c r="GP28">
        <v>200</v>
      </c>
      <c r="GQ28">
        <v>200</v>
      </c>
      <c r="GU28">
        <v>200</v>
      </c>
      <c r="GV28">
        <v>200</v>
      </c>
      <c r="GW28">
        <v>200</v>
      </c>
      <c r="GX28">
        <v>200</v>
      </c>
      <c r="GY28">
        <v>200</v>
      </c>
      <c r="GZ28">
        <v>200</v>
      </c>
      <c r="HA28">
        <v>384</v>
      </c>
      <c r="HB28">
        <v>384</v>
      </c>
      <c r="HC28">
        <v>384</v>
      </c>
      <c r="HD28">
        <v>384</v>
      </c>
      <c r="HE28">
        <v>384</v>
      </c>
      <c r="HF28">
        <v>568</v>
      </c>
      <c r="HG28">
        <v>568</v>
      </c>
      <c r="HO28">
        <v>200</v>
      </c>
      <c r="HP28">
        <v>200</v>
      </c>
      <c r="HT28">
        <v>200</v>
      </c>
      <c r="IB28">
        <v>200</v>
      </c>
      <c r="ID28">
        <v>200</v>
      </c>
      <c r="IE28">
        <v>200</v>
      </c>
      <c r="IF28">
        <v>200</v>
      </c>
      <c r="IG28">
        <v>1544</v>
      </c>
      <c r="IH28">
        <v>1544</v>
      </c>
      <c r="IJ28">
        <v>584</v>
      </c>
      <c r="IK28">
        <v>584</v>
      </c>
      <c r="IL28">
        <v>584</v>
      </c>
      <c r="IM28">
        <v>584</v>
      </c>
      <c r="IN28">
        <v>584</v>
      </c>
      <c r="IO28">
        <v>584</v>
      </c>
      <c r="IP28">
        <v>584</v>
      </c>
      <c r="IQ28">
        <v>584</v>
      </c>
      <c r="IR28">
        <v>584</v>
      </c>
      <c r="IU28">
        <v>200</v>
      </c>
      <c r="IV28">
        <v>200</v>
      </c>
      <c r="IW28">
        <v>200</v>
      </c>
      <c r="IX28">
        <v>200</v>
      </c>
      <c r="IY28">
        <v>200</v>
      </c>
      <c r="IZ28">
        <v>200</v>
      </c>
      <c r="JA28">
        <v>200</v>
      </c>
      <c r="JB28">
        <v>392</v>
      </c>
      <c r="JC28">
        <v>392</v>
      </c>
      <c r="JD28">
        <v>200</v>
      </c>
      <c r="JE28">
        <v>200</v>
      </c>
      <c r="JF28">
        <v>200</v>
      </c>
      <c r="JG28">
        <v>200</v>
      </c>
      <c r="JH28">
        <v>336</v>
      </c>
      <c r="JI28">
        <v>200</v>
      </c>
      <c r="JJ28">
        <v>200</v>
      </c>
      <c r="JK28">
        <v>200</v>
      </c>
      <c r="JL28">
        <v>200</v>
      </c>
      <c r="JM28">
        <v>3688</v>
      </c>
      <c r="JS28">
        <v>1800</v>
      </c>
      <c r="JT28">
        <v>200</v>
      </c>
      <c r="JU28">
        <v>200</v>
      </c>
      <c r="JV28">
        <v>200</v>
      </c>
      <c r="KB28" s="42">
        <v>200</v>
      </c>
      <c r="KD28">
        <v>584</v>
      </c>
      <c r="KM28" s="42">
        <f t="shared" si="6"/>
        <v>200</v>
      </c>
      <c r="KT28" s="42">
        <v>968</v>
      </c>
      <c r="KU28" s="42">
        <v>968</v>
      </c>
      <c r="KX28" s="42">
        <v>1928</v>
      </c>
    </row>
    <row r="29" spans="1:310" x14ac:dyDescent="0.35">
      <c r="D29">
        <v>208</v>
      </c>
      <c r="E29">
        <v>208</v>
      </c>
      <c r="F29">
        <v>208</v>
      </c>
      <c r="X29">
        <v>2912</v>
      </c>
      <c r="Y29">
        <v>208</v>
      </c>
      <c r="Z29">
        <v>208</v>
      </c>
      <c r="AA29">
        <v>208</v>
      </c>
      <c r="AN29">
        <v>208</v>
      </c>
      <c r="AO29">
        <v>208</v>
      </c>
      <c r="AP29">
        <v>208</v>
      </c>
      <c r="AW29">
        <v>208</v>
      </c>
      <c r="AX29">
        <v>208</v>
      </c>
      <c r="AZ29">
        <v>224</v>
      </c>
      <c r="BB29">
        <v>208</v>
      </c>
      <c r="BE29">
        <v>208</v>
      </c>
      <c r="BF29">
        <v>208</v>
      </c>
      <c r="BG29">
        <v>208</v>
      </c>
      <c r="BH29">
        <v>208</v>
      </c>
      <c r="BI29">
        <v>208</v>
      </c>
      <c r="BJ29">
        <v>208</v>
      </c>
      <c r="BK29">
        <v>432</v>
      </c>
      <c r="BM29">
        <v>424</v>
      </c>
      <c r="BN29">
        <v>208</v>
      </c>
      <c r="BO29">
        <v>208</v>
      </c>
      <c r="BP29">
        <v>208</v>
      </c>
      <c r="BQ29">
        <v>1040</v>
      </c>
      <c r="BR29">
        <v>1040</v>
      </c>
      <c r="BS29">
        <v>1040</v>
      </c>
      <c r="BT29">
        <v>1040</v>
      </c>
      <c r="BU29">
        <v>1040</v>
      </c>
      <c r="BV29">
        <v>1040</v>
      </c>
      <c r="BW29">
        <v>1040</v>
      </c>
      <c r="BX29">
        <v>1040</v>
      </c>
      <c r="BY29">
        <v>1040</v>
      </c>
      <c r="BZ29">
        <v>3040</v>
      </c>
      <c r="CA29">
        <v>3040</v>
      </c>
      <c r="CB29">
        <v>3040</v>
      </c>
      <c r="CC29">
        <v>1040</v>
      </c>
      <c r="CE29">
        <v>1040</v>
      </c>
      <c r="CF29">
        <v>1040</v>
      </c>
      <c r="CG29">
        <v>1040</v>
      </c>
      <c r="CH29">
        <v>1040</v>
      </c>
      <c r="CI29">
        <v>208</v>
      </c>
      <c r="CJ29">
        <v>208</v>
      </c>
      <c r="CK29">
        <v>208</v>
      </c>
      <c r="CU29">
        <v>1008</v>
      </c>
      <c r="CV29">
        <v>1008</v>
      </c>
      <c r="CZ29">
        <v>1208</v>
      </c>
      <c r="DA29">
        <v>1208</v>
      </c>
      <c r="DB29">
        <v>1208</v>
      </c>
      <c r="DC29">
        <v>608</v>
      </c>
      <c r="DD29">
        <v>608</v>
      </c>
      <c r="DE29">
        <v>608</v>
      </c>
      <c r="DF29">
        <v>1008</v>
      </c>
      <c r="DG29">
        <v>1008</v>
      </c>
      <c r="DH29">
        <v>1008</v>
      </c>
      <c r="DY29">
        <v>208</v>
      </c>
      <c r="EB29">
        <v>608</v>
      </c>
      <c r="EC29">
        <v>608</v>
      </c>
      <c r="ED29">
        <v>608</v>
      </c>
      <c r="EE29">
        <v>784</v>
      </c>
      <c r="EF29">
        <v>784</v>
      </c>
      <c r="EG29">
        <v>784</v>
      </c>
      <c r="EY29">
        <v>400</v>
      </c>
      <c r="FE29">
        <v>208</v>
      </c>
      <c r="FG29">
        <v>208</v>
      </c>
      <c r="FS29">
        <v>208</v>
      </c>
      <c r="GF29">
        <v>776</v>
      </c>
      <c r="GP29">
        <v>208</v>
      </c>
      <c r="GU29">
        <v>208</v>
      </c>
      <c r="GV29">
        <v>208</v>
      </c>
      <c r="GW29">
        <v>208</v>
      </c>
      <c r="GX29">
        <v>208</v>
      </c>
      <c r="GY29">
        <v>208</v>
      </c>
      <c r="GZ29">
        <v>208</v>
      </c>
      <c r="HA29">
        <v>400</v>
      </c>
      <c r="HB29">
        <v>400</v>
      </c>
      <c r="HC29">
        <v>400</v>
      </c>
      <c r="HD29">
        <v>400</v>
      </c>
      <c r="HE29">
        <v>400</v>
      </c>
      <c r="HF29">
        <v>592</v>
      </c>
      <c r="HG29">
        <v>592</v>
      </c>
      <c r="HO29">
        <v>208</v>
      </c>
      <c r="HP29">
        <v>208</v>
      </c>
      <c r="ID29">
        <v>208</v>
      </c>
      <c r="IE29">
        <v>208</v>
      </c>
      <c r="IF29">
        <v>208</v>
      </c>
      <c r="IG29">
        <v>1608</v>
      </c>
      <c r="IH29">
        <v>1608</v>
      </c>
      <c r="IJ29">
        <v>608</v>
      </c>
      <c r="IK29">
        <v>608</v>
      </c>
      <c r="IL29">
        <v>608</v>
      </c>
      <c r="IM29">
        <v>608</v>
      </c>
      <c r="IN29">
        <v>608</v>
      </c>
      <c r="IO29">
        <v>608</v>
      </c>
      <c r="IP29">
        <v>608</v>
      </c>
      <c r="IQ29">
        <v>608</v>
      </c>
      <c r="IR29">
        <v>608</v>
      </c>
      <c r="IU29">
        <v>208</v>
      </c>
      <c r="IV29">
        <v>208</v>
      </c>
      <c r="IW29">
        <v>208</v>
      </c>
      <c r="IX29">
        <v>208</v>
      </c>
      <c r="IY29">
        <v>208</v>
      </c>
      <c r="IZ29">
        <v>208</v>
      </c>
      <c r="JA29">
        <v>208</v>
      </c>
      <c r="JB29">
        <v>408</v>
      </c>
      <c r="JC29">
        <v>408</v>
      </c>
      <c r="JD29">
        <v>208</v>
      </c>
      <c r="JE29">
        <v>208</v>
      </c>
      <c r="JF29">
        <v>208</v>
      </c>
      <c r="JG29">
        <v>208</v>
      </c>
      <c r="JH29">
        <v>344</v>
      </c>
      <c r="JI29">
        <v>208</v>
      </c>
      <c r="JJ29">
        <v>208</v>
      </c>
      <c r="JK29">
        <v>208</v>
      </c>
      <c r="JL29">
        <v>208</v>
      </c>
      <c r="JM29">
        <v>3848</v>
      </c>
      <c r="JS29">
        <v>1864</v>
      </c>
      <c r="JT29">
        <v>208</v>
      </c>
      <c r="JU29">
        <v>208</v>
      </c>
      <c r="JV29">
        <v>208</v>
      </c>
      <c r="KB29" s="42">
        <v>208</v>
      </c>
      <c r="KD29">
        <v>608</v>
      </c>
      <c r="KM29" s="42">
        <f t="shared" si="6"/>
        <v>208</v>
      </c>
      <c r="KT29" s="42">
        <v>1008</v>
      </c>
      <c r="KU29" s="42">
        <v>1008</v>
      </c>
      <c r="KX29" s="42">
        <v>2008</v>
      </c>
    </row>
    <row r="30" spans="1:310" x14ac:dyDescent="0.35">
      <c r="D30">
        <v>216</v>
      </c>
      <c r="E30">
        <v>216</v>
      </c>
      <c r="F30">
        <v>216</v>
      </c>
      <c r="X30">
        <v>3024</v>
      </c>
      <c r="Y30">
        <v>216</v>
      </c>
      <c r="Z30">
        <v>216</v>
      </c>
      <c r="AA30">
        <v>216</v>
      </c>
      <c r="AN30">
        <v>216</v>
      </c>
      <c r="AO30">
        <v>216</v>
      </c>
      <c r="AP30">
        <v>216</v>
      </c>
      <c r="AW30">
        <v>216</v>
      </c>
      <c r="AX30">
        <v>216</v>
      </c>
      <c r="AZ30">
        <v>232</v>
      </c>
      <c r="BB30">
        <v>216</v>
      </c>
      <c r="BE30">
        <v>216</v>
      </c>
      <c r="BF30">
        <v>216</v>
      </c>
      <c r="BG30">
        <v>216</v>
      </c>
      <c r="BH30">
        <v>216</v>
      </c>
      <c r="BI30">
        <v>216</v>
      </c>
      <c r="BJ30">
        <v>216</v>
      </c>
      <c r="BK30">
        <v>440</v>
      </c>
      <c r="BN30">
        <v>216</v>
      </c>
      <c r="BO30">
        <v>216</v>
      </c>
      <c r="BP30">
        <v>216</v>
      </c>
      <c r="BQ30">
        <v>1080</v>
      </c>
      <c r="BR30">
        <v>1080</v>
      </c>
      <c r="BS30">
        <v>1080</v>
      </c>
      <c r="BT30">
        <v>1080</v>
      </c>
      <c r="BU30">
        <v>1080</v>
      </c>
      <c r="BV30">
        <v>1080</v>
      </c>
      <c r="BW30">
        <v>1080</v>
      </c>
      <c r="BX30">
        <v>1080</v>
      </c>
      <c r="BY30">
        <v>1080</v>
      </c>
      <c r="BZ30">
        <v>3160</v>
      </c>
      <c r="CA30">
        <v>3160</v>
      </c>
      <c r="CB30">
        <v>3160</v>
      </c>
      <c r="CC30">
        <v>1080</v>
      </c>
      <c r="CE30">
        <v>1080</v>
      </c>
      <c r="CF30">
        <v>1080</v>
      </c>
      <c r="CG30">
        <v>1080</v>
      </c>
      <c r="CH30">
        <v>1080</v>
      </c>
      <c r="CI30">
        <v>216</v>
      </c>
      <c r="CJ30">
        <v>216</v>
      </c>
      <c r="CK30">
        <v>216</v>
      </c>
      <c r="CU30">
        <v>1048</v>
      </c>
      <c r="CV30">
        <v>1048</v>
      </c>
      <c r="CZ30">
        <v>1256</v>
      </c>
      <c r="DA30">
        <v>1256</v>
      </c>
      <c r="DB30">
        <v>1256</v>
      </c>
      <c r="DC30">
        <v>632</v>
      </c>
      <c r="DD30">
        <v>632</v>
      </c>
      <c r="DE30">
        <v>632</v>
      </c>
      <c r="DF30">
        <v>1048</v>
      </c>
      <c r="DG30">
        <v>1048</v>
      </c>
      <c r="DH30">
        <v>1048</v>
      </c>
      <c r="DY30">
        <v>216</v>
      </c>
      <c r="EB30">
        <v>632</v>
      </c>
      <c r="EC30">
        <v>632</v>
      </c>
      <c r="ED30">
        <v>632</v>
      </c>
      <c r="EE30">
        <v>816</v>
      </c>
      <c r="EF30">
        <v>816</v>
      </c>
      <c r="EG30">
        <v>816</v>
      </c>
      <c r="EY30">
        <v>416</v>
      </c>
      <c r="FE30">
        <v>216</v>
      </c>
      <c r="FG30">
        <v>216</v>
      </c>
      <c r="FS30">
        <v>216</v>
      </c>
      <c r="GF30">
        <v>808</v>
      </c>
      <c r="GU30">
        <v>216</v>
      </c>
      <c r="GV30">
        <v>216</v>
      </c>
      <c r="GW30">
        <v>216</v>
      </c>
      <c r="GX30">
        <v>216</v>
      </c>
      <c r="GY30">
        <v>216</v>
      </c>
      <c r="GZ30">
        <v>216</v>
      </c>
      <c r="HA30">
        <v>416</v>
      </c>
      <c r="HB30">
        <v>416</v>
      </c>
      <c r="HC30">
        <v>416</v>
      </c>
      <c r="HD30">
        <v>416</v>
      </c>
      <c r="HE30">
        <v>416</v>
      </c>
      <c r="HO30">
        <v>216</v>
      </c>
      <c r="HP30">
        <v>216</v>
      </c>
      <c r="IE30">
        <v>216</v>
      </c>
      <c r="IF30">
        <v>216</v>
      </c>
      <c r="IG30">
        <v>1672</v>
      </c>
      <c r="IH30">
        <v>1672</v>
      </c>
      <c r="IJ30">
        <v>632</v>
      </c>
      <c r="IK30">
        <v>632</v>
      </c>
      <c r="IL30">
        <v>632</v>
      </c>
      <c r="IM30">
        <v>632</v>
      </c>
      <c r="IN30">
        <v>632</v>
      </c>
      <c r="IO30">
        <v>632</v>
      </c>
      <c r="IP30">
        <v>632</v>
      </c>
      <c r="IQ30">
        <v>632</v>
      </c>
      <c r="IR30">
        <v>632</v>
      </c>
      <c r="IU30">
        <v>216</v>
      </c>
      <c r="IV30">
        <v>216</v>
      </c>
      <c r="IW30">
        <v>216</v>
      </c>
      <c r="IX30">
        <v>216</v>
      </c>
      <c r="IY30">
        <v>216</v>
      </c>
      <c r="IZ30">
        <v>216</v>
      </c>
      <c r="JA30">
        <v>216</v>
      </c>
      <c r="JB30">
        <v>424</v>
      </c>
      <c r="JC30">
        <v>424</v>
      </c>
      <c r="JD30">
        <v>216</v>
      </c>
      <c r="JE30">
        <v>216</v>
      </c>
      <c r="JF30">
        <v>216</v>
      </c>
      <c r="JG30">
        <v>216</v>
      </c>
      <c r="JH30">
        <v>352</v>
      </c>
      <c r="JI30">
        <v>216</v>
      </c>
      <c r="JJ30">
        <v>216</v>
      </c>
      <c r="JK30">
        <v>216</v>
      </c>
      <c r="JL30">
        <v>216</v>
      </c>
      <c r="JT30">
        <v>216</v>
      </c>
      <c r="JU30">
        <v>216</v>
      </c>
      <c r="JV30">
        <v>216</v>
      </c>
      <c r="KB30" s="42">
        <v>216</v>
      </c>
      <c r="KM30" s="42">
        <f t="shared" si="6"/>
        <v>216</v>
      </c>
      <c r="KT30" s="42">
        <v>1048</v>
      </c>
      <c r="KU30" s="42">
        <v>1048</v>
      </c>
      <c r="KX30" s="42">
        <v>2088</v>
      </c>
    </row>
    <row r="31" spans="1:310" x14ac:dyDescent="0.35">
      <c r="E31">
        <v>224</v>
      </c>
      <c r="F31">
        <v>224</v>
      </c>
      <c r="X31">
        <v>3136</v>
      </c>
      <c r="Y31">
        <v>224</v>
      </c>
      <c r="Z31">
        <v>224</v>
      </c>
      <c r="AA31">
        <v>224</v>
      </c>
      <c r="AN31">
        <v>224</v>
      </c>
      <c r="AO31">
        <v>224</v>
      </c>
      <c r="AP31">
        <v>224</v>
      </c>
      <c r="AW31">
        <v>224</v>
      </c>
      <c r="AX31">
        <v>224</v>
      </c>
      <c r="AZ31">
        <v>240</v>
      </c>
      <c r="BE31">
        <v>224</v>
      </c>
      <c r="BF31">
        <v>224</v>
      </c>
      <c r="BG31">
        <v>224</v>
      </c>
      <c r="BH31">
        <v>224</v>
      </c>
      <c r="BI31">
        <v>224</v>
      </c>
      <c r="BJ31">
        <v>224</v>
      </c>
      <c r="BK31">
        <v>448</v>
      </c>
      <c r="BN31">
        <v>224</v>
      </c>
      <c r="BO31">
        <v>224</v>
      </c>
      <c r="BP31">
        <v>224</v>
      </c>
      <c r="BQ31">
        <v>1120</v>
      </c>
      <c r="BR31">
        <v>1120</v>
      </c>
      <c r="BS31">
        <v>1120</v>
      </c>
      <c r="BT31">
        <v>1120</v>
      </c>
      <c r="BU31">
        <v>1120</v>
      </c>
      <c r="BV31">
        <v>1120</v>
      </c>
      <c r="BW31">
        <v>1120</v>
      </c>
      <c r="BX31">
        <v>1120</v>
      </c>
      <c r="BY31">
        <v>1120</v>
      </c>
      <c r="BZ31">
        <v>3280</v>
      </c>
      <c r="CA31">
        <v>3280</v>
      </c>
      <c r="CB31">
        <v>3280</v>
      </c>
      <c r="CF31">
        <v>1120</v>
      </c>
      <c r="CG31">
        <v>1120</v>
      </c>
      <c r="CH31">
        <v>1120</v>
      </c>
      <c r="CI31">
        <v>224</v>
      </c>
      <c r="CJ31">
        <v>224</v>
      </c>
      <c r="CK31">
        <v>224</v>
      </c>
      <c r="CU31">
        <v>1088</v>
      </c>
      <c r="CV31">
        <v>1088</v>
      </c>
      <c r="CZ31">
        <v>1304</v>
      </c>
      <c r="DA31">
        <v>1304</v>
      </c>
      <c r="DB31">
        <v>1304</v>
      </c>
      <c r="DC31">
        <v>656</v>
      </c>
      <c r="DD31">
        <v>656</v>
      </c>
      <c r="DE31">
        <v>656</v>
      </c>
      <c r="DF31">
        <v>1088</v>
      </c>
      <c r="DG31">
        <v>1088</v>
      </c>
      <c r="DH31">
        <v>1088</v>
      </c>
      <c r="DY31">
        <v>224</v>
      </c>
      <c r="EB31">
        <v>656</v>
      </c>
      <c r="EC31">
        <v>656</v>
      </c>
      <c r="ED31">
        <v>656</v>
      </c>
      <c r="EG31">
        <v>848</v>
      </c>
      <c r="EY31">
        <v>432</v>
      </c>
      <c r="FE31">
        <v>224</v>
      </c>
      <c r="FG31">
        <v>224</v>
      </c>
      <c r="FS31">
        <v>224</v>
      </c>
      <c r="GU31">
        <v>224</v>
      </c>
      <c r="GV31">
        <v>224</v>
      </c>
      <c r="GW31">
        <v>224</v>
      </c>
      <c r="GX31">
        <v>224</v>
      </c>
      <c r="GY31">
        <v>224</v>
      </c>
      <c r="GZ31">
        <v>224</v>
      </c>
      <c r="HA31">
        <v>432</v>
      </c>
      <c r="HB31">
        <v>432</v>
      </c>
      <c r="HC31">
        <v>432</v>
      </c>
      <c r="HD31">
        <v>432</v>
      </c>
      <c r="HE31">
        <v>432</v>
      </c>
      <c r="HO31">
        <v>224</v>
      </c>
      <c r="HP31">
        <v>224</v>
      </c>
      <c r="IE31">
        <v>224</v>
      </c>
      <c r="IF31">
        <v>224</v>
      </c>
      <c r="IG31">
        <v>1736</v>
      </c>
      <c r="IH31">
        <v>1736</v>
      </c>
      <c r="IJ31">
        <v>656</v>
      </c>
      <c r="IK31">
        <v>656</v>
      </c>
      <c r="IL31">
        <v>656</v>
      </c>
      <c r="IM31">
        <v>656</v>
      </c>
      <c r="IN31">
        <v>656</v>
      </c>
      <c r="IO31">
        <v>656</v>
      </c>
      <c r="IP31">
        <v>656</v>
      </c>
      <c r="IR31">
        <v>656</v>
      </c>
      <c r="IU31">
        <v>224</v>
      </c>
      <c r="IV31">
        <v>224</v>
      </c>
      <c r="IW31">
        <v>224</v>
      </c>
      <c r="IX31">
        <v>224</v>
      </c>
      <c r="IY31">
        <v>224</v>
      </c>
      <c r="IZ31">
        <v>224</v>
      </c>
      <c r="JA31">
        <v>224</v>
      </c>
      <c r="JB31">
        <v>440</v>
      </c>
      <c r="JC31">
        <v>440</v>
      </c>
      <c r="JD31">
        <v>224</v>
      </c>
      <c r="JE31">
        <v>224</v>
      </c>
      <c r="JF31">
        <v>224</v>
      </c>
      <c r="JG31">
        <v>224</v>
      </c>
      <c r="JH31">
        <v>360</v>
      </c>
      <c r="JI31">
        <v>224</v>
      </c>
      <c r="JJ31">
        <v>224</v>
      </c>
      <c r="JK31">
        <v>224</v>
      </c>
      <c r="JL31">
        <v>224</v>
      </c>
      <c r="JT31">
        <v>224</v>
      </c>
      <c r="JU31">
        <v>224</v>
      </c>
      <c r="JV31">
        <v>224</v>
      </c>
      <c r="KB31" s="42">
        <v>224</v>
      </c>
      <c r="KM31" s="42">
        <f t="shared" si="6"/>
        <v>224</v>
      </c>
      <c r="KT31" s="42">
        <v>1088</v>
      </c>
      <c r="KU31" s="42">
        <v>1088</v>
      </c>
      <c r="KX31" s="42">
        <v>2168</v>
      </c>
    </row>
    <row r="32" spans="1:310" x14ac:dyDescent="0.35">
      <c r="E32">
        <v>232</v>
      </c>
      <c r="F32">
        <v>232</v>
      </c>
      <c r="X32">
        <v>3248</v>
      </c>
      <c r="Y32">
        <v>232</v>
      </c>
      <c r="Z32">
        <v>232</v>
      </c>
      <c r="AA32">
        <v>232</v>
      </c>
      <c r="AN32">
        <v>232</v>
      </c>
      <c r="AO32">
        <v>232</v>
      </c>
      <c r="AP32">
        <v>232</v>
      </c>
      <c r="AW32">
        <v>232</v>
      </c>
      <c r="AX32">
        <v>232</v>
      </c>
      <c r="AZ32">
        <v>248</v>
      </c>
      <c r="BE32">
        <v>232</v>
      </c>
      <c r="BF32">
        <v>232</v>
      </c>
      <c r="BG32">
        <v>232</v>
      </c>
      <c r="BH32">
        <v>232</v>
      </c>
      <c r="BI32">
        <v>232</v>
      </c>
      <c r="BJ32">
        <v>232</v>
      </c>
      <c r="BK32">
        <v>456</v>
      </c>
      <c r="BN32">
        <v>232</v>
      </c>
      <c r="BO32">
        <v>232</v>
      </c>
      <c r="BP32">
        <v>232</v>
      </c>
      <c r="BQ32">
        <v>1160</v>
      </c>
      <c r="BR32">
        <v>1160</v>
      </c>
      <c r="BS32">
        <v>1160</v>
      </c>
      <c r="BT32">
        <v>1160</v>
      </c>
      <c r="BU32">
        <v>1160</v>
      </c>
      <c r="BV32">
        <v>1160</v>
      </c>
      <c r="BW32">
        <v>1160</v>
      </c>
      <c r="BX32">
        <v>1160</v>
      </c>
      <c r="BY32">
        <v>1160</v>
      </c>
      <c r="BZ32">
        <v>3400</v>
      </c>
      <c r="CA32">
        <v>3400</v>
      </c>
      <c r="CB32">
        <v>3400</v>
      </c>
      <c r="CF32">
        <v>1160</v>
      </c>
      <c r="CG32">
        <v>1160</v>
      </c>
      <c r="CH32">
        <v>1160</v>
      </c>
      <c r="CI32">
        <v>232</v>
      </c>
      <c r="CJ32">
        <v>232</v>
      </c>
      <c r="CK32">
        <v>232</v>
      </c>
      <c r="CU32">
        <v>1128</v>
      </c>
      <c r="CV32">
        <v>1128</v>
      </c>
      <c r="CZ32">
        <v>1352</v>
      </c>
      <c r="DA32">
        <v>1352</v>
      </c>
      <c r="DB32">
        <v>1352</v>
      </c>
      <c r="DC32">
        <v>680</v>
      </c>
      <c r="DD32">
        <v>680</v>
      </c>
      <c r="DE32">
        <v>680</v>
      </c>
      <c r="DF32">
        <v>1128</v>
      </c>
      <c r="DG32">
        <v>1128</v>
      </c>
      <c r="DH32">
        <v>1128</v>
      </c>
      <c r="DY32">
        <v>232</v>
      </c>
      <c r="EB32">
        <v>680</v>
      </c>
      <c r="EC32">
        <v>680</v>
      </c>
      <c r="ED32">
        <v>680</v>
      </c>
      <c r="EG32">
        <v>880</v>
      </c>
      <c r="FE32">
        <v>232</v>
      </c>
      <c r="FG32">
        <v>232</v>
      </c>
      <c r="FS32">
        <v>232</v>
      </c>
      <c r="GU32">
        <v>232</v>
      </c>
      <c r="GV32">
        <v>232</v>
      </c>
      <c r="GX32">
        <v>232</v>
      </c>
      <c r="GY32">
        <v>232</v>
      </c>
      <c r="GZ32">
        <v>232</v>
      </c>
      <c r="HA32">
        <v>448</v>
      </c>
      <c r="HB32">
        <v>448</v>
      </c>
      <c r="HC32">
        <v>448</v>
      </c>
      <c r="HE32">
        <v>448</v>
      </c>
      <c r="HO32">
        <v>232</v>
      </c>
      <c r="HP32">
        <v>232</v>
      </c>
      <c r="IF32">
        <v>232</v>
      </c>
      <c r="IG32">
        <v>1800</v>
      </c>
      <c r="IH32">
        <v>1800</v>
      </c>
      <c r="IJ32">
        <v>680</v>
      </c>
      <c r="IK32">
        <v>680</v>
      </c>
      <c r="IL32">
        <v>680</v>
      </c>
      <c r="IM32">
        <v>680</v>
      </c>
      <c r="IN32">
        <v>680</v>
      </c>
      <c r="IO32">
        <v>680</v>
      </c>
      <c r="IP32">
        <v>680</v>
      </c>
      <c r="IR32">
        <v>680</v>
      </c>
      <c r="IU32">
        <v>232</v>
      </c>
      <c r="IV32">
        <v>232</v>
      </c>
      <c r="IW32">
        <v>232</v>
      </c>
      <c r="IX32">
        <v>232</v>
      </c>
      <c r="IY32">
        <v>232</v>
      </c>
      <c r="IZ32">
        <v>232</v>
      </c>
      <c r="JA32">
        <v>232</v>
      </c>
      <c r="JB32">
        <v>456</v>
      </c>
      <c r="JC32">
        <v>456</v>
      </c>
      <c r="JE32">
        <v>232</v>
      </c>
      <c r="JG32">
        <v>232</v>
      </c>
      <c r="JH32">
        <v>368</v>
      </c>
      <c r="JI32">
        <v>232</v>
      </c>
      <c r="JJ32">
        <v>232</v>
      </c>
      <c r="JK32">
        <v>232</v>
      </c>
      <c r="JL32">
        <v>232</v>
      </c>
      <c r="JU32">
        <v>232</v>
      </c>
      <c r="JV32">
        <v>232</v>
      </c>
      <c r="KB32" s="42">
        <v>232</v>
      </c>
      <c r="KM32" s="42">
        <f t="shared" si="6"/>
        <v>232</v>
      </c>
      <c r="KT32" s="42">
        <v>1128</v>
      </c>
      <c r="KU32" s="42">
        <v>1128</v>
      </c>
      <c r="KX32" s="42">
        <v>2248</v>
      </c>
    </row>
    <row r="33" spans="6:310" x14ac:dyDescent="0.35">
      <c r="F33">
        <v>240</v>
      </c>
      <c r="X33">
        <v>3360</v>
      </c>
      <c r="Y33">
        <v>240</v>
      </c>
      <c r="Z33">
        <v>240</v>
      </c>
      <c r="AA33">
        <v>240</v>
      </c>
      <c r="AN33">
        <v>240</v>
      </c>
      <c r="AO33">
        <v>240</v>
      </c>
      <c r="AP33">
        <v>240</v>
      </c>
      <c r="AW33">
        <v>240</v>
      </c>
      <c r="AX33">
        <v>240</v>
      </c>
      <c r="AZ33">
        <v>256</v>
      </c>
      <c r="BE33">
        <v>240</v>
      </c>
      <c r="BF33">
        <v>240</v>
      </c>
      <c r="BG33">
        <v>240</v>
      </c>
      <c r="BH33">
        <v>240</v>
      </c>
      <c r="BI33">
        <v>240</v>
      </c>
      <c r="BJ33">
        <v>240</v>
      </c>
      <c r="BK33">
        <v>464</v>
      </c>
      <c r="BN33">
        <v>240</v>
      </c>
      <c r="BO33">
        <v>240</v>
      </c>
      <c r="BP33">
        <v>240</v>
      </c>
      <c r="BQ33">
        <v>1200</v>
      </c>
      <c r="BR33">
        <v>1200</v>
      </c>
      <c r="BS33">
        <v>1200</v>
      </c>
      <c r="BT33">
        <v>1200</v>
      </c>
      <c r="BU33">
        <v>1200</v>
      </c>
      <c r="BV33">
        <v>1200</v>
      </c>
      <c r="BW33">
        <v>1200</v>
      </c>
      <c r="BX33">
        <v>1200</v>
      </c>
      <c r="BY33">
        <v>1200</v>
      </c>
      <c r="BZ33">
        <v>3520</v>
      </c>
      <c r="CA33">
        <v>3520</v>
      </c>
      <c r="CB33">
        <v>3520</v>
      </c>
      <c r="CF33">
        <v>1200</v>
      </c>
      <c r="CG33">
        <v>1200</v>
      </c>
      <c r="CH33">
        <v>1200</v>
      </c>
      <c r="CI33">
        <v>240</v>
      </c>
      <c r="CJ33">
        <v>240</v>
      </c>
      <c r="CK33">
        <v>240</v>
      </c>
      <c r="CU33">
        <v>1168</v>
      </c>
      <c r="CV33">
        <v>1168</v>
      </c>
      <c r="CZ33">
        <v>1400</v>
      </c>
      <c r="DA33">
        <v>1400</v>
      </c>
      <c r="DB33">
        <v>1400</v>
      </c>
      <c r="DC33">
        <v>704</v>
      </c>
      <c r="DD33">
        <v>704</v>
      </c>
      <c r="DE33">
        <v>704</v>
      </c>
      <c r="DF33">
        <v>1168</v>
      </c>
      <c r="DG33">
        <v>1168</v>
      </c>
      <c r="DH33">
        <v>1168</v>
      </c>
      <c r="DY33">
        <v>240</v>
      </c>
      <c r="EB33">
        <v>704</v>
      </c>
      <c r="EC33">
        <v>704</v>
      </c>
      <c r="ED33">
        <v>704</v>
      </c>
      <c r="EG33">
        <v>912</v>
      </c>
      <c r="FE33">
        <v>240</v>
      </c>
      <c r="FG33">
        <v>240</v>
      </c>
      <c r="FS33">
        <v>240</v>
      </c>
      <c r="GU33">
        <v>240</v>
      </c>
      <c r="GV33">
        <v>240</v>
      </c>
      <c r="GX33">
        <v>240</v>
      </c>
      <c r="GY33">
        <v>240</v>
      </c>
      <c r="GZ33">
        <v>240</v>
      </c>
      <c r="HA33">
        <v>464</v>
      </c>
      <c r="HB33">
        <v>464</v>
      </c>
      <c r="HC33">
        <v>464</v>
      </c>
      <c r="HO33">
        <v>240</v>
      </c>
      <c r="IF33">
        <v>240</v>
      </c>
      <c r="IG33">
        <v>1864</v>
      </c>
      <c r="IH33">
        <v>1864</v>
      </c>
      <c r="IJ33">
        <v>704</v>
      </c>
      <c r="IK33">
        <v>704</v>
      </c>
      <c r="IL33">
        <v>704</v>
      </c>
      <c r="IM33">
        <v>704</v>
      </c>
      <c r="IN33">
        <v>704</v>
      </c>
      <c r="IO33">
        <v>704</v>
      </c>
      <c r="IP33">
        <v>704</v>
      </c>
      <c r="IR33">
        <v>704</v>
      </c>
      <c r="IU33">
        <v>240</v>
      </c>
      <c r="IV33">
        <v>240</v>
      </c>
      <c r="IW33">
        <v>240</v>
      </c>
      <c r="IX33">
        <v>240</v>
      </c>
      <c r="IY33">
        <v>240</v>
      </c>
      <c r="IZ33">
        <v>240</v>
      </c>
      <c r="JA33">
        <v>240</v>
      </c>
      <c r="JB33">
        <v>472</v>
      </c>
      <c r="JC33">
        <v>472</v>
      </c>
      <c r="JE33">
        <v>240</v>
      </c>
      <c r="JG33">
        <v>240</v>
      </c>
      <c r="JI33">
        <v>240</v>
      </c>
      <c r="JJ33">
        <v>240</v>
      </c>
      <c r="JK33">
        <v>240</v>
      </c>
      <c r="JL33">
        <v>240</v>
      </c>
      <c r="JU33">
        <v>240</v>
      </c>
      <c r="JV33">
        <v>240</v>
      </c>
      <c r="KB33" s="42">
        <v>240</v>
      </c>
      <c r="KM33" s="42">
        <f t="shared" si="6"/>
        <v>240</v>
      </c>
      <c r="KT33" s="42">
        <v>1168</v>
      </c>
      <c r="KU33" s="42">
        <v>1168</v>
      </c>
      <c r="KX33" s="42">
        <v>2328</v>
      </c>
    </row>
    <row r="34" spans="6:310" x14ac:dyDescent="0.35">
      <c r="F34">
        <v>248</v>
      </c>
      <c r="X34">
        <v>3472</v>
      </c>
      <c r="Y34">
        <v>248</v>
      </c>
      <c r="Z34">
        <v>248</v>
      </c>
      <c r="AA34">
        <v>248</v>
      </c>
      <c r="AN34">
        <v>248</v>
      </c>
      <c r="AO34">
        <v>248</v>
      </c>
      <c r="AP34">
        <v>248</v>
      </c>
      <c r="AW34">
        <v>248</v>
      </c>
      <c r="AX34">
        <v>248</v>
      </c>
      <c r="AZ34">
        <v>264</v>
      </c>
      <c r="BE34">
        <v>248</v>
      </c>
      <c r="BF34">
        <v>248</v>
      </c>
      <c r="BG34">
        <v>248</v>
      </c>
      <c r="BH34">
        <v>248</v>
      </c>
      <c r="BI34">
        <v>248</v>
      </c>
      <c r="BJ34">
        <v>248</v>
      </c>
      <c r="BK34">
        <v>472</v>
      </c>
      <c r="BN34">
        <v>248</v>
      </c>
      <c r="BO34">
        <v>248</v>
      </c>
      <c r="BP34">
        <v>248</v>
      </c>
      <c r="BQ34">
        <v>1240</v>
      </c>
      <c r="BR34">
        <v>1240</v>
      </c>
      <c r="BS34">
        <v>1240</v>
      </c>
      <c r="BT34">
        <v>1240</v>
      </c>
      <c r="BU34">
        <v>1240</v>
      </c>
      <c r="BV34">
        <v>1240</v>
      </c>
      <c r="BW34">
        <v>1240</v>
      </c>
      <c r="BX34">
        <v>1240</v>
      </c>
      <c r="BY34">
        <v>1240</v>
      </c>
      <c r="CA34">
        <v>3640</v>
      </c>
      <c r="CB34">
        <v>3640</v>
      </c>
      <c r="CF34">
        <v>1240</v>
      </c>
      <c r="CG34">
        <v>1240</v>
      </c>
      <c r="CH34">
        <v>1240</v>
      </c>
      <c r="CI34">
        <v>248</v>
      </c>
      <c r="CJ34">
        <v>248</v>
      </c>
      <c r="CK34">
        <v>248</v>
      </c>
      <c r="CU34">
        <v>1208</v>
      </c>
      <c r="CV34">
        <v>1208</v>
      </c>
      <c r="CZ34">
        <v>1448</v>
      </c>
      <c r="DA34">
        <v>1448</v>
      </c>
      <c r="DB34">
        <v>1448</v>
      </c>
      <c r="DC34">
        <v>728</v>
      </c>
      <c r="DD34">
        <v>728</v>
      </c>
      <c r="DE34">
        <v>728</v>
      </c>
      <c r="DF34">
        <v>1208</v>
      </c>
      <c r="DG34">
        <v>1208</v>
      </c>
      <c r="DH34">
        <v>1208</v>
      </c>
      <c r="DY34">
        <v>248</v>
      </c>
      <c r="EB34">
        <v>728</v>
      </c>
      <c r="ED34">
        <v>728</v>
      </c>
      <c r="FE34">
        <v>248</v>
      </c>
      <c r="FG34">
        <v>248</v>
      </c>
      <c r="FS34">
        <v>248</v>
      </c>
      <c r="GU34">
        <v>248</v>
      </c>
      <c r="GV34">
        <v>248</v>
      </c>
      <c r="GX34">
        <v>248</v>
      </c>
      <c r="GY34">
        <v>248</v>
      </c>
      <c r="GZ34">
        <v>248</v>
      </c>
      <c r="HA34">
        <v>480</v>
      </c>
      <c r="HB34">
        <v>480</v>
      </c>
      <c r="HC34">
        <v>480</v>
      </c>
      <c r="HO34">
        <v>248</v>
      </c>
      <c r="IG34">
        <v>1928</v>
      </c>
      <c r="IH34">
        <v>1928</v>
      </c>
      <c r="IJ34">
        <v>728</v>
      </c>
      <c r="IK34">
        <v>728</v>
      </c>
      <c r="IL34">
        <v>728</v>
      </c>
      <c r="IM34">
        <v>728</v>
      </c>
      <c r="IN34">
        <v>728</v>
      </c>
      <c r="IO34">
        <v>728</v>
      </c>
      <c r="IP34">
        <v>728</v>
      </c>
      <c r="IR34">
        <v>728</v>
      </c>
      <c r="IU34">
        <v>248</v>
      </c>
      <c r="IV34">
        <v>248</v>
      </c>
      <c r="IW34">
        <v>248</v>
      </c>
      <c r="IX34">
        <v>248</v>
      </c>
      <c r="IY34">
        <v>248</v>
      </c>
      <c r="IZ34">
        <v>248</v>
      </c>
      <c r="JA34">
        <v>248</v>
      </c>
      <c r="JB34">
        <v>488</v>
      </c>
      <c r="JC34">
        <v>488</v>
      </c>
      <c r="JE34">
        <v>248</v>
      </c>
      <c r="JG34">
        <v>248</v>
      </c>
      <c r="JI34">
        <v>248</v>
      </c>
      <c r="JJ34">
        <v>248</v>
      </c>
      <c r="JK34">
        <v>248</v>
      </c>
      <c r="JL34">
        <v>248</v>
      </c>
      <c r="JV34">
        <v>248</v>
      </c>
      <c r="KB34" s="42">
        <v>248</v>
      </c>
      <c r="KM34" s="42">
        <f t="shared" si="6"/>
        <v>248</v>
      </c>
      <c r="KT34" s="42">
        <v>1208</v>
      </c>
      <c r="KU34" s="42">
        <v>1208</v>
      </c>
      <c r="KX34" s="42">
        <v>2408</v>
      </c>
    </row>
    <row r="35" spans="6:310" x14ac:dyDescent="0.35">
      <c r="F35">
        <v>256</v>
      </c>
      <c r="X35">
        <v>3584</v>
      </c>
      <c r="Y35">
        <v>256</v>
      </c>
      <c r="Z35">
        <v>256</v>
      </c>
      <c r="AA35">
        <v>256</v>
      </c>
      <c r="AN35">
        <v>256</v>
      </c>
      <c r="AO35">
        <v>256</v>
      </c>
      <c r="AP35">
        <v>256</v>
      </c>
      <c r="AW35">
        <v>256</v>
      </c>
      <c r="AX35">
        <v>256</v>
      </c>
      <c r="AZ35">
        <v>272</v>
      </c>
      <c r="BE35">
        <v>256</v>
      </c>
      <c r="BF35">
        <v>256</v>
      </c>
      <c r="BG35">
        <v>256</v>
      </c>
      <c r="BH35">
        <v>256</v>
      </c>
      <c r="BI35">
        <v>256</v>
      </c>
      <c r="BK35">
        <v>480</v>
      </c>
      <c r="BN35">
        <v>256</v>
      </c>
      <c r="BO35">
        <v>256</v>
      </c>
      <c r="BP35">
        <v>256</v>
      </c>
      <c r="BQ35">
        <v>1280</v>
      </c>
      <c r="BR35">
        <v>1280</v>
      </c>
      <c r="BS35">
        <v>1280</v>
      </c>
      <c r="BT35">
        <v>1280</v>
      </c>
      <c r="BU35">
        <v>1280</v>
      </c>
      <c r="BV35">
        <v>1280</v>
      </c>
      <c r="BW35">
        <v>1280</v>
      </c>
      <c r="BX35">
        <v>1280</v>
      </c>
      <c r="BY35">
        <v>1280</v>
      </c>
      <c r="CA35">
        <v>3760</v>
      </c>
      <c r="CB35">
        <v>3760</v>
      </c>
      <c r="CF35">
        <v>1280</v>
      </c>
      <c r="CG35">
        <v>1280</v>
      </c>
      <c r="CH35">
        <v>1280</v>
      </c>
      <c r="CI35">
        <v>256</v>
      </c>
      <c r="CJ35">
        <v>256</v>
      </c>
      <c r="CK35">
        <v>256</v>
      </c>
      <c r="CU35">
        <v>1248</v>
      </c>
      <c r="CV35">
        <v>1248</v>
      </c>
      <c r="CZ35">
        <v>1496</v>
      </c>
      <c r="DA35">
        <v>1496</v>
      </c>
      <c r="DB35">
        <v>1496</v>
      </c>
      <c r="DE35">
        <v>752</v>
      </c>
      <c r="DF35">
        <v>1248</v>
      </c>
      <c r="DG35">
        <v>1248</v>
      </c>
      <c r="DH35">
        <v>1248</v>
      </c>
      <c r="DY35">
        <v>256</v>
      </c>
      <c r="EB35">
        <v>752</v>
      </c>
      <c r="ED35">
        <v>752</v>
      </c>
      <c r="FE35">
        <v>256</v>
      </c>
      <c r="FG35">
        <v>256</v>
      </c>
      <c r="FS35">
        <v>256</v>
      </c>
      <c r="GU35">
        <v>256</v>
      </c>
      <c r="GV35">
        <v>256</v>
      </c>
      <c r="GX35">
        <v>256</v>
      </c>
      <c r="GY35">
        <v>256</v>
      </c>
      <c r="GZ35">
        <v>256</v>
      </c>
      <c r="HA35">
        <v>496</v>
      </c>
      <c r="HB35">
        <v>496</v>
      </c>
      <c r="HC35">
        <v>496</v>
      </c>
      <c r="IG35">
        <v>1992</v>
      </c>
      <c r="IH35">
        <v>1992</v>
      </c>
      <c r="IJ35">
        <v>752</v>
      </c>
      <c r="IK35">
        <v>752</v>
      </c>
      <c r="IL35">
        <v>752</v>
      </c>
      <c r="IM35">
        <v>752</v>
      </c>
      <c r="IN35">
        <v>752</v>
      </c>
      <c r="IO35">
        <v>752</v>
      </c>
      <c r="IP35">
        <v>752</v>
      </c>
      <c r="IR35">
        <v>752</v>
      </c>
      <c r="IU35">
        <v>256</v>
      </c>
      <c r="IV35">
        <v>256</v>
      </c>
      <c r="IW35">
        <v>256</v>
      </c>
      <c r="IX35">
        <v>256</v>
      </c>
      <c r="IY35">
        <v>256</v>
      </c>
      <c r="IZ35">
        <v>256</v>
      </c>
      <c r="JA35">
        <v>256</v>
      </c>
      <c r="JB35">
        <v>504</v>
      </c>
      <c r="JC35">
        <v>504</v>
      </c>
      <c r="JG35">
        <v>256</v>
      </c>
      <c r="JI35">
        <v>256</v>
      </c>
      <c r="JJ35">
        <v>256</v>
      </c>
      <c r="JK35">
        <v>256</v>
      </c>
      <c r="JL35">
        <v>256</v>
      </c>
      <c r="JV35">
        <v>256</v>
      </c>
      <c r="KB35" s="42">
        <v>256</v>
      </c>
      <c r="KM35" s="42">
        <f t="shared" si="6"/>
        <v>256</v>
      </c>
      <c r="KT35" s="42">
        <v>1248</v>
      </c>
      <c r="KU35" s="42">
        <v>1248</v>
      </c>
      <c r="KX35" s="42">
        <v>2488</v>
      </c>
    </row>
    <row r="36" spans="6:310" x14ac:dyDescent="0.35">
      <c r="F36">
        <v>264</v>
      </c>
      <c r="X36">
        <v>3696</v>
      </c>
      <c r="Y36">
        <v>264</v>
      </c>
      <c r="Z36">
        <v>264</v>
      </c>
      <c r="AA36">
        <v>264</v>
      </c>
      <c r="AN36">
        <v>264</v>
      </c>
      <c r="AO36">
        <v>264</v>
      </c>
      <c r="AP36">
        <v>264</v>
      </c>
      <c r="AW36">
        <v>264</v>
      </c>
      <c r="AZ36">
        <v>280</v>
      </c>
      <c r="BE36">
        <v>264</v>
      </c>
      <c r="BF36">
        <v>264</v>
      </c>
      <c r="BG36">
        <v>264</v>
      </c>
      <c r="BH36">
        <v>264</v>
      </c>
      <c r="BK36">
        <v>488</v>
      </c>
      <c r="BN36">
        <v>264</v>
      </c>
      <c r="BO36">
        <v>264</v>
      </c>
      <c r="BP36">
        <v>264</v>
      </c>
      <c r="BQ36">
        <v>1320</v>
      </c>
      <c r="BR36">
        <v>1320</v>
      </c>
      <c r="BS36">
        <v>1320</v>
      </c>
      <c r="BT36">
        <v>1320</v>
      </c>
      <c r="BU36">
        <v>1320</v>
      </c>
      <c r="BV36">
        <v>1320</v>
      </c>
      <c r="BW36">
        <v>1320</v>
      </c>
      <c r="BX36">
        <v>1320</v>
      </c>
      <c r="BY36">
        <v>1320</v>
      </c>
      <c r="CA36">
        <v>3880</v>
      </c>
      <c r="CB36">
        <v>3880</v>
      </c>
      <c r="CF36">
        <v>1320</v>
      </c>
      <c r="CG36">
        <v>1320</v>
      </c>
      <c r="CH36">
        <v>1320</v>
      </c>
      <c r="CI36">
        <v>264</v>
      </c>
      <c r="CJ36">
        <v>264</v>
      </c>
      <c r="CK36">
        <v>264</v>
      </c>
      <c r="CU36">
        <v>1288</v>
      </c>
      <c r="CV36">
        <v>1288</v>
      </c>
      <c r="CZ36">
        <v>1544</v>
      </c>
      <c r="DA36">
        <v>1544</v>
      </c>
      <c r="DB36">
        <v>1544</v>
      </c>
      <c r="DE36">
        <v>776</v>
      </c>
      <c r="DF36">
        <v>1288</v>
      </c>
      <c r="DG36">
        <v>1288</v>
      </c>
      <c r="DH36">
        <v>1288</v>
      </c>
      <c r="DY36">
        <v>264</v>
      </c>
      <c r="EB36">
        <v>776</v>
      </c>
      <c r="ED36">
        <v>776</v>
      </c>
      <c r="FE36">
        <v>264</v>
      </c>
      <c r="FS36">
        <v>264</v>
      </c>
      <c r="GV36">
        <v>264</v>
      </c>
      <c r="GX36">
        <v>264</v>
      </c>
      <c r="GY36">
        <v>264</v>
      </c>
      <c r="GZ36">
        <v>264</v>
      </c>
      <c r="HA36">
        <v>512</v>
      </c>
      <c r="HB36">
        <v>512</v>
      </c>
      <c r="HC36">
        <v>512</v>
      </c>
      <c r="IG36">
        <v>2056</v>
      </c>
      <c r="IH36">
        <v>2056</v>
      </c>
      <c r="IJ36">
        <v>776</v>
      </c>
      <c r="IK36">
        <v>776</v>
      </c>
      <c r="IL36">
        <v>776</v>
      </c>
      <c r="IM36">
        <v>776</v>
      </c>
      <c r="IN36">
        <v>776</v>
      </c>
      <c r="IO36">
        <v>776</v>
      </c>
      <c r="IP36">
        <v>776</v>
      </c>
      <c r="IR36">
        <v>776</v>
      </c>
      <c r="IU36">
        <v>264</v>
      </c>
      <c r="IV36">
        <v>264</v>
      </c>
      <c r="IW36">
        <v>264</v>
      </c>
      <c r="IX36">
        <v>264</v>
      </c>
      <c r="IY36">
        <v>264</v>
      </c>
      <c r="IZ36">
        <v>264</v>
      </c>
      <c r="JA36">
        <v>264</v>
      </c>
      <c r="JB36">
        <v>520</v>
      </c>
      <c r="JC36">
        <v>520</v>
      </c>
      <c r="JG36">
        <v>264</v>
      </c>
      <c r="JI36">
        <v>264</v>
      </c>
      <c r="JJ36">
        <v>264</v>
      </c>
      <c r="JK36">
        <v>264</v>
      </c>
      <c r="JL36">
        <v>264</v>
      </c>
      <c r="JV36">
        <v>264</v>
      </c>
      <c r="KB36" s="42">
        <v>264</v>
      </c>
      <c r="KM36" s="42">
        <f t="shared" si="6"/>
        <v>264</v>
      </c>
      <c r="KT36" s="42">
        <v>1288</v>
      </c>
      <c r="KU36" s="42">
        <v>1288</v>
      </c>
      <c r="KX36" s="42">
        <v>2568</v>
      </c>
    </row>
    <row r="37" spans="6:310" x14ac:dyDescent="0.35">
      <c r="F37">
        <v>272</v>
      </c>
      <c r="X37">
        <v>3808</v>
      </c>
      <c r="Y37">
        <v>272</v>
      </c>
      <c r="Z37">
        <v>272</v>
      </c>
      <c r="AA37">
        <v>272</v>
      </c>
      <c r="AN37">
        <v>272</v>
      </c>
      <c r="AO37">
        <v>272</v>
      </c>
      <c r="AP37">
        <v>272</v>
      </c>
      <c r="AZ37">
        <v>288</v>
      </c>
      <c r="BE37">
        <v>272</v>
      </c>
      <c r="BF37">
        <v>272</v>
      </c>
      <c r="BG37">
        <v>272</v>
      </c>
      <c r="BH37">
        <v>272</v>
      </c>
      <c r="BK37">
        <v>496</v>
      </c>
      <c r="BN37">
        <v>272</v>
      </c>
      <c r="BO37">
        <v>272</v>
      </c>
      <c r="BP37">
        <v>272</v>
      </c>
      <c r="BQ37">
        <v>1360</v>
      </c>
      <c r="BR37">
        <v>1360</v>
      </c>
      <c r="BS37">
        <v>1360</v>
      </c>
      <c r="BT37">
        <v>1360</v>
      </c>
      <c r="BU37">
        <v>1360</v>
      </c>
      <c r="BV37">
        <v>1360</v>
      </c>
      <c r="BW37">
        <v>1360</v>
      </c>
      <c r="BX37">
        <v>1360</v>
      </c>
      <c r="BY37">
        <v>1360</v>
      </c>
      <c r="CA37">
        <v>4000</v>
      </c>
      <c r="CB37">
        <v>4000</v>
      </c>
      <c r="CF37">
        <v>1360</v>
      </c>
      <c r="CG37">
        <v>1360</v>
      </c>
      <c r="CH37">
        <v>1360</v>
      </c>
      <c r="CI37">
        <v>272</v>
      </c>
      <c r="CJ37">
        <v>272</v>
      </c>
      <c r="CK37">
        <v>272</v>
      </c>
      <c r="CU37">
        <v>1328</v>
      </c>
      <c r="CV37">
        <v>1328</v>
      </c>
      <c r="CZ37">
        <v>1592</v>
      </c>
      <c r="DA37">
        <v>1592</v>
      </c>
      <c r="DB37">
        <v>1592</v>
      </c>
      <c r="DE37">
        <v>800</v>
      </c>
      <c r="DF37">
        <v>1328</v>
      </c>
      <c r="DG37">
        <v>1328</v>
      </c>
      <c r="DH37">
        <v>1328</v>
      </c>
      <c r="DY37">
        <v>272</v>
      </c>
      <c r="EB37">
        <v>800</v>
      </c>
      <c r="ED37">
        <v>800</v>
      </c>
      <c r="FE37">
        <v>272</v>
      </c>
      <c r="GV37">
        <v>272</v>
      </c>
      <c r="GX37">
        <v>272</v>
      </c>
      <c r="GY37">
        <v>272</v>
      </c>
      <c r="GZ37">
        <v>272</v>
      </c>
      <c r="HA37">
        <v>528</v>
      </c>
      <c r="HB37">
        <v>528</v>
      </c>
      <c r="HC37">
        <v>528</v>
      </c>
      <c r="IG37">
        <v>2120</v>
      </c>
      <c r="IH37">
        <v>2120</v>
      </c>
      <c r="IJ37">
        <v>800</v>
      </c>
      <c r="IK37">
        <v>800</v>
      </c>
      <c r="IL37">
        <v>800</v>
      </c>
      <c r="IM37">
        <v>800</v>
      </c>
      <c r="IN37">
        <v>800</v>
      </c>
      <c r="IO37">
        <v>800</v>
      </c>
      <c r="IR37">
        <v>800</v>
      </c>
      <c r="IU37">
        <v>272</v>
      </c>
      <c r="IV37">
        <v>272</v>
      </c>
      <c r="IW37">
        <v>272</v>
      </c>
      <c r="IX37">
        <v>272</v>
      </c>
      <c r="IY37">
        <v>272</v>
      </c>
      <c r="IZ37">
        <v>272</v>
      </c>
      <c r="JA37">
        <v>272</v>
      </c>
      <c r="JC37">
        <v>536</v>
      </c>
      <c r="JG37">
        <v>272</v>
      </c>
      <c r="JI37">
        <v>272</v>
      </c>
      <c r="JJ37">
        <v>272</v>
      </c>
      <c r="JK37">
        <v>272</v>
      </c>
      <c r="JL37">
        <v>272</v>
      </c>
      <c r="KB37" s="42">
        <v>272</v>
      </c>
      <c r="KM37" s="42">
        <f t="shared" si="6"/>
        <v>272</v>
      </c>
      <c r="KT37" s="42">
        <v>1328</v>
      </c>
      <c r="KU37" s="42">
        <v>1328</v>
      </c>
      <c r="KX37" s="42">
        <v>2648</v>
      </c>
    </row>
    <row r="38" spans="6:310" x14ac:dyDescent="0.35">
      <c r="F38">
        <v>280</v>
      </c>
      <c r="X38">
        <v>3920</v>
      </c>
      <c r="Y38">
        <v>280</v>
      </c>
      <c r="Z38">
        <v>280</v>
      </c>
      <c r="AA38">
        <v>280</v>
      </c>
      <c r="AN38">
        <v>280</v>
      </c>
      <c r="AO38">
        <v>280</v>
      </c>
      <c r="AP38">
        <v>280</v>
      </c>
      <c r="AZ38">
        <v>296</v>
      </c>
      <c r="BE38">
        <v>280</v>
      </c>
      <c r="BF38">
        <v>280</v>
      </c>
      <c r="BG38">
        <v>280</v>
      </c>
      <c r="BH38">
        <v>280</v>
      </c>
      <c r="BN38">
        <v>280</v>
      </c>
      <c r="BO38">
        <v>280</v>
      </c>
      <c r="BP38">
        <v>280</v>
      </c>
      <c r="BQ38">
        <v>1400</v>
      </c>
      <c r="BR38">
        <v>1400</v>
      </c>
      <c r="BS38">
        <v>1400</v>
      </c>
      <c r="BT38">
        <v>1400</v>
      </c>
      <c r="BU38">
        <v>1400</v>
      </c>
      <c r="BV38">
        <v>1400</v>
      </c>
      <c r="BW38">
        <v>1400</v>
      </c>
      <c r="BX38">
        <v>1400</v>
      </c>
      <c r="BY38">
        <v>1400</v>
      </c>
      <c r="CA38">
        <v>4120</v>
      </c>
      <c r="CB38">
        <v>4120</v>
      </c>
      <c r="CF38">
        <v>1400</v>
      </c>
      <c r="CG38">
        <v>1400</v>
      </c>
      <c r="CH38">
        <v>1400</v>
      </c>
      <c r="CI38">
        <v>280</v>
      </c>
      <c r="CJ38">
        <v>280</v>
      </c>
      <c r="CK38">
        <v>280</v>
      </c>
      <c r="CU38">
        <v>1368</v>
      </c>
      <c r="CV38">
        <v>1368</v>
      </c>
      <c r="CZ38">
        <v>1640</v>
      </c>
      <c r="DA38">
        <v>1640</v>
      </c>
      <c r="DB38">
        <v>1640</v>
      </c>
      <c r="DE38">
        <v>824</v>
      </c>
      <c r="DF38">
        <v>1368</v>
      </c>
      <c r="DG38">
        <v>1368</v>
      </c>
      <c r="DH38">
        <v>1368</v>
      </c>
      <c r="DY38">
        <v>280</v>
      </c>
      <c r="EB38">
        <v>824</v>
      </c>
      <c r="ED38">
        <v>824</v>
      </c>
      <c r="GV38">
        <v>280</v>
      </c>
      <c r="GX38">
        <v>280</v>
      </c>
      <c r="GY38">
        <v>280</v>
      </c>
      <c r="GZ38">
        <v>280</v>
      </c>
      <c r="HA38">
        <v>544</v>
      </c>
      <c r="HB38">
        <v>544</v>
      </c>
      <c r="HC38">
        <v>544</v>
      </c>
      <c r="IH38">
        <v>2184</v>
      </c>
      <c r="IL38">
        <v>824</v>
      </c>
      <c r="IM38">
        <v>824</v>
      </c>
      <c r="IN38">
        <v>824</v>
      </c>
      <c r="IU38">
        <v>280</v>
      </c>
      <c r="IV38">
        <v>280</v>
      </c>
      <c r="IW38">
        <v>280</v>
      </c>
      <c r="IX38">
        <v>280</v>
      </c>
      <c r="IY38">
        <v>280</v>
      </c>
      <c r="IZ38">
        <v>280</v>
      </c>
      <c r="JA38">
        <v>280</v>
      </c>
      <c r="JC38">
        <v>552</v>
      </c>
      <c r="JG38">
        <v>280</v>
      </c>
      <c r="JI38">
        <v>280</v>
      </c>
      <c r="JJ38">
        <v>280</v>
      </c>
      <c r="JK38">
        <v>280</v>
      </c>
      <c r="JL38">
        <v>280</v>
      </c>
      <c r="KB38" s="42">
        <v>280</v>
      </c>
      <c r="KT38" s="42">
        <v>1368</v>
      </c>
      <c r="KU38" s="42">
        <v>1368</v>
      </c>
    </row>
    <row r="39" spans="6:310" x14ac:dyDescent="0.35">
      <c r="F39">
        <v>288</v>
      </c>
      <c r="X39">
        <v>4032</v>
      </c>
      <c r="Y39">
        <v>288</v>
      </c>
      <c r="Z39">
        <v>288</v>
      </c>
      <c r="AA39">
        <v>288</v>
      </c>
      <c r="AN39">
        <v>288</v>
      </c>
      <c r="AO39">
        <v>288</v>
      </c>
      <c r="AP39">
        <v>288</v>
      </c>
      <c r="AZ39">
        <v>304</v>
      </c>
      <c r="BE39">
        <v>288</v>
      </c>
      <c r="BF39">
        <v>288</v>
      </c>
      <c r="BG39">
        <v>288</v>
      </c>
      <c r="BH39">
        <v>288</v>
      </c>
      <c r="BN39">
        <v>288</v>
      </c>
      <c r="BO39">
        <v>288</v>
      </c>
      <c r="BP39">
        <v>288</v>
      </c>
      <c r="BQ39">
        <v>1440</v>
      </c>
      <c r="BR39">
        <v>1440</v>
      </c>
      <c r="BS39">
        <v>1440</v>
      </c>
      <c r="BT39">
        <v>1440</v>
      </c>
      <c r="BU39">
        <v>1440</v>
      </c>
      <c r="BV39">
        <v>1440</v>
      </c>
      <c r="BW39">
        <v>1440</v>
      </c>
      <c r="BX39">
        <v>1440</v>
      </c>
      <c r="BY39">
        <v>1440</v>
      </c>
      <c r="CF39">
        <v>1440</v>
      </c>
      <c r="CG39">
        <v>1440</v>
      </c>
      <c r="CH39">
        <v>1440</v>
      </c>
      <c r="CI39">
        <v>288</v>
      </c>
      <c r="CJ39">
        <v>288</v>
      </c>
      <c r="CK39">
        <v>288</v>
      </c>
      <c r="CU39">
        <v>1408</v>
      </c>
      <c r="CV39">
        <v>1408</v>
      </c>
      <c r="CZ39">
        <v>1688</v>
      </c>
      <c r="DA39">
        <v>1688</v>
      </c>
      <c r="DB39">
        <v>1688</v>
      </c>
      <c r="DE39">
        <v>848</v>
      </c>
      <c r="DF39">
        <v>1408</v>
      </c>
      <c r="DG39">
        <v>1408</v>
      </c>
      <c r="DH39">
        <v>1408</v>
      </c>
      <c r="DY39">
        <v>288</v>
      </c>
      <c r="ED39">
        <v>848</v>
      </c>
      <c r="GV39">
        <v>288</v>
      </c>
      <c r="GX39">
        <v>288</v>
      </c>
      <c r="GY39">
        <v>288</v>
      </c>
      <c r="GZ39">
        <v>288</v>
      </c>
      <c r="HA39">
        <v>560</v>
      </c>
      <c r="HB39">
        <v>560</v>
      </c>
      <c r="HC39">
        <v>560</v>
      </c>
      <c r="IH39">
        <v>2248</v>
      </c>
      <c r="IL39">
        <v>848</v>
      </c>
      <c r="IN39">
        <v>848</v>
      </c>
      <c r="IU39">
        <v>288</v>
      </c>
      <c r="IV39">
        <v>288</v>
      </c>
      <c r="IW39">
        <v>288</v>
      </c>
      <c r="IX39">
        <v>288</v>
      </c>
      <c r="IY39">
        <v>288</v>
      </c>
      <c r="IZ39">
        <v>288</v>
      </c>
      <c r="JA39">
        <v>288</v>
      </c>
      <c r="JG39">
        <v>288</v>
      </c>
      <c r="JI39">
        <v>288</v>
      </c>
      <c r="JJ39">
        <v>288</v>
      </c>
      <c r="JK39">
        <v>288</v>
      </c>
      <c r="JL39">
        <v>288</v>
      </c>
      <c r="KB39" s="42">
        <v>288</v>
      </c>
      <c r="KT39" s="42">
        <v>1408</v>
      </c>
      <c r="KU39" s="42">
        <v>1408</v>
      </c>
    </row>
    <row r="40" spans="6:310" x14ac:dyDescent="0.35">
      <c r="F40">
        <v>296</v>
      </c>
      <c r="X40">
        <v>4144</v>
      </c>
      <c r="Y40">
        <v>296</v>
      </c>
      <c r="Z40">
        <v>296</v>
      </c>
      <c r="AA40">
        <v>296</v>
      </c>
      <c r="AN40">
        <v>296</v>
      </c>
      <c r="AO40">
        <v>296</v>
      </c>
      <c r="AP40">
        <v>296</v>
      </c>
      <c r="AZ40">
        <v>312</v>
      </c>
      <c r="BE40">
        <v>296</v>
      </c>
      <c r="BF40">
        <v>296</v>
      </c>
      <c r="BG40">
        <v>296</v>
      </c>
      <c r="BH40">
        <v>296</v>
      </c>
      <c r="BN40">
        <v>296</v>
      </c>
      <c r="BO40">
        <v>296</v>
      </c>
      <c r="BP40">
        <v>296</v>
      </c>
      <c r="BQ40">
        <v>1480</v>
      </c>
      <c r="BR40">
        <v>1480</v>
      </c>
      <c r="BS40">
        <v>1480</v>
      </c>
      <c r="BT40">
        <v>1480</v>
      </c>
      <c r="BU40">
        <v>1480</v>
      </c>
      <c r="BV40">
        <v>1480</v>
      </c>
      <c r="BW40">
        <v>1480</v>
      </c>
      <c r="BX40">
        <v>1480</v>
      </c>
      <c r="BY40">
        <v>1480</v>
      </c>
      <c r="CF40">
        <v>1480</v>
      </c>
      <c r="CG40">
        <v>1480</v>
      </c>
      <c r="CH40">
        <v>1480</v>
      </c>
      <c r="CI40">
        <v>296</v>
      </c>
      <c r="CJ40">
        <v>296</v>
      </c>
      <c r="CK40">
        <v>296</v>
      </c>
      <c r="CU40">
        <v>1448</v>
      </c>
      <c r="CV40">
        <v>1448</v>
      </c>
      <c r="DA40">
        <v>1736</v>
      </c>
      <c r="DB40">
        <v>1736</v>
      </c>
      <c r="DE40">
        <v>872</v>
      </c>
      <c r="DF40">
        <v>1448</v>
      </c>
      <c r="DG40">
        <v>1448</v>
      </c>
      <c r="DH40">
        <v>1448</v>
      </c>
      <c r="DY40">
        <v>296</v>
      </c>
      <c r="ED40">
        <v>872</v>
      </c>
      <c r="GX40">
        <v>296</v>
      </c>
      <c r="GY40">
        <v>296</v>
      </c>
      <c r="HA40">
        <v>576</v>
      </c>
      <c r="HB40">
        <v>576</v>
      </c>
      <c r="HC40">
        <v>576</v>
      </c>
      <c r="IL40">
        <v>872</v>
      </c>
      <c r="IN40">
        <v>872</v>
      </c>
      <c r="IU40">
        <v>296</v>
      </c>
      <c r="IV40">
        <v>296</v>
      </c>
      <c r="IW40">
        <v>296</v>
      </c>
      <c r="IX40">
        <v>296</v>
      </c>
      <c r="IY40">
        <v>296</v>
      </c>
      <c r="IZ40">
        <v>296</v>
      </c>
      <c r="JA40">
        <v>296</v>
      </c>
      <c r="JG40">
        <v>296</v>
      </c>
      <c r="JI40">
        <v>296</v>
      </c>
      <c r="JJ40">
        <v>296</v>
      </c>
      <c r="JK40">
        <v>296</v>
      </c>
      <c r="JL40">
        <v>296</v>
      </c>
      <c r="KB40" s="42">
        <v>296</v>
      </c>
      <c r="KT40" s="42">
        <v>1448</v>
      </c>
      <c r="KU40" s="42">
        <v>1448</v>
      </c>
    </row>
    <row r="41" spans="6:310" x14ac:dyDescent="0.35">
      <c r="F41">
        <v>304</v>
      </c>
      <c r="X41">
        <v>4256</v>
      </c>
      <c r="Y41">
        <v>304</v>
      </c>
      <c r="Z41">
        <v>304</v>
      </c>
      <c r="AA41">
        <v>304</v>
      </c>
      <c r="AN41">
        <v>304</v>
      </c>
      <c r="AO41">
        <v>304</v>
      </c>
      <c r="AP41">
        <v>304</v>
      </c>
      <c r="AZ41">
        <v>320</v>
      </c>
      <c r="BE41">
        <v>304</v>
      </c>
      <c r="BF41">
        <v>304</v>
      </c>
      <c r="BG41">
        <v>304</v>
      </c>
      <c r="BH41">
        <v>304</v>
      </c>
      <c r="BN41">
        <v>304</v>
      </c>
      <c r="BO41">
        <v>304</v>
      </c>
      <c r="BP41">
        <v>304</v>
      </c>
      <c r="BQ41">
        <v>1520</v>
      </c>
      <c r="BR41">
        <v>1520</v>
      </c>
      <c r="BS41">
        <v>1520</v>
      </c>
      <c r="BT41">
        <v>1520</v>
      </c>
      <c r="BU41">
        <v>1520</v>
      </c>
      <c r="BV41">
        <v>1520</v>
      </c>
      <c r="BW41">
        <v>1520</v>
      </c>
      <c r="BX41">
        <v>1520</v>
      </c>
      <c r="BY41">
        <v>1520</v>
      </c>
      <c r="CF41">
        <v>1520</v>
      </c>
      <c r="CG41">
        <v>1520</v>
      </c>
      <c r="CH41">
        <v>1520</v>
      </c>
      <c r="CI41">
        <v>304</v>
      </c>
      <c r="CJ41">
        <v>304</v>
      </c>
      <c r="CK41">
        <v>304</v>
      </c>
      <c r="CU41">
        <v>1488</v>
      </c>
      <c r="CV41">
        <v>1488</v>
      </c>
      <c r="DA41">
        <v>1784</v>
      </c>
      <c r="DB41">
        <v>1784</v>
      </c>
      <c r="DF41">
        <v>1488</v>
      </c>
      <c r="DG41">
        <v>1488</v>
      </c>
      <c r="DH41">
        <v>1488</v>
      </c>
      <c r="DY41">
        <v>304</v>
      </c>
      <c r="ED41">
        <v>896</v>
      </c>
      <c r="HA41">
        <v>592</v>
      </c>
      <c r="HB41">
        <v>592</v>
      </c>
      <c r="HC41">
        <v>592</v>
      </c>
      <c r="IL41">
        <v>896</v>
      </c>
      <c r="IN41">
        <v>896</v>
      </c>
      <c r="IU41">
        <v>304</v>
      </c>
      <c r="IV41">
        <v>304</v>
      </c>
      <c r="IW41">
        <v>304</v>
      </c>
      <c r="IX41">
        <v>304</v>
      </c>
      <c r="IY41">
        <v>304</v>
      </c>
      <c r="IZ41">
        <v>304</v>
      </c>
      <c r="JA41">
        <v>304</v>
      </c>
      <c r="JG41">
        <v>304</v>
      </c>
      <c r="JI41">
        <v>304</v>
      </c>
      <c r="JJ41">
        <v>304</v>
      </c>
      <c r="JK41">
        <v>304</v>
      </c>
      <c r="JL41">
        <v>304</v>
      </c>
      <c r="KB41" s="42">
        <v>304</v>
      </c>
      <c r="KT41" s="42">
        <v>1488</v>
      </c>
      <c r="KU41" s="42">
        <v>1488</v>
      </c>
    </row>
    <row r="42" spans="6:310" x14ac:dyDescent="0.35">
      <c r="F42">
        <v>312</v>
      </c>
      <c r="X42">
        <v>4368</v>
      </c>
      <c r="Y42">
        <v>312</v>
      </c>
      <c r="Z42">
        <v>312</v>
      </c>
      <c r="AA42">
        <v>312</v>
      </c>
      <c r="AN42">
        <v>312</v>
      </c>
      <c r="AO42">
        <v>312</v>
      </c>
      <c r="AP42">
        <v>312</v>
      </c>
      <c r="AZ42">
        <v>328</v>
      </c>
      <c r="BE42">
        <v>312</v>
      </c>
      <c r="BF42">
        <v>312</v>
      </c>
      <c r="BG42">
        <v>312</v>
      </c>
      <c r="BH42">
        <v>312</v>
      </c>
      <c r="BN42">
        <v>312</v>
      </c>
      <c r="BO42">
        <v>312</v>
      </c>
      <c r="BP42">
        <v>312</v>
      </c>
      <c r="BQ42">
        <v>1560</v>
      </c>
      <c r="BR42">
        <v>1560</v>
      </c>
      <c r="BS42">
        <v>1560</v>
      </c>
      <c r="BT42">
        <v>1560</v>
      </c>
      <c r="BU42">
        <v>1560</v>
      </c>
      <c r="BV42">
        <v>1560</v>
      </c>
      <c r="BW42">
        <v>1560</v>
      </c>
      <c r="BX42">
        <v>1560</v>
      </c>
      <c r="BY42">
        <v>1560</v>
      </c>
      <c r="CF42">
        <v>1560</v>
      </c>
      <c r="CG42">
        <v>1560</v>
      </c>
      <c r="CH42">
        <v>1560</v>
      </c>
      <c r="CI42">
        <v>312</v>
      </c>
      <c r="CJ42">
        <v>312</v>
      </c>
      <c r="CK42">
        <v>312</v>
      </c>
      <c r="CU42">
        <v>1528</v>
      </c>
      <c r="CV42">
        <v>1528</v>
      </c>
      <c r="DA42">
        <v>1832</v>
      </c>
      <c r="DB42">
        <v>1832</v>
      </c>
      <c r="DF42">
        <v>1528</v>
      </c>
      <c r="DG42">
        <v>1528</v>
      </c>
      <c r="DH42">
        <v>1528</v>
      </c>
      <c r="DY42">
        <v>312</v>
      </c>
      <c r="ED42">
        <v>920</v>
      </c>
      <c r="HA42">
        <v>608</v>
      </c>
      <c r="HB42">
        <v>608</v>
      </c>
      <c r="HC42">
        <v>608</v>
      </c>
      <c r="IN42">
        <v>920</v>
      </c>
      <c r="IU42">
        <v>312</v>
      </c>
      <c r="IV42">
        <v>312</v>
      </c>
      <c r="IW42">
        <v>312</v>
      </c>
      <c r="IX42">
        <v>312</v>
      </c>
      <c r="IY42">
        <v>312</v>
      </c>
      <c r="IZ42">
        <v>312</v>
      </c>
      <c r="JA42">
        <v>312</v>
      </c>
      <c r="JG42">
        <v>312</v>
      </c>
      <c r="JI42">
        <v>312</v>
      </c>
      <c r="JJ42">
        <v>312</v>
      </c>
      <c r="JK42">
        <v>312</v>
      </c>
      <c r="JL42">
        <v>312</v>
      </c>
      <c r="KB42" s="42">
        <v>312</v>
      </c>
      <c r="KT42" s="42">
        <v>1528</v>
      </c>
      <c r="KU42" s="42">
        <v>1528</v>
      </c>
    </row>
    <row r="43" spans="6:310" x14ac:dyDescent="0.35">
      <c r="F43">
        <v>320</v>
      </c>
      <c r="X43">
        <v>4480</v>
      </c>
      <c r="Y43">
        <v>320</v>
      </c>
      <c r="Z43">
        <v>320</v>
      </c>
      <c r="AA43">
        <v>320</v>
      </c>
      <c r="AN43">
        <v>320</v>
      </c>
      <c r="AO43">
        <v>320</v>
      </c>
      <c r="AP43">
        <v>320</v>
      </c>
      <c r="AZ43">
        <v>336</v>
      </c>
      <c r="BE43">
        <v>320</v>
      </c>
      <c r="BF43">
        <v>320</v>
      </c>
      <c r="BG43">
        <v>320</v>
      </c>
      <c r="BH43">
        <v>320</v>
      </c>
      <c r="BN43">
        <v>320</v>
      </c>
      <c r="BO43">
        <v>320</v>
      </c>
      <c r="BP43">
        <v>320</v>
      </c>
      <c r="BQ43">
        <v>1600</v>
      </c>
      <c r="BR43">
        <v>1600</v>
      </c>
      <c r="BS43">
        <v>1600</v>
      </c>
      <c r="BT43">
        <v>1600</v>
      </c>
      <c r="BU43">
        <v>1600</v>
      </c>
      <c r="BV43">
        <v>1600</v>
      </c>
      <c r="BW43">
        <v>1600</v>
      </c>
      <c r="BX43">
        <v>1600</v>
      </c>
      <c r="BY43">
        <v>1600</v>
      </c>
      <c r="CF43">
        <v>1600</v>
      </c>
      <c r="CG43">
        <v>1600</v>
      </c>
      <c r="CH43">
        <v>1600</v>
      </c>
      <c r="CI43">
        <v>320</v>
      </c>
      <c r="CJ43">
        <v>320</v>
      </c>
      <c r="CK43">
        <v>320</v>
      </c>
      <c r="CU43">
        <v>1568</v>
      </c>
      <c r="CV43">
        <v>1568</v>
      </c>
      <c r="DA43">
        <v>1880</v>
      </c>
      <c r="DB43">
        <v>1880</v>
      </c>
      <c r="DF43">
        <v>1568</v>
      </c>
      <c r="DG43">
        <v>1568</v>
      </c>
      <c r="DH43">
        <v>1568</v>
      </c>
      <c r="DY43">
        <v>320</v>
      </c>
      <c r="HA43">
        <v>624</v>
      </c>
      <c r="HB43">
        <v>624</v>
      </c>
      <c r="HC43">
        <v>624</v>
      </c>
      <c r="IN43">
        <v>944</v>
      </c>
      <c r="IU43">
        <v>320</v>
      </c>
      <c r="IV43">
        <v>320</v>
      </c>
      <c r="IW43">
        <v>320</v>
      </c>
      <c r="IX43">
        <v>320</v>
      </c>
      <c r="IY43">
        <v>320</v>
      </c>
      <c r="IZ43">
        <v>320</v>
      </c>
      <c r="JA43">
        <v>320</v>
      </c>
      <c r="JG43">
        <v>320</v>
      </c>
      <c r="JI43">
        <v>320</v>
      </c>
      <c r="JJ43">
        <v>320</v>
      </c>
      <c r="JK43">
        <v>320</v>
      </c>
      <c r="JL43">
        <v>320</v>
      </c>
      <c r="KB43" s="42"/>
    </row>
    <row r="44" spans="6:310" x14ac:dyDescent="0.35">
      <c r="F44">
        <v>328</v>
      </c>
      <c r="X44">
        <v>4592</v>
      </c>
      <c r="Y44">
        <v>328</v>
      </c>
      <c r="Z44">
        <v>328</v>
      </c>
      <c r="AA44">
        <v>328</v>
      </c>
      <c r="AN44">
        <v>328</v>
      </c>
      <c r="AO44">
        <v>328</v>
      </c>
      <c r="AP44">
        <v>328</v>
      </c>
      <c r="BE44">
        <v>328</v>
      </c>
      <c r="BF44">
        <v>328</v>
      </c>
      <c r="BG44">
        <v>328</v>
      </c>
      <c r="BN44">
        <v>328</v>
      </c>
      <c r="BO44">
        <v>328</v>
      </c>
      <c r="BP44">
        <v>328</v>
      </c>
      <c r="BQ44">
        <v>1640</v>
      </c>
      <c r="BR44">
        <v>1640</v>
      </c>
      <c r="BS44">
        <v>1640</v>
      </c>
      <c r="BT44">
        <v>1640</v>
      </c>
      <c r="BU44">
        <v>1640</v>
      </c>
      <c r="BV44">
        <v>1640</v>
      </c>
      <c r="BW44">
        <v>1640</v>
      </c>
      <c r="BX44">
        <v>1640</v>
      </c>
      <c r="BY44">
        <v>1640</v>
      </c>
      <c r="CF44">
        <v>1640</v>
      </c>
      <c r="CG44">
        <v>1640</v>
      </c>
      <c r="CH44">
        <v>1640</v>
      </c>
      <c r="CI44">
        <v>328</v>
      </c>
      <c r="CJ44">
        <v>328</v>
      </c>
      <c r="CK44">
        <v>328</v>
      </c>
      <c r="CU44">
        <v>1608</v>
      </c>
      <c r="CV44">
        <v>1608</v>
      </c>
      <c r="DA44">
        <v>1928</v>
      </c>
      <c r="DB44">
        <v>1928</v>
      </c>
      <c r="DF44">
        <v>1608</v>
      </c>
      <c r="DG44">
        <v>1608</v>
      </c>
      <c r="DH44">
        <v>1608</v>
      </c>
      <c r="DY44">
        <v>328</v>
      </c>
      <c r="HA44">
        <v>640</v>
      </c>
      <c r="HB44">
        <v>640</v>
      </c>
      <c r="HC44">
        <v>640</v>
      </c>
      <c r="IU44">
        <v>328</v>
      </c>
      <c r="IV44">
        <v>328</v>
      </c>
      <c r="IW44">
        <v>328</v>
      </c>
      <c r="IX44">
        <v>328</v>
      </c>
      <c r="IY44">
        <v>328</v>
      </c>
      <c r="JG44">
        <v>328</v>
      </c>
      <c r="JI44">
        <v>328</v>
      </c>
      <c r="JJ44">
        <v>328</v>
      </c>
      <c r="JK44">
        <v>328</v>
      </c>
      <c r="JL44">
        <v>328</v>
      </c>
    </row>
    <row r="45" spans="6:310" x14ac:dyDescent="0.35">
      <c r="F45">
        <v>336</v>
      </c>
      <c r="X45">
        <v>4704</v>
      </c>
      <c r="Y45">
        <v>336</v>
      </c>
      <c r="Z45">
        <v>336</v>
      </c>
      <c r="AA45">
        <v>336</v>
      </c>
      <c r="AN45">
        <v>336</v>
      </c>
      <c r="AO45">
        <v>336</v>
      </c>
      <c r="AP45">
        <v>336</v>
      </c>
      <c r="BE45">
        <v>336</v>
      </c>
      <c r="BF45">
        <v>336</v>
      </c>
      <c r="BG45">
        <v>336</v>
      </c>
      <c r="BN45">
        <v>336</v>
      </c>
      <c r="BO45">
        <v>336</v>
      </c>
      <c r="BP45">
        <v>336</v>
      </c>
      <c r="BQ45">
        <v>1680</v>
      </c>
      <c r="BR45">
        <v>1680</v>
      </c>
      <c r="BS45">
        <v>1680</v>
      </c>
      <c r="BT45">
        <v>1680</v>
      </c>
      <c r="BU45">
        <v>1680</v>
      </c>
      <c r="BV45">
        <v>1680</v>
      </c>
      <c r="BW45">
        <v>1680</v>
      </c>
      <c r="BX45">
        <v>1680</v>
      </c>
      <c r="BY45">
        <v>1680</v>
      </c>
      <c r="CF45">
        <v>1680</v>
      </c>
      <c r="CG45">
        <v>1680</v>
      </c>
      <c r="CI45">
        <v>336</v>
      </c>
      <c r="CJ45">
        <v>336</v>
      </c>
      <c r="CK45">
        <v>336</v>
      </c>
      <c r="CU45">
        <v>1648</v>
      </c>
      <c r="CV45">
        <v>1648</v>
      </c>
      <c r="DA45">
        <v>1976</v>
      </c>
      <c r="DB45">
        <v>1976</v>
      </c>
      <c r="DF45">
        <v>1648</v>
      </c>
      <c r="DG45">
        <v>1648</v>
      </c>
      <c r="DH45">
        <v>1648</v>
      </c>
      <c r="DY45">
        <v>336</v>
      </c>
      <c r="HA45">
        <v>656</v>
      </c>
      <c r="HB45">
        <v>656</v>
      </c>
      <c r="HC45">
        <v>656</v>
      </c>
      <c r="IU45">
        <v>336</v>
      </c>
      <c r="IV45">
        <v>336</v>
      </c>
      <c r="IW45">
        <v>336</v>
      </c>
      <c r="IX45">
        <v>336</v>
      </c>
      <c r="IY45">
        <v>336</v>
      </c>
      <c r="JG45">
        <v>336</v>
      </c>
      <c r="JI45">
        <v>336</v>
      </c>
      <c r="JJ45">
        <v>336</v>
      </c>
      <c r="JK45">
        <v>336</v>
      </c>
      <c r="JL45">
        <v>336</v>
      </c>
    </row>
    <row r="46" spans="6:310" x14ac:dyDescent="0.35">
      <c r="F46">
        <v>344</v>
      </c>
      <c r="X46">
        <v>4816</v>
      </c>
      <c r="Y46">
        <v>344</v>
      </c>
      <c r="Z46">
        <v>344</v>
      </c>
      <c r="AA46">
        <v>344</v>
      </c>
      <c r="AN46">
        <v>344</v>
      </c>
      <c r="AO46">
        <v>344</v>
      </c>
      <c r="AP46">
        <v>344</v>
      </c>
      <c r="BE46">
        <v>344</v>
      </c>
      <c r="BF46">
        <v>344</v>
      </c>
      <c r="BG46">
        <v>344</v>
      </c>
      <c r="BN46">
        <v>344</v>
      </c>
      <c r="BO46">
        <v>344</v>
      </c>
      <c r="BP46">
        <v>344</v>
      </c>
      <c r="BQ46">
        <v>1720</v>
      </c>
      <c r="BR46">
        <v>1720</v>
      </c>
      <c r="BS46">
        <v>1720</v>
      </c>
      <c r="BT46">
        <v>1720</v>
      </c>
      <c r="BU46">
        <v>1720</v>
      </c>
      <c r="BV46">
        <v>1720</v>
      </c>
      <c r="BW46">
        <v>1720</v>
      </c>
      <c r="BX46">
        <v>1720</v>
      </c>
      <c r="BY46">
        <v>1720</v>
      </c>
      <c r="CF46">
        <v>1720</v>
      </c>
      <c r="CG46">
        <v>1720</v>
      </c>
      <c r="CI46">
        <v>344</v>
      </c>
      <c r="CJ46">
        <v>344</v>
      </c>
      <c r="CK46">
        <v>344</v>
      </c>
      <c r="CU46">
        <v>1688</v>
      </c>
      <c r="CV46">
        <v>1688</v>
      </c>
      <c r="DA46">
        <v>2024</v>
      </c>
      <c r="DB46">
        <v>2024</v>
      </c>
      <c r="DF46">
        <v>1688</v>
      </c>
      <c r="DG46">
        <v>1688</v>
      </c>
      <c r="DH46">
        <v>1688</v>
      </c>
      <c r="DY46">
        <v>344</v>
      </c>
      <c r="HA46">
        <v>672</v>
      </c>
      <c r="HB46">
        <v>672</v>
      </c>
      <c r="HC46">
        <v>672</v>
      </c>
      <c r="IU46">
        <v>344</v>
      </c>
      <c r="IV46">
        <v>344</v>
      </c>
      <c r="IW46">
        <v>344</v>
      </c>
      <c r="IX46">
        <v>344</v>
      </c>
      <c r="IY46">
        <v>344</v>
      </c>
      <c r="JG46">
        <v>344</v>
      </c>
      <c r="JI46">
        <v>344</v>
      </c>
      <c r="JJ46">
        <v>344</v>
      </c>
      <c r="JK46">
        <v>344</v>
      </c>
      <c r="JL46">
        <v>344</v>
      </c>
    </row>
    <row r="47" spans="6:310" x14ac:dyDescent="0.35">
      <c r="F47">
        <v>352</v>
      </c>
      <c r="X47">
        <v>4928</v>
      </c>
      <c r="Y47">
        <v>352</v>
      </c>
      <c r="Z47">
        <v>352</v>
      </c>
      <c r="AA47">
        <v>352</v>
      </c>
      <c r="AN47">
        <v>352</v>
      </c>
      <c r="AO47">
        <v>352</v>
      </c>
      <c r="AP47">
        <v>352</v>
      </c>
      <c r="BE47">
        <v>352</v>
      </c>
      <c r="BF47">
        <v>352</v>
      </c>
      <c r="BG47">
        <v>352</v>
      </c>
      <c r="BN47">
        <v>352</v>
      </c>
      <c r="BO47">
        <v>352</v>
      </c>
      <c r="BP47">
        <v>352</v>
      </c>
      <c r="BQ47">
        <v>1760</v>
      </c>
      <c r="BR47">
        <v>1760</v>
      </c>
      <c r="BS47">
        <v>1760</v>
      </c>
      <c r="BT47">
        <v>1760</v>
      </c>
      <c r="BU47">
        <v>1760</v>
      </c>
      <c r="BV47">
        <v>1760</v>
      </c>
      <c r="BW47">
        <v>1760</v>
      </c>
      <c r="BX47">
        <v>1760</v>
      </c>
      <c r="BY47">
        <v>1760</v>
      </c>
      <c r="CF47">
        <v>1760</v>
      </c>
      <c r="CG47">
        <v>1760</v>
      </c>
      <c r="CI47">
        <v>352</v>
      </c>
      <c r="CJ47">
        <v>352</v>
      </c>
      <c r="CK47">
        <v>352</v>
      </c>
      <c r="CU47">
        <v>1728</v>
      </c>
      <c r="CV47">
        <v>1728</v>
      </c>
      <c r="DB47">
        <v>2072</v>
      </c>
      <c r="DF47">
        <v>1728</v>
      </c>
      <c r="DG47">
        <v>1728</v>
      </c>
      <c r="DH47">
        <v>1728</v>
      </c>
      <c r="DY47">
        <v>352</v>
      </c>
      <c r="HA47">
        <v>688</v>
      </c>
      <c r="HB47">
        <v>688</v>
      </c>
      <c r="HC47">
        <v>688</v>
      </c>
      <c r="IU47">
        <v>352</v>
      </c>
      <c r="IV47">
        <v>352</v>
      </c>
      <c r="IW47">
        <v>352</v>
      </c>
      <c r="IX47">
        <v>352</v>
      </c>
      <c r="IY47">
        <v>352</v>
      </c>
      <c r="JG47">
        <v>352</v>
      </c>
      <c r="JI47">
        <v>352</v>
      </c>
      <c r="JJ47">
        <v>352</v>
      </c>
      <c r="JK47">
        <v>352</v>
      </c>
      <c r="JL47">
        <v>352</v>
      </c>
    </row>
    <row r="48" spans="6:310" x14ac:dyDescent="0.35">
      <c r="X48">
        <v>5040</v>
      </c>
      <c r="Y48">
        <v>360</v>
      </c>
      <c r="Z48">
        <v>360</v>
      </c>
      <c r="AA48">
        <v>360</v>
      </c>
      <c r="AN48">
        <v>360</v>
      </c>
      <c r="AO48">
        <v>360</v>
      </c>
      <c r="AP48">
        <v>360</v>
      </c>
      <c r="BE48">
        <v>360</v>
      </c>
      <c r="BF48">
        <v>360</v>
      </c>
      <c r="BG48">
        <v>360</v>
      </c>
      <c r="BN48">
        <v>360</v>
      </c>
      <c r="BO48">
        <v>360</v>
      </c>
      <c r="BP48">
        <v>360</v>
      </c>
      <c r="BQ48">
        <v>1800</v>
      </c>
      <c r="BR48">
        <v>1800</v>
      </c>
      <c r="BS48">
        <v>1800</v>
      </c>
      <c r="BT48">
        <v>1800</v>
      </c>
      <c r="BU48">
        <v>1800</v>
      </c>
      <c r="BV48">
        <v>1800</v>
      </c>
      <c r="BW48">
        <v>1800</v>
      </c>
      <c r="BX48">
        <v>1800</v>
      </c>
      <c r="BY48">
        <v>1800</v>
      </c>
      <c r="CG48">
        <v>1800</v>
      </c>
      <c r="CI48">
        <v>360</v>
      </c>
      <c r="CJ48">
        <v>360</v>
      </c>
      <c r="CK48">
        <v>360</v>
      </c>
      <c r="CU48">
        <v>1768</v>
      </c>
      <c r="CV48">
        <v>1768</v>
      </c>
      <c r="DB48">
        <v>2120</v>
      </c>
      <c r="DF48">
        <v>1768</v>
      </c>
      <c r="DG48">
        <v>1768</v>
      </c>
      <c r="DH48">
        <v>1768</v>
      </c>
      <c r="DY48">
        <v>360</v>
      </c>
      <c r="HA48">
        <v>704</v>
      </c>
      <c r="HB48">
        <v>704</v>
      </c>
      <c r="HC48">
        <v>704</v>
      </c>
      <c r="IU48">
        <v>360</v>
      </c>
      <c r="IV48">
        <v>360</v>
      </c>
      <c r="IW48">
        <v>360</v>
      </c>
      <c r="IX48">
        <v>360</v>
      </c>
      <c r="IY48">
        <v>360</v>
      </c>
      <c r="JG48">
        <v>360</v>
      </c>
      <c r="JI48">
        <v>360</v>
      </c>
      <c r="JJ48">
        <v>360</v>
      </c>
      <c r="JK48">
        <v>360</v>
      </c>
      <c r="JL48">
        <v>360</v>
      </c>
    </row>
    <row r="49" spans="24:272" x14ac:dyDescent="0.35">
      <c r="X49">
        <v>5152</v>
      </c>
      <c r="Y49">
        <v>368</v>
      </c>
      <c r="Z49">
        <v>368</v>
      </c>
      <c r="AA49">
        <v>368</v>
      </c>
      <c r="AN49">
        <v>368</v>
      </c>
      <c r="AO49">
        <v>368</v>
      </c>
      <c r="AP49">
        <v>368</v>
      </c>
      <c r="BE49">
        <v>368</v>
      </c>
      <c r="BF49">
        <v>368</v>
      </c>
      <c r="BG49">
        <v>368</v>
      </c>
      <c r="BN49">
        <v>368</v>
      </c>
      <c r="BO49">
        <v>368</v>
      </c>
      <c r="BP49">
        <v>368</v>
      </c>
      <c r="BQ49">
        <v>1840</v>
      </c>
      <c r="BR49">
        <v>1840</v>
      </c>
      <c r="BS49">
        <v>1840</v>
      </c>
      <c r="BT49">
        <v>1840</v>
      </c>
      <c r="BU49">
        <v>1840</v>
      </c>
      <c r="BV49">
        <v>1840</v>
      </c>
      <c r="BW49">
        <v>1840</v>
      </c>
      <c r="BX49">
        <v>1840</v>
      </c>
      <c r="BY49">
        <v>1840</v>
      </c>
      <c r="CG49">
        <v>1840</v>
      </c>
      <c r="CI49">
        <v>368</v>
      </c>
      <c r="CJ49">
        <v>368</v>
      </c>
      <c r="CK49">
        <v>368</v>
      </c>
      <c r="CU49">
        <v>1808</v>
      </c>
      <c r="CV49">
        <v>1808</v>
      </c>
      <c r="DB49">
        <v>2168</v>
      </c>
      <c r="DF49">
        <v>1808</v>
      </c>
      <c r="DG49">
        <v>1808</v>
      </c>
      <c r="DH49">
        <v>1808</v>
      </c>
      <c r="DY49">
        <v>368</v>
      </c>
      <c r="IU49">
        <v>368</v>
      </c>
      <c r="IV49">
        <v>368</v>
      </c>
      <c r="IW49">
        <v>368</v>
      </c>
      <c r="IX49">
        <v>368</v>
      </c>
      <c r="IY49">
        <v>368</v>
      </c>
      <c r="JG49">
        <v>368</v>
      </c>
      <c r="JI49">
        <v>368</v>
      </c>
      <c r="JJ49">
        <v>368</v>
      </c>
      <c r="JK49">
        <v>368</v>
      </c>
      <c r="JL49">
        <v>368</v>
      </c>
    </row>
    <row r="50" spans="24:272" x14ac:dyDescent="0.35">
      <c r="X50">
        <v>5264</v>
      </c>
      <c r="Y50">
        <v>376</v>
      </c>
      <c r="Z50">
        <v>376</v>
      </c>
      <c r="AA50">
        <v>376</v>
      </c>
      <c r="AN50">
        <v>376</v>
      </c>
      <c r="AO50">
        <v>376</v>
      </c>
      <c r="AP50">
        <v>376</v>
      </c>
      <c r="BE50">
        <v>376</v>
      </c>
      <c r="BF50">
        <v>376</v>
      </c>
      <c r="BG50">
        <v>376</v>
      </c>
      <c r="BN50">
        <v>376</v>
      </c>
      <c r="BO50">
        <v>376</v>
      </c>
      <c r="BP50">
        <v>376</v>
      </c>
      <c r="BQ50">
        <v>1880</v>
      </c>
      <c r="BR50">
        <v>1880</v>
      </c>
      <c r="BS50">
        <v>1880</v>
      </c>
      <c r="BT50">
        <v>1880</v>
      </c>
      <c r="BU50">
        <v>1880</v>
      </c>
      <c r="BV50">
        <v>1880</v>
      </c>
      <c r="BW50">
        <v>1880</v>
      </c>
      <c r="BX50">
        <v>1880</v>
      </c>
      <c r="BY50">
        <v>1880</v>
      </c>
      <c r="CG50">
        <v>1880</v>
      </c>
      <c r="CI50">
        <v>376</v>
      </c>
      <c r="CJ50">
        <v>376</v>
      </c>
      <c r="CK50">
        <v>376</v>
      </c>
      <c r="CU50">
        <v>1848</v>
      </c>
      <c r="CV50">
        <v>1848</v>
      </c>
      <c r="DF50">
        <v>1848</v>
      </c>
      <c r="DG50">
        <v>1848</v>
      </c>
      <c r="DH50">
        <v>1848</v>
      </c>
      <c r="DY50">
        <v>376</v>
      </c>
      <c r="IU50">
        <v>376</v>
      </c>
      <c r="IV50">
        <v>376</v>
      </c>
      <c r="IW50">
        <v>376</v>
      </c>
      <c r="IX50">
        <v>376</v>
      </c>
      <c r="IY50">
        <v>376</v>
      </c>
      <c r="JG50">
        <v>376</v>
      </c>
      <c r="JI50">
        <v>376</v>
      </c>
      <c r="JJ50">
        <v>376</v>
      </c>
      <c r="JK50">
        <v>376</v>
      </c>
      <c r="JL50">
        <v>376</v>
      </c>
    </row>
    <row r="51" spans="24:272" x14ac:dyDescent="0.35">
      <c r="X51">
        <v>5376</v>
      </c>
      <c r="Y51">
        <v>384</v>
      </c>
      <c r="Z51">
        <v>384</v>
      </c>
      <c r="AA51">
        <v>384</v>
      </c>
      <c r="AN51">
        <v>384</v>
      </c>
      <c r="AO51">
        <v>384</v>
      </c>
      <c r="AP51">
        <v>384</v>
      </c>
      <c r="BE51">
        <v>384</v>
      </c>
      <c r="BF51">
        <v>384</v>
      </c>
      <c r="BG51">
        <v>384</v>
      </c>
      <c r="BN51">
        <v>384</v>
      </c>
      <c r="BO51">
        <v>384</v>
      </c>
      <c r="BP51">
        <v>384</v>
      </c>
      <c r="BQ51">
        <v>1920</v>
      </c>
      <c r="BR51">
        <v>1920</v>
      </c>
      <c r="BS51">
        <v>1920</v>
      </c>
      <c r="BT51">
        <v>1920</v>
      </c>
      <c r="BU51">
        <v>1920</v>
      </c>
      <c r="BV51">
        <v>1920</v>
      </c>
      <c r="BW51">
        <v>1920</v>
      </c>
      <c r="BX51">
        <v>1920</v>
      </c>
      <c r="BY51">
        <v>1920</v>
      </c>
      <c r="CG51">
        <v>1920</v>
      </c>
      <c r="CI51">
        <v>384</v>
      </c>
      <c r="CJ51">
        <v>384</v>
      </c>
      <c r="CK51">
        <v>384</v>
      </c>
      <c r="CU51">
        <v>1888</v>
      </c>
      <c r="CV51">
        <v>1888</v>
      </c>
      <c r="DY51">
        <v>384</v>
      </c>
      <c r="IU51">
        <v>384</v>
      </c>
      <c r="IW51">
        <v>384</v>
      </c>
      <c r="IX51">
        <v>384</v>
      </c>
      <c r="IY51">
        <v>384</v>
      </c>
      <c r="JG51">
        <v>384</v>
      </c>
      <c r="JI51">
        <v>384</v>
      </c>
      <c r="JJ51">
        <v>384</v>
      </c>
      <c r="JK51">
        <v>384</v>
      </c>
      <c r="JL51">
        <v>384</v>
      </c>
    </row>
    <row r="52" spans="24:272" x14ac:dyDescent="0.35">
      <c r="Y52">
        <v>392</v>
      </c>
      <c r="Z52">
        <v>392</v>
      </c>
      <c r="AA52">
        <v>392</v>
      </c>
      <c r="AN52">
        <v>392</v>
      </c>
      <c r="AO52">
        <v>392</v>
      </c>
      <c r="AP52">
        <v>392</v>
      </c>
      <c r="BE52">
        <v>392</v>
      </c>
      <c r="BF52">
        <v>392</v>
      </c>
      <c r="BN52">
        <v>392</v>
      </c>
      <c r="BO52">
        <v>392</v>
      </c>
      <c r="BP52">
        <v>392</v>
      </c>
      <c r="BQ52">
        <v>1960</v>
      </c>
      <c r="BR52">
        <v>1960</v>
      </c>
      <c r="BT52">
        <v>1960</v>
      </c>
      <c r="BU52">
        <v>1960</v>
      </c>
      <c r="BV52">
        <v>1960</v>
      </c>
      <c r="BW52">
        <v>1960</v>
      </c>
      <c r="BX52">
        <v>1960</v>
      </c>
      <c r="BY52">
        <v>1960</v>
      </c>
      <c r="CI52">
        <v>392</v>
      </c>
      <c r="CJ52">
        <v>392</v>
      </c>
      <c r="CK52">
        <v>392</v>
      </c>
      <c r="CU52">
        <v>1928</v>
      </c>
      <c r="CV52">
        <v>1928</v>
      </c>
      <c r="DY52">
        <v>392</v>
      </c>
      <c r="IU52">
        <v>392</v>
      </c>
      <c r="IW52">
        <v>392</v>
      </c>
      <c r="IX52">
        <v>392</v>
      </c>
      <c r="IY52">
        <v>392</v>
      </c>
      <c r="JG52">
        <v>392</v>
      </c>
      <c r="JI52">
        <v>392</v>
      </c>
      <c r="JJ52">
        <v>392</v>
      </c>
      <c r="JK52">
        <v>392</v>
      </c>
      <c r="JL52">
        <v>392</v>
      </c>
    </row>
    <row r="53" spans="24:272" x14ac:dyDescent="0.35">
      <c r="Z53">
        <v>400</v>
      </c>
      <c r="AA53">
        <v>400</v>
      </c>
      <c r="AN53">
        <v>400</v>
      </c>
      <c r="AO53">
        <v>400</v>
      </c>
      <c r="AP53">
        <v>400</v>
      </c>
      <c r="BE53">
        <v>400</v>
      </c>
      <c r="BN53">
        <v>400</v>
      </c>
      <c r="BO53">
        <v>400</v>
      </c>
      <c r="BP53">
        <v>400</v>
      </c>
      <c r="BQ53">
        <v>2000</v>
      </c>
      <c r="BU53">
        <v>2000</v>
      </c>
      <c r="BV53">
        <v>2000</v>
      </c>
      <c r="BW53">
        <v>2000</v>
      </c>
      <c r="BX53">
        <v>2000</v>
      </c>
      <c r="BY53">
        <v>2000</v>
      </c>
      <c r="CI53">
        <v>400</v>
      </c>
      <c r="CJ53">
        <v>400</v>
      </c>
      <c r="CK53">
        <v>400</v>
      </c>
      <c r="CU53">
        <v>1968</v>
      </c>
      <c r="CV53">
        <v>1968</v>
      </c>
      <c r="DY53">
        <v>400</v>
      </c>
      <c r="IU53">
        <v>400</v>
      </c>
      <c r="IW53">
        <v>400</v>
      </c>
      <c r="IX53">
        <v>400</v>
      </c>
      <c r="IY53">
        <v>400</v>
      </c>
      <c r="JG53">
        <v>400</v>
      </c>
      <c r="JJ53">
        <v>400</v>
      </c>
      <c r="JK53">
        <v>400</v>
      </c>
      <c r="JL53">
        <v>400</v>
      </c>
    </row>
    <row r="54" spans="24:272" x14ac:dyDescent="0.35">
      <c r="Z54">
        <v>408</v>
      </c>
      <c r="AA54">
        <v>408</v>
      </c>
      <c r="AN54">
        <v>408</v>
      </c>
      <c r="AO54">
        <v>408</v>
      </c>
      <c r="AP54">
        <v>408</v>
      </c>
      <c r="BE54">
        <v>408</v>
      </c>
      <c r="BN54">
        <v>408</v>
      </c>
      <c r="BO54">
        <v>408</v>
      </c>
      <c r="BP54">
        <v>408</v>
      </c>
      <c r="BQ54">
        <v>2040</v>
      </c>
      <c r="BU54">
        <v>2040</v>
      </c>
      <c r="BV54">
        <v>2040</v>
      </c>
      <c r="BW54">
        <v>2040</v>
      </c>
      <c r="BX54">
        <v>2040</v>
      </c>
      <c r="BY54">
        <v>2040</v>
      </c>
      <c r="CI54">
        <v>408</v>
      </c>
      <c r="CK54">
        <v>408</v>
      </c>
      <c r="CU54">
        <v>2008</v>
      </c>
      <c r="CV54">
        <v>2008</v>
      </c>
      <c r="DY54">
        <v>408</v>
      </c>
      <c r="IU54">
        <v>408</v>
      </c>
      <c r="IW54">
        <v>408</v>
      </c>
      <c r="IX54">
        <v>408</v>
      </c>
      <c r="IY54">
        <v>408</v>
      </c>
      <c r="JG54">
        <v>408</v>
      </c>
      <c r="JJ54">
        <v>408</v>
      </c>
      <c r="JK54">
        <v>408</v>
      </c>
      <c r="JL54">
        <v>408</v>
      </c>
    </row>
    <row r="55" spans="24:272" x14ac:dyDescent="0.35">
      <c r="Z55">
        <v>416</v>
      </c>
      <c r="AA55">
        <v>416</v>
      </c>
      <c r="AN55">
        <v>416</v>
      </c>
      <c r="AO55">
        <v>416</v>
      </c>
      <c r="AP55">
        <v>416</v>
      </c>
      <c r="BE55">
        <v>416</v>
      </c>
      <c r="BN55">
        <v>416</v>
      </c>
      <c r="BO55">
        <v>416</v>
      </c>
      <c r="BP55">
        <v>416</v>
      </c>
      <c r="BQ55">
        <v>2080</v>
      </c>
      <c r="BU55">
        <v>2080</v>
      </c>
      <c r="BV55">
        <v>2080</v>
      </c>
      <c r="BW55">
        <v>2080</v>
      </c>
      <c r="BX55">
        <v>2080</v>
      </c>
      <c r="BY55">
        <v>2080</v>
      </c>
      <c r="CI55">
        <v>416</v>
      </c>
      <c r="CK55">
        <v>416</v>
      </c>
      <c r="CU55">
        <v>2048</v>
      </c>
      <c r="CV55">
        <v>2048</v>
      </c>
      <c r="DY55">
        <v>416</v>
      </c>
      <c r="IU55">
        <v>416</v>
      </c>
      <c r="IW55">
        <v>416</v>
      </c>
      <c r="IX55">
        <v>416</v>
      </c>
      <c r="IY55">
        <v>416</v>
      </c>
      <c r="JJ55">
        <v>416</v>
      </c>
      <c r="JK55">
        <v>416</v>
      </c>
      <c r="JL55">
        <v>416</v>
      </c>
    </row>
    <row r="56" spans="24:272" x14ac:dyDescent="0.35">
      <c r="Z56">
        <v>424</v>
      </c>
      <c r="AA56">
        <v>424</v>
      </c>
      <c r="AN56">
        <v>424</v>
      </c>
      <c r="AO56">
        <v>424</v>
      </c>
      <c r="AP56">
        <v>424</v>
      </c>
      <c r="BE56">
        <v>424</v>
      </c>
      <c r="BN56">
        <v>424</v>
      </c>
      <c r="BO56">
        <v>424</v>
      </c>
      <c r="BP56">
        <v>424</v>
      </c>
      <c r="BQ56">
        <v>2120</v>
      </c>
      <c r="BU56">
        <v>2120</v>
      </c>
      <c r="BV56">
        <v>2120</v>
      </c>
      <c r="BW56">
        <v>2120</v>
      </c>
      <c r="BX56">
        <v>2120</v>
      </c>
      <c r="BY56">
        <v>2120</v>
      </c>
      <c r="CI56">
        <v>424</v>
      </c>
      <c r="CK56">
        <v>424</v>
      </c>
      <c r="CU56">
        <v>2088</v>
      </c>
      <c r="CV56">
        <v>2088</v>
      </c>
      <c r="DY56">
        <v>424</v>
      </c>
      <c r="IU56">
        <v>424</v>
      </c>
      <c r="IW56">
        <v>424</v>
      </c>
      <c r="IX56">
        <v>424</v>
      </c>
      <c r="IY56">
        <v>424</v>
      </c>
      <c r="JJ56">
        <v>424</v>
      </c>
      <c r="JK56">
        <v>424</v>
      </c>
      <c r="JL56">
        <v>424</v>
      </c>
    </row>
    <row r="57" spans="24:272" x14ac:dyDescent="0.35">
      <c r="Z57">
        <v>432</v>
      </c>
      <c r="AA57">
        <v>432</v>
      </c>
      <c r="AN57">
        <v>432</v>
      </c>
      <c r="AO57">
        <v>432</v>
      </c>
      <c r="AP57">
        <v>432</v>
      </c>
      <c r="BE57">
        <v>432</v>
      </c>
      <c r="BN57">
        <v>432</v>
      </c>
      <c r="BO57">
        <v>432</v>
      </c>
      <c r="BP57">
        <v>432</v>
      </c>
      <c r="BQ57">
        <v>2160</v>
      </c>
      <c r="BU57">
        <v>2160</v>
      </c>
      <c r="BV57">
        <v>2160</v>
      </c>
      <c r="BW57">
        <v>2160</v>
      </c>
      <c r="BX57">
        <v>2160</v>
      </c>
      <c r="BY57">
        <v>2160</v>
      </c>
      <c r="CI57">
        <v>432</v>
      </c>
      <c r="CK57">
        <v>432</v>
      </c>
      <c r="CU57">
        <v>2128</v>
      </c>
      <c r="CV57">
        <v>2128</v>
      </c>
      <c r="DY57">
        <v>432</v>
      </c>
      <c r="IU57">
        <v>432</v>
      </c>
      <c r="IW57">
        <v>432</v>
      </c>
      <c r="IX57">
        <v>432</v>
      </c>
      <c r="IY57">
        <v>432</v>
      </c>
      <c r="JJ57">
        <v>432</v>
      </c>
      <c r="JK57">
        <v>432</v>
      </c>
      <c r="JL57">
        <v>432</v>
      </c>
    </row>
    <row r="58" spans="24:272" x14ac:dyDescent="0.35">
      <c r="Z58">
        <v>440</v>
      </c>
      <c r="AA58">
        <v>440</v>
      </c>
      <c r="AN58">
        <v>440</v>
      </c>
      <c r="AO58">
        <v>440</v>
      </c>
      <c r="AP58">
        <v>440</v>
      </c>
      <c r="BE58">
        <v>440</v>
      </c>
      <c r="BN58">
        <v>440</v>
      </c>
      <c r="BO58">
        <v>440</v>
      </c>
      <c r="BP58">
        <v>440</v>
      </c>
      <c r="BQ58">
        <v>2200</v>
      </c>
      <c r="BU58">
        <v>2200</v>
      </c>
      <c r="BV58">
        <v>2200</v>
      </c>
      <c r="BW58">
        <v>2200</v>
      </c>
      <c r="BX58">
        <v>2200</v>
      </c>
      <c r="BY58">
        <v>2200</v>
      </c>
      <c r="CI58">
        <v>440</v>
      </c>
      <c r="CK58">
        <v>440</v>
      </c>
      <c r="CU58">
        <v>2168</v>
      </c>
      <c r="CV58">
        <v>2168</v>
      </c>
      <c r="DY58">
        <v>440</v>
      </c>
      <c r="IU58">
        <v>440</v>
      </c>
      <c r="IW58">
        <v>440</v>
      </c>
      <c r="IX58">
        <v>440</v>
      </c>
      <c r="IY58">
        <v>440</v>
      </c>
      <c r="JJ58">
        <v>440</v>
      </c>
      <c r="JK58">
        <v>440</v>
      </c>
      <c r="JL58">
        <v>440</v>
      </c>
    </row>
    <row r="59" spans="24:272" x14ac:dyDescent="0.35">
      <c r="Z59">
        <v>448</v>
      </c>
      <c r="AA59">
        <v>448</v>
      </c>
      <c r="AN59">
        <v>448</v>
      </c>
      <c r="AO59">
        <v>448</v>
      </c>
      <c r="AP59">
        <v>448</v>
      </c>
      <c r="BE59">
        <v>448</v>
      </c>
      <c r="BN59">
        <v>448</v>
      </c>
      <c r="BO59">
        <v>448</v>
      </c>
      <c r="BP59">
        <v>448</v>
      </c>
      <c r="BQ59">
        <v>2240</v>
      </c>
      <c r="BU59">
        <v>2240</v>
      </c>
      <c r="BV59">
        <v>2240</v>
      </c>
      <c r="BW59">
        <v>2240</v>
      </c>
      <c r="BX59">
        <v>2240</v>
      </c>
      <c r="BY59">
        <v>2240</v>
      </c>
      <c r="CI59">
        <v>448</v>
      </c>
      <c r="CK59">
        <v>448</v>
      </c>
      <c r="CU59">
        <v>2208</v>
      </c>
      <c r="CV59">
        <v>2208</v>
      </c>
      <c r="DY59">
        <v>448</v>
      </c>
      <c r="IU59">
        <v>448</v>
      </c>
      <c r="IW59">
        <v>448</v>
      </c>
      <c r="IX59">
        <v>448</v>
      </c>
      <c r="IY59">
        <v>448</v>
      </c>
      <c r="JJ59">
        <v>448</v>
      </c>
      <c r="JK59">
        <v>448</v>
      </c>
      <c r="JL59">
        <v>448</v>
      </c>
    </row>
    <row r="60" spans="24:272" x14ac:dyDescent="0.35">
      <c r="Z60">
        <v>456</v>
      </c>
      <c r="AA60">
        <v>456</v>
      </c>
      <c r="AN60">
        <v>456</v>
      </c>
      <c r="AO60">
        <v>456</v>
      </c>
      <c r="AP60">
        <v>456</v>
      </c>
      <c r="BE60">
        <v>456</v>
      </c>
      <c r="BN60">
        <v>456</v>
      </c>
      <c r="BO60">
        <v>456</v>
      </c>
      <c r="BP60">
        <v>456</v>
      </c>
      <c r="BQ60">
        <v>2280</v>
      </c>
      <c r="BU60">
        <v>2280</v>
      </c>
      <c r="BV60">
        <v>2280</v>
      </c>
      <c r="BW60">
        <v>2280</v>
      </c>
      <c r="BX60">
        <v>2280</v>
      </c>
      <c r="BY60">
        <v>2280</v>
      </c>
      <c r="CI60">
        <v>456</v>
      </c>
      <c r="CK60">
        <v>456</v>
      </c>
      <c r="CU60">
        <v>2248</v>
      </c>
      <c r="CV60">
        <v>2248</v>
      </c>
      <c r="DY60">
        <v>456</v>
      </c>
      <c r="IU60">
        <v>456</v>
      </c>
      <c r="IW60">
        <v>456</v>
      </c>
      <c r="IX60">
        <v>456</v>
      </c>
      <c r="IY60">
        <v>456</v>
      </c>
      <c r="JJ60">
        <v>456</v>
      </c>
      <c r="JK60">
        <v>456</v>
      </c>
      <c r="JL60">
        <v>456</v>
      </c>
    </row>
    <row r="61" spans="24:272" x14ac:dyDescent="0.35">
      <c r="Z61">
        <v>464</v>
      </c>
      <c r="AA61">
        <v>464</v>
      </c>
      <c r="AN61">
        <v>464</v>
      </c>
      <c r="AO61">
        <v>464</v>
      </c>
      <c r="AP61">
        <v>464</v>
      </c>
      <c r="BE61">
        <v>464</v>
      </c>
      <c r="BN61">
        <v>464</v>
      </c>
      <c r="BO61">
        <v>464</v>
      </c>
      <c r="BP61">
        <v>464</v>
      </c>
      <c r="BQ61">
        <v>2320</v>
      </c>
      <c r="BU61">
        <v>2320</v>
      </c>
      <c r="BV61">
        <v>2320</v>
      </c>
      <c r="BW61">
        <v>2320</v>
      </c>
      <c r="BX61">
        <v>2320</v>
      </c>
      <c r="BY61">
        <v>2320</v>
      </c>
      <c r="CI61">
        <v>464</v>
      </c>
      <c r="CK61">
        <v>464</v>
      </c>
      <c r="CU61">
        <v>2288</v>
      </c>
      <c r="CV61">
        <v>2288</v>
      </c>
      <c r="DY61">
        <v>464</v>
      </c>
      <c r="IU61">
        <v>464</v>
      </c>
      <c r="IW61">
        <v>464</v>
      </c>
      <c r="IX61">
        <v>464</v>
      </c>
      <c r="IY61">
        <v>464</v>
      </c>
      <c r="JJ61">
        <v>464</v>
      </c>
      <c r="JK61">
        <v>464</v>
      </c>
      <c r="JL61">
        <v>464</v>
      </c>
    </row>
    <row r="62" spans="24:272" x14ac:dyDescent="0.35">
      <c r="Z62">
        <v>472</v>
      </c>
      <c r="AN62">
        <v>472</v>
      </c>
      <c r="AO62">
        <v>472</v>
      </c>
      <c r="AP62">
        <v>472</v>
      </c>
      <c r="BE62">
        <v>472</v>
      </c>
      <c r="BN62">
        <v>472</v>
      </c>
      <c r="BO62">
        <v>472</v>
      </c>
      <c r="BP62">
        <v>472</v>
      </c>
      <c r="BQ62">
        <v>2360</v>
      </c>
      <c r="BU62">
        <v>2360</v>
      </c>
      <c r="BV62">
        <v>2360</v>
      </c>
      <c r="BW62">
        <v>2360</v>
      </c>
      <c r="BX62">
        <v>2360</v>
      </c>
      <c r="BY62">
        <v>2360</v>
      </c>
      <c r="CI62">
        <v>472</v>
      </c>
      <c r="CK62">
        <v>472</v>
      </c>
      <c r="CU62">
        <v>2328</v>
      </c>
      <c r="CV62">
        <v>2328</v>
      </c>
      <c r="DY62">
        <v>472</v>
      </c>
      <c r="IU62">
        <v>472</v>
      </c>
      <c r="IW62">
        <v>472</v>
      </c>
      <c r="IX62">
        <v>472</v>
      </c>
      <c r="IY62">
        <v>472</v>
      </c>
      <c r="JJ62">
        <v>472</v>
      </c>
      <c r="JK62">
        <v>472</v>
      </c>
      <c r="JL62">
        <v>472</v>
      </c>
    </row>
    <row r="63" spans="24:272" x14ac:dyDescent="0.35">
      <c r="Z63">
        <v>480</v>
      </c>
      <c r="AN63">
        <v>480</v>
      </c>
      <c r="AO63">
        <v>480</v>
      </c>
      <c r="AP63">
        <v>480</v>
      </c>
      <c r="BE63">
        <v>480</v>
      </c>
      <c r="BN63">
        <v>480</v>
      </c>
      <c r="BO63">
        <v>480</v>
      </c>
      <c r="BP63">
        <v>480</v>
      </c>
      <c r="BQ63">
        <v>2400</v>
      </c>
      <c r="BU63">
        <v>2400</v>
      </c>
      <c r="BV63">
        <v>2400</v>
      </c>
      <c r="BW63">
        <v>2400</v>
      </c>
      <c r="BX63">
        <v>2400</v>
      </c>
      <c r="BY63">
        <v>2400</v>
      </c>
      <c r="CI63">
        <v>480</v>
      </c>
      <c r="CK63">
        <v>480</v>
      </c>
      <c r="CU63">
        <v>2368</v>
      </c>
      <c r="CV63">
        <v>2368</v>
      </c>
      <c r="DY63">
        <v>480</v>
      </c>
      <c r="IU63">
        <v>480</v>
      </c>
      <c r="IW63">
        <v>480</v>
      </c>
      <c r="IX63">
        <v>480</v>
      </c>
      <c r="IY63">
        <v>480</v>
      </c>
      <c r="JJ63">
        <v>480</v>
      </c>
      <c r="JK63">
        <v>480</v>
      </c>
      <c r="JL63">
        <v>480</v>
      </c>
    </row>
    <row r="64" spans="24:272" x14ac:dyDescent="0.35">
      <c r="Z64">
        <v>488</v>
      </c>
      <c r="AN64">
        <v>488</v>
      </c>
      <c r="AO64">
        <v>488</v>
      </c>
      <c r="AP64">
        <v>488</v>
      </c>
      <c r="BE64">
        <v>488</v>
      </c>
      <c r="BN64">
        <v>488</v>
      </c>
      <c r="BO64">
        <v>488</v>
      </c>
      <c r="BP64">
        <v>488</v>
      </c>
      <c r="BQ64">
        <v>2440</v>
      </c>
      <c r="BU64">
        <v>2440</v>
      </c>
      <c r="BV64">
        <v>2440</v>
      </c>
      <c r="BW64">
        <v>2440</v>
      </c>
      <c r="BX64">
        <v>2440</v>
      </c>
      <c r="BY64">
        <v>2440</v>
      </c>
      <c r="CI64">
        <v>488</v>
      </c>
      <c r="CK64">
        <v>488</v>
      </c>
      <c r="CU64">
        <v>2408</v>
      </c>
      <c r="CV64">
        <v>2408</v>
      </c>
      <c r="DY64">
        <v>488</v>
      </c>
      <c r="IU64">
        <v>488</v>
      </c>
      <c r="IW64">
        <v>488</v>
      </c>
      <c r="IX64">
        <v>488</v>
      </c>
      <c r="IY64">
        <v>488</v>
      </c>
      <c r="JK64">
        <v>488</v>
      </c>
      <c r="JL64">
        <v>488</v>
      </c>
    </row>
    <row r="65" spans="26:272" x14ac:dyDescent="0.35">
      <c r="Z65">
        <v>496</v>
      </c>
      <c r="AN65">
        <v>496</v>
      </c>
      <c r="AO65">
        <v>496</v>
      </c>
      <c r="AP65">
        <v>496</v>
      </c>
      <c r="BE65">
        <v>496</v>
      </c>
      <c r="BN65">
        <v>496</v>
      </c>
      <c r="BO65">
        <v>496</v>
      </c>
      <c r="BP65">
        <v>496</v>
      </c>
      <c r="BQ65">
        <v>2480</v>
      </c>
      <c r="BU65">
        <v>2480</v>
      </c>
      <c r="BV65">
        <v>2480</v>
      </c>
      <c r="BW65">
        <v>2480</v>
      </c>
      <c r="BX65">
        <v>2480</v>
      </c>
      <c r="BY65">
        <v>2480</v>
      </c>
      <c r="CI65">
        <v>496</v>
      </c>
      <c r="CK65">
        <v>496</v>
      </c>
      <c r="CU65">
        <v>2448</v>
      </c>
      <c r="CV65">
        <v>2448</v>
      </c>
      <c r="DY65">
        <v>496</v>
      </c>
      <c r="IU65">
        <v>496</v>
      </c>
      <c r="IW65">
        <v>496</v>
      </c>
      <c r="IX65">
        <v>496</v>
      </c>
      <c r="IY65">
        <v>496</v>
      </c>
      <c r="JK65">
        <v>496</v>
      </c>
      <c r="JL65">
        <v>496</v>
      </c>
    </row>
    <row r="66" spans="26:272" x14ac:dyDescent="0.35">
      <c r="Z66">
        <v>504</v>
      </c>
      <c r="AN66">
        <v>504</v>
      </c>
      <c r="AO66">
        <v>504</v>
      </c>
      <c r="AP66">
        <v>504</v>
      </c>
      <c r="BE66">
        <v>504</v>
      </c>
      <c r="BN66">
        <v>504</v>
      </c>
      <c r="BO66">
        <v>504</v>
      </c>
      <c r="BP66">
        <v>504</v>
      </c>
      <c r="BQ66">
        <v>2520</v>
      </c>
      <c r="BU66">
        <v>2520</v>
      </c>
      <c r="BV66">
        <v>2520</v>
      </c>
      <c r="BW66">
        <v>2520</v>
      </c>
      <c r="BX66">
        <v>2520</v>
      </c>
      <c r="BY66">
        <v>2520</v>
      </c>
      <c r="CI66">
        <v>504</v>
      </c>
      <c r="CK66">
        <v>504</v>
      </c>
      <c r="CU66">
        <v>2488</v>
      </c>
      <c r="CV66">
        <v>2488</v>
      </c>
      <c r="DY66">
        <v>504</v>
      </c>
      <c r="IU66">
        <v>504</v>
      </c>
      <c r="IW66">
        <v>504</v>
      </c>
      <c r="IX66">
        <v>504</v>
      </c>
      <c r="IY66">
        <v>504</v>
      </c>
      <c r="JK66">
        <v>504</v>
      </c>
      <c r="JL66">
        <v>504</v>
      </c>
    </row>
    <row r="67" spans="26:272" x14ac:dyDescent="0.35">
      <c r="Z67">
        <v>512</v>
      </c>
      <c r="AN67">
        <v>512</v>
      </c>
      <c r="AO67">
        <v>512</v>
      </c>
      <c r="AP67">
        <v>512</v>
      </c>
      <c r="BE67">
        <v>512</v>
      </c>
      <c r="BN67">
        <v>512</v>
      </c>
      <c r="BO67">
        <v>512</v>
      </c>
      <c r="BP67">
        <v>512</v>
      </c>
      <c r="BQ67">
        <v>2560</v>
      </c>
      <c r="BU67">
        <v>2560</v>
      </c>
      <c r="BV67">
        <v>2560</v>
      </c>
      <c r="BW67">
        <v>2560</v>
      </c>
      <c r="BX67">
        <v>2560</v>
      </c>
      <c r="BY67">
        <v>2560</v>
      </c>
      <c r="CK67">
        <v>512</v>
      </c>
      <c r="CU67">
        <v>2528</v>
      </c>
      <c r="CV67">
        <v>2528</v>
      </c>
      <c r="DY67">
        <v>512</v>
      </c>
      <c r="IU67">
        <v>512</v>
      </c>
      <c r="IW67">
        <v>512</v>
      </c>
      <c r="IX67">
        <v>512</v>
      </c>
      <c r="IY67">
        <v>512</v>
      </c>
      <c r="JK67">
        <v>512</v>
      </c>
      <c r="JL67">
        <v>512</v>
      </c>
    </row>
    <row r="68" spans="26:272" x14ac:dyDescent="0.35">
      <c r="Z68">
        <v>520</v>
      </c>
      <c r="AN68">
        <v>520</v>
      </c>
      <c r="AO68">
        <v>520</v>
      </c>
      <c r="AP68">
        <v>520</v>
      </c>
      <c r="BE68">
        <v>520</v>
      </c>
      <c r="BN68">
        <v>520</v>
      </c>
      <c r="BO68">
        <v>520</v>
      </c>
      <c r="BP68">
        <v>520</v>
      </c>
      <c r="BQ68">
        <v>2600</v>
      </c>
      <c r="BU68">
        <v>2600</v>
      </c>
      <c r="BV68">
        <v>2600</v>
      </c>
      <c r="BW68">
        <v>2600</v>
      </c>
      <c r="BX68">
        <v>2600</v>
      </c>
      <c r="BY68">
        <v>2600</v>
      </c>
      <c r="CK68">
        <v>520</v>
      </c>
      <c r="CU68">
        <v>2568</v>
      </c>
      <c r="CV68">
        <v>2568</v>
      </c>
      <c r="DY68">
        <v>520</v>
      </c>
      <c r="IW68">
        <v>520</v>
      </c>
      <c r="IX68">
        <v>520</v>
      </c>
      <c r="IY68">
        <v>520</v>
      </c>
      <c r="JK68">
        <v>520</v>
      </c>
      <c r="JL68">
        <v>520</v>
      </c>
    </row>
    <row r="69" spans="26:272" x14ac:dyDescent="0.35">
      <c r="Z69">
        <v>528</v>
      </c>
      <c r="AN69">
        <v>528</v>
      </c>
      <c r="AO69">
        <v>528</v>
      </c>
      <c r="AP69">
        <v>528</v>
      </c>
      <c r="BE69">
        <v>528</v>
      </c>
      <c r="BN69">
        <v>528</v>
      </c>
      <c r="BO69">
        <v>528</v>
      </c>
      <c r="BP69">
        <v>528</v>
      </c>
      <c r="BQ69">
        <v>2640</v>
      </c>
      <c r="BU69">
        <v>2640</v>
      </c>
      <c r="BV69">
        <v>2640</v>
      </c>
      <c r="BW69">
        <v>2640</v>
      </c>
      <c r="BX69">
        <v>2640</v>
      </c>
      <c r="BY69">
        <v>2640</v>
      </c>
      <c r="CK69">
        <v>528</v>
      </c>
      <c r="CU69">
        <v>2608</v>
      </c>
      <c r="CV69">
        <v>2608</v>
      </c>
      <c r="DY69">
        <v>528</v>
      </c>
      <c r="IW69">
        <v>528</v>
      </c>
      <c r="IX69">
        <v>528</v>
      </c>
      <c r="IY69">
        <v>528</v>
      </c>
    </row>
    <row r="70" spans="26:272" x14ac:dyDescent="0.35">
      <c r="Z70">
        <v>536</v>
      </c>
      <c r="AN70">
        <v>536</v>
      </c>
      <c r="AO70">
        <v>536</v>
      </c>
      <c r="AP70">
        <v>536</v>
      </c>
      <c r="BN70">
        <v>536</v>
      </c>
      <c r="BO70">
        <v>536</v>
      </c>
      <c r="BP70">
        <v>536</v>
      </c>
      <c r="BQ70">
        <v>2680</v>
      </c>
      <c r="BU70">
        <v>2680</v>
      </c>
      <c r="BV70">
        <v>2680</v>
      </c>
      <c r="BW70">
        <v>2680</v>
      </c>
      <c r="BX70">
        <v>2680</v>
      </c>
      <c r="BY70">
        <v>2680</v>
      </c>
      <c r="CK70">
        <v>536</v>
      </c>
      <c r="CU70">
        <v>2648</v>
      </c>
      <c r="CV70">
        <v>2648</v>
      </c>
      <c r="DY70">
        <v>536</v>
      </c>
      <c r="IW70">
        <v>536</v>
      </c>
      <c r="IX70">
        <v>536</v>
      </c>
      <c r="IY70">
        <v>536</v>
      </c>
    </row>
    <row r="71" spans="26:272" x14ac:dyDescent="0.35">
      <c r="Z71">
        <v>544</v>
      </c>
      <c r="AN71">
        <v>544</v>
      </c>
      <c r="AO71">
        <v>544</v>
      </c>
      <c r="AP71">
        <v>544</v>
      </c>
      <c r="BN71">
        <v>544</v>
      </c>
      <c r="BO71">
        <v>544</v>
      </c>
      <c r="BP71">
        <v>544</v>
      </c>
      <c r="BQ71">
        <v>2720</v>
      </c>
      <c r="BU71">
        <v>2720</v>
      </c>
      <c r="BV71">
        <v>2720</v>
      </c>
      <c r="BW71">
        <v>2720</v>
      </c>
      <c r="BY71">
        <v>2720</v>
      </c>
      <c r="CU71">
        <v>2688</v>
      </c>
      <c r="CV71">
        <v>2688</v>
      </c>
      <c r="DY71">
        <v>544</v>
      </c>
      <c r="IW71">
        <v>544</v>
      </c>
      <c r="IX71">
        <v>544</v>
      </c>
      <c r="IY71">
        <v>544</v>
      </c>
    </row>
    <row r="72" spans="26:272" x14ac:dyDescent="0.35">
      <c r="Z72">
        <v>552</v>
      </c>
      <c r="AN72">
        <v>552</v>
      </c>
      <c r="AO72">
        <v>552</v>
      </c>
      <c r="AP72">
        <v>552</v>
      </c>
      <c r="BN72">
        <v>552</v>
      </c>
      <c r="BO72">
        <v>552</v>
      </c>
      <c r="BP72">
        <v>552</v>
      </c>
      <c r="BU72">
        <v>2760</v>
      </c>
      <c r="BV72">
        <v>2760</v>
      </c>
      <c r="BW72">
        <v>2760</v>
      </c>
      <c r="BY72">
        <v>2760</v>
      </c>
      <c r="CU72">
        <v>2728</v>
      </c>
      <c r="CV72">
        <v>2728</v>
      </c>
      <c r="DY72">
        <v>552</v>
      </c>
      <c r="IW72">
        <v>552</v>
      </c>
      <c r="IX72">
        <v>552</v>
      </c>
      <c r="IY72">
        <v>552</v>
      </c>
    </row>
    <row r="73" spans="26:272" x14ac:dyDescent="0.35">
      <c r="Z73">
        <v>560</v>
      </c>
      <c r="AN73">
        <v>560</v>
      </c>
      <c r="AO73">
        <v>560</v>
      </c>
      <c r="AP73">
        <v>560</v>
      </c>
      <c r="BN73">
        <v>560</v>
      </c>
      <c r="BO73">
        <v>560</v>
      </c>
      <c r="BP73">
        <v>560</v>
      </c>
      <c r="BU73">
        <v>2800</v>
      </c>
      <c r="BV73">
        <v>2800</v>
      </c>
      <c r="BW73">
        <v>2800</v>
      </c>
      <c r="BY73">
        <v>2800</v>
      </c>
      <c r="CU73">
        <v>2768</v>
      </c>
      <c r="CV73">
        <v>2768</v>
      </c>
      <c r="IW73">
        <v>560</v>
      </c>
      <c r="IX73">
        <v>560</v>
      </c>
      <c r="IY73">
        <v>560</v>
      </c>
    </row>
    <row r="74" spans="26:272" x14ac:dyDescent="0.35">
      <c r="AN74">
        <v>568</v>
      </c>
      <c r="AO74">
        <v>568</v>
      </c>
      <c r="AP74">
        <v>568</v>
      </c>
      <c r="BN74">
        <v>568</v>
      </c>
      <c r="BO74">
        <v>568</v>
      </c>
      <c r="BP74">
        <v>568</v>
      </c>
      <c r="BU74">
        <v>2840</v>
      </c>
      <c r="BV74">
        <v>2840</v>
      </c>
      <c r="BW74">
        <v>2840</v>
      </c>
      <c r="BY74">
        <v>2840</v>
      </c>
      <c r="CU74">
        <v>2808</v>
      </c>
      <c r="CV74">
        <v>2808</v>
      </c>
      <c r="IW74">
        <v>568</v>
      </c>
      <c r="IX74">
        <v>568</v>
      </c>
      <c r="IY74">
        <v>568</v>
      </c>
    </row>
    <row r="75" spans="26:272" x14ac:dyDescent="0.35">
      <c r="AN75">
        <v>576</v>
      </c>
      <c r="AO75">
        <v>576</v>
      </c>
      <c r="BN75">
        <v>576</v>
      </c>
      <c r="BO75">
        <v>576</v>
      </c>
      <c r="BP75">
        <v>576</v>
      </c>
      <c r="BU75">
        <v>2880</v>
      </c>
      <c r="BV75">
        <v>2880</v>
      </c>
      <c r="BW75">
        <v>2880</v>
      </c>
      <c r="BY75">
        <v>2880</v>
      </c>
      <c r="CU75">
        <v>2848</v>
      </c>
      <c r="CV75">
        <v>2848</v>
      </c>
      <c r="IW75">
        <v>576</v>
      </c>
      <c r="IX75">
        <v>576</v>
      </c>
      <c r="IY75">
        <v>576</v>
      </c>
    </row>
    <row r="76" spans="26:272" x14ac:dyDescent="0.35">
      <c r="AN76">
        <v>584</v>
      </c>
      <c r="AO76">
        <v>584</v>
      </c>
      <c r="BN76">
        <v>584</v>
      </c>
      <c r="BO76">
        <v>584</v>
      </c>
      <c r="BP76">
        <v>584</v>
      </c>
      <c r="BU76">
        <v>2920</v>
      </c>
      <c r="BV76">
        <v>2920</v>
      </c>
      <c r="BW76">
        <v>2920</v>
      </c>
      <c r="BY76">
        <v>2920</v>
      </c>
      <c r="CU76">
        <v>2888</v>
      </c>
      <c r="CV76">
        <v>2888</v>
      </c>
      <c r="IW76">
        <v>584</v>
      </c>
      <c r="IX76">
        <v>584</v>
      </c>
      <c r="IY76">
        <v>584</v>
      </c>
    </row>
    <row r="77" spans="26:272" x14ac:dyDescent="0.35">
      <c r="AN77">
        <v>592</v>
      </c>
      <c r="AO77">
        <v>592</v>
      </c>
      <c r="BN77">
        <v>592</v>
      </c>
      <c r="BO77">
        <v>592</v>
      </c>
      <c r="BP77">
        <v>592</v>
      </c>
      <c r="BU77">
        <v>2960</v>
      </c>
      <c r="BV77">
        <v>2960</v>
      </c>
      <c r="BY77">
        <v>2960</v>
      </c>
      <c r="CU77">
        <v>2928</v>
      </c>
      <c r="CV77">
        <v>2928</v>
      </c>
      <c r="IW77">
        <v>592</v>
      </c>
      <c r="IX77">
        <v>592</v>
      </c>
      <c r="IY77">
        <v>592</v>
      </c>
    </row>
    <row r="78" spans="26:272" x14ac:dyDescent="0.35">
      <c r="AN78">
        <v>600</v>
      </c>
      <c r="AO78">
        <v>600</v>
      </c>
      <c r="BN78">
        <v>600</v>
      </c>
      <c r="BO78">
        <v>600</v>
      </c>
      <c r="BP78">
        <v>600</v>
      </c>
      <c r="BU78">
        <v>3000</v>
      </c>
      <c r="BV78">
        <v>3000</v>
      </c>
      <c r="BY78">
        <v>3000</v>
      </c>
      <c r="CU78">
        <v>2968</v>
      </c>
      <c r="CV78">
        <v>2968</v>
      </c>
      <c r="IW78">
        <v>600</v>
      </c>
      <c r="IX78">
        <v>600</v>
      </c>
    </row>
    <row r="79" spans="26:272" x14ac:dyDescent="0.35">
      <c r="AO79">
        <v>608</v>
      </c>
      <c r="BN79">
        <v>608</v>
      </c>
      <c r="BO79">
        <v>608</v>
      </c>
      <c r="BP79">
        <v>608</v>
      </c>
      <c r="BU79">
        <v>3040</v>
      </c>
      <c r="BV79">
        <v>3040</v>
      </c>
      <c r="BY79">
        <v>3040</v>
      </c>
      <c r="CU79">
        <v>3008</v>
      </c>
      <c r="CV79">
        <v>3008</v>
      </c>
      <c r="IW79">
        <v>608</v>
      </c>
      <c r="IX79">
        <v>608</v>
      </c>
    </row>
    <row r="80" spans="26:272" x14ac:dyDescent="0.35">
      <c r="AO80">
        <v>616</v>
      </c>
      <c r="BN80">
        <v>616</v>
      </c>
      <c r="BO80">
        <v>616</v>
      </c>
      <c r="BP80">
        <v>616</v>
      </c>
      <c r="BU80">
        <v>3080</v>
      </c>
      <c r="BV80">
        <v>3080</v>
      </c>
      <c r="BY80">
        <v>3080</v>
      </c>
      <c r="CU80">
        <v>3048</v>
      </c>
      <c r="CV80">
        <v>3048</v>
      </c>
      <c r="IW80">
        <v>616</v>
      </c>
      <c r="IX80">
        <v>616</v>
      </c>
    </row>
    <row r="81" spans="66:258" x14ac:dyDescent="0.35">
      <c r="BN81">
        <v>624</v>
      </c>
      <c r="BO81">
        <v>624</v>
      </c>
      <c r="BP81">
        <v>624</v>
      </c>
      <c r="BU81">
        <v>3120</v>
      </c>
      <c r="BV81">
        <v>3120</v>
      </c>
      <c r="BY81">
        <v>3120</v>
      </c>
      <c r="IW81">
        <v>624</v>
      </c>
      <c r="IX81">
        <v>624</v>
      </c>
    </row>
    <row r="82" spans="66:258" x14ac:dyDescent="0.35">
      <c r="BN82">
        <v>632</v>
      </c>
      <c r="BO82">
        <v>632</v>
      </c>
      <c r="BP82">
        <v>632</v>
      </c>
      <c r="BU82">
        <v>3160</v>
      </c>
      <c r="BV82">
        <v>3160</v>
      </c>
      <c r="BY82">
        <v>3160</v>
      </c>
      <c r="IW82">
        <v>632</v>
      </c>
      <c r="IX82">
        <v>632</v>
      </c>
    </row>
    <row r="83" spans="66:258" x14ac:dyDescent="0.35">
      <c r="BN83">
        <v>640</v>
      </c>
      <c r="BO83">
        <v>640</v>
      </c>
      <c r="BP83">
        <v>640</v>
      </c>
      <c r="BU83">
        <v>3200</v>
      </c>
      <c r="BV83">
        <v>3200</v>
      </c>
      <c r="BY83">
        <v>3200</v>
      </c>
      <c r="IW83">
        <v>640</v>
      </c>
    </row>
    <row r="84" spans="66:258" x14ac:dyDescent="0.35">
      <c r="BN84">
        <v>648</v>
      </c>
      <c r="BO84">
        <v>648</v>
      </c>
      <c r="BP84">
        <v>648</v>
      </c>
      <c r="BU84">
        <v>3240</v>
      </c>
      <c r="BV84">
        <v>3240</v>
      </c>
      <c r="BY84">
        <v>3240</v>
      </c>
      <c r="IW84">
        <v>648</v>
      </c>
    </row>
    <row r="85" spans="66:258" x14ac:dyDescent="0.35">
      <c r="BN85">
        <v>656</v>
      </c>
      <c r="BO85">
        <v>656</v>
      </c>
      <c r="BP85">
        <v>656</v>
      </c>
      <c r="BU85">
        <v>3280</v>
      </c>
      <c r="BV85">
        <v>3280</v>
      </c>
      <c r="BY85">
        <v>3280</v>
      </c>
      <c r="IW85">
        <v>656</v>
      </c>
    </row>
    <row r="86" spans="66:258" x14ac:dyDescent="0.35">
      <c r="BN86">
        <v>664</v>
      </c>
      <c r="BO86">
        <v>664</v>
      </c>
      <c r="BP86">
        <v>664</v>
      </c>
      <c r="BU86">
        <v>3320</v>
      </c>
      <c r="BY86">
        <v>3320</v>
      </c>
      <c r="IW86">
        <v>664</v>
      </c>
    </row>
    <row r="87" spans="66:258" x14ac:dyDescent="0.35">
      <c r="BN87">
        <v>672</v>
      </c>
      <c r="BO87">
        <v>672</v>
      </c>
      <c r="BP87">
        <v>672</v>
      </c>
      <c r="BU87">
        <v>3360</v>
      </c>
      <c r="BY87">
        <v>3360</v>
      </c>
    </row>
    <row r="88" spans="66:258" x14ac:dyDescent="0.35">
      <c r="BN88">
        <v>680</v>
      </c>
      <c r="BP88">
        <v>680</v>
      </c>
      <c r="BU88">
        <v>3400</v>
      </c>
      <c r="BY88">
        <v>3400</v>
      </c>
    </row>
    <row r="89" spans="66:258" x14ac:dyDescent="0.35">
      <c r="BN89">
        <v>688</v>
      </c>
      <c r="BP89">
        <v>688</v>
      </c>
      <c r="BU89">
        <v>3440</v>
      </c>
    </row>
    <row r="90" spans="66:258" x14ac:dyDescent="0.35">
      <c r="BN90">
        <v>696</v>
      </c>
      <c r="BP90">
        <v>696</v>
      </c>
    </row>
    <row r="91" spans="66:258" x14ac:dyDescent="0.35">
      <c r="BN91">
        <v>704</v>
      </c>
      <c r="BP91">
        <v>704</v>
      </c>
    </row>
    <row r="92" spans="66:258" x14ac:dyDescent="0.35">
      <c r="BN92">
        <v>712</v>
      </c>
      <c r="BP92">
        <v>712</v>
      </c>
    </row>
    <row r="93" spans="66:258" x14ac:dyDescent="0.35">
      <c r="BN93">
        <v>720</v>
      </c>
      <c r="BP93">
        <v>720</v>
      </c>
    </row>
    <row r="94" spans="66:258" x14ac:dyDescent="0.35">
      <c r="BN94">
        <v>728</v>
      </c>
      <c r="BP94">
        <v>728</v>
      </c>
    </row>
    <row r="95" spans="66:258" x14ac:dyDescent="0.35">
      <c r="BN95">
        <v>736</v>
      </c>
      <c r="BP95">
        <v>736</v>
      </c>
    </row>
    <row r="96" spans="66:258" x14ac:dyDescent="0.35">
      <c r="BN96">
        <v>744</v>
      </c>
      <c r="BP96">
        <v>744</v>
      </c>
    </row>
    <row r="97" spans="66:68" x14ac:dyDescent="0.35">
      <c r="BN97">
        <v>752</v>
      </c>
      <c r="BP97">
        <v>752</v>
      </c>
    </row>
    <row r="98" spans="66:68" x14ac:dyDescent="0.35">
      <c r="BN98">
        <v>760</v>
      </c>
      <c r="BP98">
        <v>760</v>
      </c>
    </row>
    <row r="99" spans="66:68" x14ac:dyDescent="0.35">
      <c r="BN99">
        <v>768</v>
      </c>
      <c r="BP99">
        <v>768</v>
      </c>
    </row>
    <row r="100" spans="66:68" x14ac:dyDescent="0.35">
      <c r="BN100">
        <v>776</v>
      </c>
      <c r="BP100">
        <v>776</v>
      </c>
    </row>
    <row r="101" spans="66:68" x14ac:dyDescent="0.35">
      <c r="BP101">
        <v>784</v>
      </c>
    </row>
    <row r="102" spans="66:68" x14ac:dyDescent="0.35">
      <c r="BP102">
        <v>792</v>
      </c>
    </row>
    <row r="103" spans="66:68" x14ac:dyDescent="0.35">
      <c r="BP103">
        <v>800</v>
      </c>
    </row>
    <row r="104" spans="66:68" x14ac:dyDescent="0.35">
      <c r="BP104">
        <v>808</v>
      </c>
    </row>
    <row r="105" spans="66:68" x14ac:dyDescent="0.35">
      <c r="BP105">
        <v>816</v>
      </c>
    </row>
    <row r="106" spans="66:68" x14ac:dyDescent="0.35">
      <c r="BP106">
        <v>824</v>
      </c>
    </row>
    <row r="107" spans="66:68" x14ac:dyDescent="0.35">
      <c r="BP107">
        <v>832</v>
      </c>
    </row>
    <row r="108" spans="66:68" x14ac:dyDescent="0.35">
      <c r="BP108">
        <v>840</v>
      </c>
    </row>
    <row r="109" spans="66:68" x14ac:dyDescent="0.35">
      <c r="BP109">
        <v>848</v>
      </c>
    </row>
    <row r="110" spans="66:68" x14ac:dyDescent="0.35">
      <c r="BP110">
        <v>856</v>
      </c>
    </row>
    <row r="111" spans="66:68" x14ac:dyDescent="0.35">
      <c r="BP111">
        <v>864</v>
      </c>
    </row>
    <row r="112" spans="66:68" x14ac:dyDescent="0.35">
      <c r="BP112">
        <v>872</v>
      </c>
    </row>
    <row r="113" spans="68:68" x14ac:dyDescent="0.35">
      <c r="BP113">
        <v>880</v>
      </c>
    </row>
    <row r="114" spans="68:68" x14ac:dyDescent="0.35">
      <c r="BP114">
        <v>888</v>
      </c>
    </row>
    <row r="115" spans="68:68" x14ac:dyDescent="0.35">
      <c r="BP115">
        <v>896</v>
      </c>
    </row>
    <row r="116" spans="68:68" x14ac:dyDescent="0.35">
      <c r="BP116">
        <v>904</v>
      </c>
    </row>
    <row r="117" spans="68:68" x14ac:dyDescent="0.35">
      <c r="BP117">
        <v>912</v>
      </c>
    </row>
    <row r="118" spans="68:68" x14ac:dyDescent="0.35">
      <c r="BP118">
        <v>920</v>
      </c>
    </row>
    <row r="119" spans="68:68" x14ac:dyDescent="0.35">
      <c r="BP119">
        <v>928</v>
      </c>
    </row>
    <row r="120" spans="68:68" x14ac:dyDescent="0.35">
      <c r="BP120">
        <v>936</v>
      </c>
    </row>
    <row r="121" spans="68:68" x14ac:dyDescent="0.35">
      <c r="BP121">
        <v>944</v>
      </c>
    </row>
    <row r="122" spans="68:68" x14ac:dyDescent="0.35">
      <c r="BP122">
        <v>952</v>
      </c>
    </row>
    <row r="123" spans="68:68" x14ac:dyDescent="0.35">
      <c r="BP123">
        <v>960</v>
      </c>
    </row>
    <row r="124" spans="68:68" x14ac:dyDescent="0.35">
      <c r="BP124">
        <v>968</v>
      </c>
    </row>
    <row r="125" spans="68:68" x14ac:dyDescent="0.35">
      <c r="BP125">
        <v>976</v>
      </c>
    </row>
    <row r="126" spans="68:68" x14ac:dyDescent="0.35">
      <c r="BP126">
        <v>984</v>
      </c>
    </row>
    <row r="127" spans="68:68" x14ac:dyDescent="0.35">
      <c r="BP127">
        <v>992</v>
      </c>
    </row>
    <row r="128" spans="68:68" x14ac:dyDescent="0.35">
      <c r="BP128">
        <v>1000</v>
      </c>
    </row>
    <row r="129" spans="68:68" x14ac:dyDescent="0.35">
      <c r="BP129">
        <v>1008</v>
      </c>
    </row>
    <row r="130" spans="68:68" x14ac:dyDescent="0.35">
      <c r="BP130">
        <v>1016</v>
      </c>
    </row>
    <row r="131" spans="68:68" x14ac:dyDescent="0.35">
      <c r="BP131">
        <v>1024</v>
      </c>
    </row>
    <row r="132" spans="68:68" x14ac:dyDescent="0.35">
      <c r="BP132">
        <v>1032</v>
      </c>
    </row>
    <row r="133" spans="68:68" x14ac:dyDescent="0.35">
      <c r="BP133">
        <v>1040</v>
      </c>
    </row>
    <row r="134" spans="68:68" x14ac:dyDescent="0.35">
      <c r="BP134">
        <v>1048</v>
      </c>
    </row>
    <row r="135" spans="68:68" x14ac:dyDescent="0.35">
      <c r="BP135">
        <v>1056</v>
      </c>
    </row>
    <row r="136" spans="68:68" x14ac:dyDescent="0.35">
      <c r="BP136">
        <v>1064</v>
      </c>
    </row>
    <row r="137" spans="68:68" x14ac:dyDescent="0.35">
      <c r="BP137">
        <v>1072</v>
      </c>
    </row>
    <row r="138" spans="68:68" x14ac:dyDescent="0.35">
      <c r="BP138">
        <v>1080</v>
      </c>
    </row>
    <row r="139" spans="68:68" x14ac:dyDescent="0.35">
      <c r="BP139">
        <v>1088</v>
      </c>
    </row>
    <row r="140" spans="68:68" x14ac:dyDescent="0.35">
      <c r="BP140">
        <v>1096</v>
      </c>
    </row>
    <row r="141" spans="68:68" x14ac:dyDescent="0.35">
      <c r="BP141">
        <v>1104</v>
      </c>
    </row>
    <row r="142" spans="68:68" x14ac:dyDescent="0.35">
      <c r="BP142">
        <v>1112</v>
      </c>
    </row>
    <row r="143" spans="68:68" x14ac:dyDescent="0.35">
      <c r="BP143">
        <v>1120</v>
      </c>
    </row>
    <row r="144" spans="68:68" x14ac:dyDescent="0.35">
      <c r="BP144">
        <v>1128</v>
      </c>
    </row>
    <row r="145" spans="68:68" x14ac:dyDescent="0.35">
      <c r="BP145">
        <v>1136</v>
      </c>
    </row>
    <row r="146" spans="68:68" x14ac:dyDescent="0.35">
      <c r="BP146">
        <v>1144</v>
      </c>
    </row>
    <row r="147" spans="68:68" x14ac:dyDescent="0.35">
      <c r="BP147">
        <v>1152</v>
      </c>
    </row>
    <row r="148" spans="68:68" x14ac:dyDescent="0.35">
      <c r="BP148">
        <v>1160</v>
      </c>
    </row>
    <row r="149" spans="68:68" x14ac:dyDescent="0.35">
      <c r="BP149">
        <v>1168</v>
      </c>
    </row>
    <row r="150" spans="68:68" x14ac:dyDescent="0.35">
      <c r="BP150">
        <v>1176</v>
      </c>
    </row>
    <row r="151" spans="68:68" x14ac:dyDescent="0.35">
      <c r="BP151">
        <v>1184</v>
      </c>
    </row>
    <row r="152" spans="68:68" x14ac:dyDescent="0.35">
      <c r="BP152">
        <v>1192</v>
      </c>
    </row>
    <row r="153" spans="68:68" x14ac:dyDescent="0.35">
      <c r="BP153">
        <v>1200</v>
      </c>
    </row>
    <row r="154" spans="68:68" x14ac:dyDescent="0.35">
      <c r="BP154">
        <v>1208</v>
      </c>
    </row>
    <row r="155" spans="68:68" x14ac:dyDescent="0.35">
      <c r="BP155">
        <v>1216</v>
      </c>
    </row>
    <row r="156" spans="68:68" x14ac:dyDescent="0.35">
      <c r="BP156">
        <v>1224</v>
      </c>
    </row>
    <row r="157" spans="68:68" x14ac:dyDescent="0.35">
      <c r="BP157">
        <v>1232</v>
      </c>
    </row>
    <row r="158" spans="68:68" x14ac:dyDescent="0.35">
      <c r="BP158">
        <v>1240</v>
      </c>
    </row>
    <row r="159" spans="68:68" x14ac:dyDescent="0.35">
      <c r="BP159">
        <v>1248</v>
      </c>
    </row>
    <row r="160" spans="68:68" x14ac:dyDescent="0.35">
      <c r="BP160">
        <v>1256</v>
      </c>
    </row>
    <row r="161" spans="68:68" x14ac:dyDescent="0.35">
      <c r="BP161">
        <v>1264</v>
      </c>
    </row>
    <row r="162" spans="68:68" x14ac:dyDescent="0.35">
      <c r="BP162">
        <v>1272</v>
      </c>
    </row>
    <row r="163" spans="68:68" x14ac:dyDescent="0.35">
      <c r="BP163">
        <v>1280</v>
      </c>
    </row>
    <row r="164" spans="68:68" x14ac:dyDescent="0.35">
      <c r="BP164">
        <v>1288</v>
      </c>
    </row>
    <row r="165" spans="68:68" x14ac:dyDescent="0.35">
      <c r="BP165">
        <v>1296</v>
      </c>
    </row>
    <row r="166" spans="68:68" x14ac:dyDescent="0.35">
      <c r="BP166">
        <v>1304</v>
      </c>
    </row>
    <row r="167" spans="68:68" x14ac:dyDescent="0.35">
      <c r="BP167">
        <v>1312</v>
      </c>
    </row>
    <row r="168" spans="68:68" x14ac:dyDescent="0.35">
      <c r="BP168">
        <v>1320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X169"/>
  <sheetViews>
    <sheetView topLeftCell="II1" workbookViewId="0">
      <selection activeCell="D3" sqref="D3"/>
    </sheetView>
  </sheetViews>
  <sheetFormatPr defaultRowHeight="14.5" x14ac:dyDescent="0.35"/>
  <cols>
    <col min="1" max="23" width="11.6328125" bestFit="1" customWidth="1"/>
    <col min="25" max="27" width="11.6328125" bestFit="1" customWidth="1"/>
    <col min="28" max="29" width="11.6328125" customWidth="1"/>
    <col min="31" max="112" width="11.6328125" bestFit="1" customWidth="1"/>
    <col min="113" max="113" width="11.6328125" style="42" customWidth="1"/>
    <col min="115" max="115" width="8.6328125" style="42"/>
    <col min="117" max="128" width="11.6328125" bestFit="1" customWidth="1"/>
    <col min="129" max="129" width="11.6328125" customWidth="1"/>
    <col min="130" max="172" width="11.6328125" bestFit="1" customWidth="1"/>
    <col min="173" max="173" width="11.6328125" customWidth="1"/>
    <col min="174" max="187" width="11.6328125" bestFit="1" customWidth="1"/>
    <col min="188" max="189" width="11.6328125" customWidth="1"/>
    <col min="192" max="266" width="11.6328125" bestFit="1" customWidth="1"/>
    <col min="271" max="272" width="11.6328125" bestFit="1" customWidth="1"/>
    <col min="278" max="279" width="11.6328125" bestFit="1" customWidth="1"/>
  </cols>
  <sheetData>
    <row r="1" spans="1:310" x14ac:dyDescent="0.35">
      <c r="A1" t="s">
        <v>110</v>
      </c>
    </row>
    <row r="2" spans="1:310" x14ac:dyDescent="0.35">
      <c r="DI2" s="43"/>
    </row>
    <row r="3" spans="1:310" s="1" customFormat="1" ht="87" x14ac:dyDescent="0.35">
      <c r="A3" s="1" t="str">
        <f>'Formulation Name Data'!A33&amp;"_T1"</f>
        <v>D502W_G215_DGBE_0.075_0.05_0.5_T1</v>
      </c>
      <c r="B3" s="1" t="str">
        <f>'Formulation Name Data'!A33&amp;"_T2"</f>
        <v>D502W_G215_DGBE_0.075_0.05_0.5_T2</v>
      </c>
      <c r="C3" s="1" t="str">
        <f>'Formulation Name Data'!A33&amp;"_T3"</f>
        <v>D502W_G215_DGBE_0.075_0.05_0.5_T3</v>
      </c>
      <c r="D3" s="1" t="str">
        <f>'Formulation Name Data'!A27&amp;"_T1"</f>
        <v>AlphaFoam_G215_DGBE_0.52_0.35_0.5_T1</v>
      </c>
      <c r="E3" s="1" t="str">
        <f>'Formulation Name Data'!A27&amp;"_T2"</f>
        <v>AlphaFoam_G215_DGBE_0.52_0.35_0.5_T2</v>
      </c>
      <c r="F3" s="1" t="str">
        <f>'Formulation Name Data'!A27&amp;"_T3"</f>
        <v>AlphaFoam_G215_DGBE_0.52_0.35_0.5_T3</v>
      </c>
      <c r="G3" s="1" t="str">
        <f>'Formulation Name Data'!A20&amp;"_T1"</f>
        <v>T15-S-7_G215_DGBE_0.03_0.02_0.5_T1</v>
      </c>
      <c r="H3" s="1" t="str">
        <f>'Formulation Name Data'!A20&amp;"_T2"</f>
        <v>T15-S-7_G215_DGBE_0.03_0.02_0.5_T2</v>
      </c>
      <c r="I3" s="1" t="str">
        <f>'Formulation Name Data'!A20&amp;"_T3"</f>
        <v>T15-S-7_G215_DGBE_0.03_0.02_0.5_T3</v>
      </c>
      <c r="J3" s="1" t="str">
        <f>'Formulation Name Data'!A18&amp;"_T1"</f>
        <v>Silphos_G215_DGBE_0.3_0.2_0.5_T1</v>
      </c>
      <c r="K3" s="1" t="str">
        <f>'Formulation Name Data'!A18&amp;"_T2"</f>
        <v>Silphos_G215_DGBE_0.3_0.2_0.5_T2</v>
      </c>
      <c r="L3" s="1" t="str">
        <f>'Formulation Name Data'!A18&amp;"_T3"</f>
        <v>Silphos_G215_DGBE_0.3_0.2_0.5_T3</v>
      </c>
      <c r="M3" s="1" t="str">
        <f>'Formulation Name Data'!A32&amp;"_T1"</f>
        <v>D501W_G215_DGBE_0.04_0.027_0.5_T1</v>
      </c>
      <c r="N3" s="1" t="str">
        <f>'Formulation Name Data'!A32&amp;"_T2"</f>
        <v>D501W_G215_DGBE_0.04_0.027_0.5_T2</v>
      </c>
      <c r="O3" s="1" t="str">
        <f>'Formulation Name Data'!A32&amp;"_T3"</f>
        <v>D501W_G215_DGBE_0.04_0.027_0.5_T3</v>
      </c>
      <c r="P3" s="1" t="str">
        <f>'Formulation Name Data'!A19&amp;"_T1"</f>
        <v>TMN6_G215_DGBE_0.3_0.2_0.5_T1</v>
      </c>
      <c r="Q3" s="1" t="str">
        <f>'Formulation Name Data'!A19&amp;"_T2"</f>
        <v>TMN6_G215_DGBE_0.3_0.2_0.5_T2</v>
      </c>
      <c r="R3" s="1" t="str">
        <f>'Formulation Name Data'!A19&amp;"_T3"</f>
        <v>TMN6_G215_DGBE_0.3_0.2_0.5_T3</v>
      </c>
      <c r="S3" s="1" t="str">
        <f>'Formulation Name Data'!A11&amp;"_T1"</f>
        <v>RF6_6_T1</v>
      </c>
      <c r="T3" s="1" t="str">
        <f>'Formulation Name Data'!A11&amp;"_T2"</f>
        <v>RF6_6_T2</v>
      </c>
      <c r="U3" s="1" t="str">
        <f>'Formulation Name Data'!A11&amp;"_T3"</f>
        <v>RF6_6_T3</v>
      </c>
      <c r="V3" s="1" t="str">
        <f>'Formulation Name Data'!A17&amp;"_T1"</f>
        <v>Silsurf_G215_DGBE_0.14_0.09_0.5_T1</v>
      </c>
      <c r="W3" s="1" t="str">
        <f>'Formulation Name Data'!A17&amp;"_T2"</f>
        <v>Silsurf_G215_DGBE_0.14_0.09_0.5_T2</v>
      </c>
      <c r="X3" s="12" t="str">
        <f>'Formulation Name Data'!A8&amp;"_T1"</f>
        <v>Cap_G215_DGBE_0.3_0.2_0.5_T1</v>
      </c>
      <c r="Y3" s="1" t="str">
        <f>'Formulation Name Data'!A56&amp;"_T1"</f>
        <v>G215_0.5_T1</v>
      </c>
      <c r="Z3" s="1" t="str">
        <f>'Formulation Name Data'!A56&amp;"_T2"</f>
        <v>G215_0.5_T2</v>
      </c>
      <c r="AA3" s="1" t="str">
        <f>'Formulation Name Data'!A56&amp;"_T3"</f>
        <v>G215_0.5_T3</v>
      </c>
      <c r="AB3" s="1" t="str">
        <f>'Formulation Name Data'!A7&amp;"_T1"</f>
        <v>G215_DGBE_0.5_0.5_T1</v>
      </c>
      <c r="AC3" s="1" t="str">
        <f>'Formulation Name Data'!A7&amp;"_T2"</f>
        <v>G215_DGBE_0.5_0.5_T2</v>
      </c>
      <c r="AD3" s="1" t="str">
        <f>'Formulation Name Data'!A7&amp;"_T3"</f>
        <v>G215_DGBE_0.5_0.5_T3</v>
      </c>
      <c r="AE3" s="1" t="str">
        <f>'Formulation Name Data'!A7&amp;"_T4"</f>
        <v>G215_DGBE_0.5_0.5_T4</v>
      </c>
      <c r="AF3" s="1" t="str">
        <f>'Formulation Name Data'!A7&amp;"_T5"</f>
        <v>G215_DGBE_0.5_0.5_T5</v>
      </c>
      <c r="AG3" s="1" t="str">
        <f>'Formulation Name Data'!A7&amp;"_T6"</f>
        <v>G215_DGBE_0.5_0.5_T6</v>
      </c>
      <c r="AH3" s="1" t="str">
        <f>'Formulation Name Data'!A76&amp;"_T1"</f>
        <v>TrX100_0.5_T1</v>
      </c>
      <c r="AI3" s="1" t="str">
        <f>'Formulation Name Data'!A76&amp;"_T2"</f>
        <v>TrX100_0.5_T2</v>
      </c>
      <c r="AJ3" s="1" t="str">
        <f>'Formulation Name Data'!A76&amp;"_T3"</f>
        <v>TrX100_0.5_T3</v>
      </c>
      <c r="AK3" s="1" t="str">
        <f>'Formulation Name Data'!A5&amp;"_T1"</f>
        <v>TrX100_DGBE_0.5_0.5_T1</v>
      </c>
      <c r="AL3" s="1" t="str">
        <f>'Formulation Name Data'!A5&amp;"_T2"</f>
        <v>TrX100_DGBE_0.5_0.5_T2</v>
      </c>
      <c r="AM3" s="1" t="str">
        <f>'Formulation Name Data'!A5&amp;"_T3"</f>
        <v>TrX100_DGBE_0.5_0.5_T3</v>
      </c>
      <c r="AN3" s="1" t="str">
        <f>'Formulation Name Data'!A77&amp;"_T1"</f>
        <v>D502W_0.1_T1</v>
      </c>
      <c r="AO3" s="1" t="str">
        <f>'Formulation Name Data'!A77&amp;"_T2"</f>
        <v>D502W_0.1_T2</v>
      </c>
      <c r="AP3" s="1" t="str">
        <f>'Formulation Name Data'!A77&amp;"_T3"</f>
        <v>D502W_0.1_T3</v>
      </c>
      <c r="AQ3" s="1" t="str">
        <f>'Formulation Name Data'!A78&amp;"_T1"</f>
        <v>T15-S-7_0.05_T1</v>
      </c>
      <c r="AR3" s="1" t="str">
        <f>'Formulation Name Data'!A78&amp;"_T2"</f>
        <v>T15-S-7_0.05_T2</v>
      </c>
      <c r="AS3" s="1" t="str">
        <f>'Formulation Name Data'!A78&amp;"_T3"</f>
        <v>T15-S-7_0.05_T3</v>
      </c>
      <c r="AT3" s="1" t="str">
        <f>'Formulation Name Data'!A79&amp;"_T1"</f>
        <v>TMN6_0.4_T1</v>
      </c>
      <c r="AU3" s="1" t="str">
        <f>'Formulation Name Data'!A79&amp;"_T2"</f>
        <v>TMN6_0.4_T2</v>
      </c>
      <c r="AV3" s="1" t="str">
        <f>'Formulation Name Data'!A79&amp;"_T3"</f>
        <v>TMN6_0.4_T3</v>
      </c>
      <c r="AW3" s="1" t="str">
        <f>'Formulation Name Data'!A80&amp;"_T1"</f>
        <v>AlphaFoam_1.3_T1</v>
      </c>
      <c r="AX3" s="1" t="str">
        <f>'Formulation Name Data'!A80&amp;"_T2"</f>
        <v>AlphaFoam_1.3_T2</v>
      </c>
      <c r="AY3" s="1" t="str">
        <f>'Formulation Name Data'!A81&amp;"_T1"</f>
        <v>Silphos_0.3_T1</v>
      </c>
      <c r="AZ3" s="1" t="str">
        <f>'Formulation Name Data'!A81&amp;"_T2"</f>
        <v>Silphos_0.3_T2</v>
      </c>
      <c r="BA3" s="1" t="str">
        <f>'Formulation Name Data'!A81&amp;"_T3"</f>
        <v>Silphos_0.3_T3</v>
      </c>
      <c r="BB3" s="1" t="str">
        <f>'Formulation Name Data'!A82&amp;"_T1"</f>
        <v>Silsurf_0.014_T1</v>
      </c>
      <c r="BC3" s="1" t="str">
        <f>'Formulation Name Data'!A82&amp;"_T2"</f>
        <v>Silsurf_0.014_T2</v>
      </c>
      <c r="BD3" s="1" t="str">
        <f>'Formulation Name Data'!A82&amp;"_T3"</f>
        <v>Silsurf_0.014_T3</v>
      </c>
      <c r="BE3" s="1" t="str">
        <f>'Formulation Name Data'!A72&amp;"_T1"</f>
        <v>D502W_DGBE_0.1_0.5_T1</v>
      </c>
      <c r="BF3" s="1" t="str">
        <f>'Formulation Name Data'!A72&amp;"_T2"</f>
        <v>D502W_DGBE_0.1_0.5_T2</v>
      </c>
      <c r="BG3" s="1" t="str">
        <f>'Formulation Name Data'!A72&amp;"_T3"</f>
        <v>D502W_DGBE_0.1_0.5_T3</v>
      </c>
      <c r="BH3" s="1" t="str">
        <f>'Formulation Name Data'!A83&amp;"_T1"</f>
        <v>D502W_TrX100_DGBE_0.1_0.08_0.5_T1</v>
      </c>
      <c r="BI3" s="1" t="str">
        <f>'Formulation Name Data'!A83&amp;"_T2"</f>
        <v>D502W_TrX100_DGBE_0.1_0.08_0.5_T2</v>
      </c>
      <c r="BJ3" s="1" t="str">
        <f>'Formulation Name Data'!A83&amp;"_T3"</f>
        <v>D502W_TrX100_DGBE_0.1_0.08_0.5_T3</v>
      </c>
      <c r="BK3" s="1" t="str">
        <f>'Formulation Name Data'!A72&amp;"_T4"</f>
        <v>D502W_DGBE_0.1_0.5_T4</v>
      </c>
      <c r="BL3" s="1" t="str">
        <f>'Formulation Name Data'!A72&amp;"_T5"</f>
        <v>D502W_DGBE_0.1_0.5_T5</v>
      </c>
      <c r="BM3" s="1" t="str">
        <f>'Formulation Name Data'!A72&amp;"_T6"</f>
        <v>D502W_DGBE_0.1_0.5_T6</v>
      </c>
      <c r="BN3" s="1" t="str">
        <f>'Formulation Name Data'!A84&amp;"_T1"</f>
        <v>D502W_G215_DGBE_0.05_0.075_0.5_T1</v>
      </c>
      <c r="BO3" s="1" t="str">
        <f>'Formulation Name Data'!A84&amp;"_T2"</f>
        <v>D502W_G215_DGBE_0.05_0.075_0.5_T2</v>
      </c>
      <c r="BP3" s="1" t="str">
        <f>'Formulation Name Data'!A84&amp;"_T3"</f>
        <v>D502W_G215_DGBE_0.05_0.075_0.5_T3</v>
      </c>
      <c r="BQ3" s="1" t="str">
        <f>'Formulation Name Data'!A73&amp;"_T1"</f>
        <v>Cap_0.225_T1</v>
      </c>
      <c r="BR3" s="1" t="str">
        <f>'Formulation Name Data'!A73&amp;"_T2"</f>
        <v>Cap_0.225_T2</v>
      </c>
      <c r="BS3" s="1" t="str">
        <f>'Formulation Name Data'!A73&amp;"_T3"</f>
        <v>Cap_0.225_T3</v>
      </c>
      <c r="BT3" s="1" t="str">
        <f>'Formulation Name Data'!A74&amp;"_T1"</f>
        <v>Cap_DGBE_0.225_0.5_T1</v>
      </c>
      <c r="BU3" s="1" t="str">
        <f>'Formulation Name Data'!A74&amp;"_T2"</f>
        <v>Cap_DGBE_0.225_0.5_T2</v>
      </c>
      <c r="BV3" s="1" t="str">
        <f>'Formulation Name Data'!A74&amp;"_T3"</f>
        <v>Cap_DGBE_0.225_0.5_T3</v>
      </c>
      <c r="BW3" s="12" t="str">
        <f>'Formulation Name Data'!A44&amp;"_T1"</f>
        <v>Cap_0.5_T1</v>
      </c>
      <c r="BX3" s="12" t="str">
        <f>'Formulation Name Data'!A44&amp;"_T2"</f>
        <v>Cap_0.5_T2</v>
      </c>
      <c r="BY3" s="12" t="str">
        <f>'Formulation Name Data'!A44&amp;"_T3"</f>
        <v>Cap_0.5_T3</v>
      </c>
      <c r="BZ3" s="1" t="str">
        <f>'Formulation Name Data'!A6&amp;"_T1"</f>
        <v>Cap_DGBE_0.5_0.5_T1</v>
      </c>
      <c r="CA3" s="1" t="str">
        <f>'Formulation Name Data'!A6&amp;"_T2"</f>
        <v>Cap_DGBE_0.5_0.5_T2</v>
      </c>
      <c r="CB3" s="1" t="str">
        <f>'Formulation Name Data'!A6&amp;"_T3"</f>
        <v>Cap_DGBE_0.5_0.5_T3</v>
      </c>
      <c r="CC3" s="1" t="str">
        <f>'Formulation Name Data'!A111&amp;"_T1"</f>
        <v>G225_DGBE_0.5_0.5_T1</v>
      </c>
      <c r="CD3" s="1" t="str">
        <f>'Formulation Name Data'!A111&amp;"_T2"</f>
        <v>G225_DGBE_0.5_0.5_T2</v>
      </c>
      <c r="CE3" s="1" t="str">
        <f>'Formulation Name Data'!A111&amp;"_T3"</f>
        <v>G225_DGBE_0.5_0.5_T3</v>
      </c>
      <c r="CF3" s="1" t="str">
        <f>'Formulation Name Data'!A85&amp;"_T1"</f>
        <v>D502W_G225_DGBE_0.5_0.5_0.5_T1</v>
      </c>
      <c r="CG3" s="1" t="str">
        <f>'Formulation Name Data'!A85&amp;"_T2"</f>
        <v>D502W_G225_DGBE_0.5_0.5_0.5_T2</v>
      </c>
      <c r="CH3" s="1" t="str">
        <f>'Formulation Name Data'!A85&amp;"_T3"</f>
        <v>D502W_G225_DGBE_0.5_0.5_0.5_T3</v>
      </c>
      <c r="CI3" s="1" t="str">
        <f>'Formulation Name Data'!A112&amp;"_T1"</f>
        <v>G600_DGBE_0.5_0.5_T1</v>
      </c>
      <c r="CJ3" s="1" t="str">
        <f>'Formulation Name Data'!A112&amp;"_T2"</f>
        <v>G600_DGBE_0.5_0.5_T2</v>
      </c>
      <c r="CK3" s="1" t="str">
        <f>'Formulation Name Data'!A112&amp;"_T3"</f>
        <v>G600_DGBE_0.5_0.5_T3</v>
      </c>
      <c r="CL3" s="1" t="str">
        <f>'Formulation Name Data'!A86&amp;"_T1"</f>
        <v>D502W_G215_DGBE_0.5_0.5_0.5_T1</v>
      </c>
      <c r="CM3" s="1" t="str">
        <f>'Formulation Name Data'!A86&amp;"_T2"</f>
        <v>D502W_G215_DGBE_0.5_0.5_0.5_T2</v>
      </c>
      <c r="CN3" s="1" t="str">
        <f>'Formulation Name Data'!A86&amp;"_T3"</f>
        <v>D502W_G215_DGBE_0.5_0.5_0.5_T3</v>
      </c>
      <c r="CO3" s="1" t="str">
        <f>'Formulation Name Data'!A87&amp;"_T1"</f>
        <v>D502W_G215_DGBE_0.2_0.3_0.5_T1</v>
      </c>
      <c r="CP3" s="1" t="str">
        <f>'Formulation Name Data'!A87&amp;"_T2"</f>
        <v>D502W_G215_DGBE_0.2_0.3_0.5_T2</v>
      </c>
      <c r="CQ3" s="1" t="str">
        <f>'Formulation Name Data'!A87&amp;"_T3"</f>
        <v>D502W_G215_DGBE_0.2_0.3_0.5_T3</v>
      </c>
      <c r="CR3" s="1" t="str">
        <f>'Formulation Name Data'!A88&amp;"_T1"</f>
        <v>D502W_G600_DGBE_0.25_0.25_0.5_T1</v>
      </c>
      <c r="CS3" s="1" t="str">
        <f>'Formulation Name Data'!A88&amp;"_T2"</f>
        <v>D502W_G600_DGBE_0.25_0.25_0.5_T2</v>
      </c>
      <c r="CT3" s="1" t="str">
        <f>'Formulation Name Data'!A88&amp;"_T3"</f>
        <v>D502W_G600_DGBE_0.25_0.25_0.5_T3</v>
      </c>
      <c r="CU3" s="1" t="str">
        <f>'Formulation Name Data'!A10&amp;"_T1"</f>
        <v>Buckeye 3%_3_T1</v>
      </c>
      <c r="CV3" s="1" t="str">
        <f>'Formulation Name Data'!A10&amp;"_T2"</f>
        <v>Buckeye 3%_3_T2</v>
      </c>
      <c r="CW3" s="1" t="str">
        <f>'Formulation Name Data'!A89&amp;"_T1"</f>
        <v>D502W_G600_DGBE_0.2_0.3_0.5_T1</v>
      </c>
      <c r="CX3" s="1" t="str">
        <f>'Formulation Name Data'!A89&amp;"_T2"</f>
        <v>D502W_G600_DGBE_0.2_0.3_0.5_T2</v>
      </c>
      <c r="CY3" s="1" t="str">
        <f>'Formulation Name Data'!A89&amp;"_T3"</f>
        <v>D502W_G600_DGBE_0.2_0.3_0.5_T3</v>
      </c>
      <c r="CZ3" s="1" t="str">
        <f>'Formulation Name Data'!A90&amp;"_T1"</f>
        <v>D502W_G225_DGBE_0.25_0.25_0.5_T1</v>
      </c>
      <c r="DA3" s="1" t="str">
        <f>'Formulation Name Data'!A90&amp;"_T2"</f>
        <v>D502W_G225_DGBE_0.25_0.25_0.5_T2</v>
      </c>
      <c r="DB3" s="1" t="str">
        <f>'Formulation Name Data'!A90&amp;"_T3"</f>
        <v>D502W_G225_DGBE_0.25_0.25_0.5_T3</v>
      </c>
      <c r="DC3" s="1" t="str">
        <f>'Formulation Name Data'!A91&amp;"_T1"</f>
        <v>D502W_G215_DGBE_0.25_0.25_0.5_T1</v>
      </c>
      <c r="DD3" s="1" t="str">
        <f>'Formulation Name Data'!A91&amp;"_T2"</f>
        <v>D502W_G215_DGBE_0.25_0.25_0.5_T2</v>
      </c>
      <c r="DE3" s="1" t="str">
        <f>'Formulation Name Data'!A91&amp;"_T3"</f>
        <v>D502W_G215_DGBE_0.25_0.25_0.5_T3</v>
      </c>
      <c r="DF3" s="1" t="str">
        <f>'Formulation Name Data'!A4&amp;"_T1"</f>
        <v>Cap_TrX100_DGBE_0.3_0.2_0.5_T1</v>
      </c>
      <c r="DG3" s="1" t="str">
        <f>'Formulation Name Data'!A4&amp;"_T2"</f>
        <v>Cap_TrX100_DGBE_0.3_0.2_0.5_T2</v>
      </c>
      <c r="DH3" s="1" t="str">
        <f>'Formulation Name Data'!A4&amp;"_T3"</f>
        <v>Cap_TrX100_DGBE_0.3_0.2_0.5_T3</v>
      </c>
      <c r="DI3" s="1" t="str">
        <f>'Formulation Name Data'!A55&amp;"_T1"</f>
        <v>D193_0.5_T1</v>
      </c>
      <c r="DJ3" s="1" t="str">
        <f>'Formulation Name Data'!A55&amp;"_T2"</f>
        <v>D193_0.5_T2</v>
      </c>
      <c r="DK3" s="1" t="str">
        <f>'Formulation Name Data'!A43&amp;"_T1"</f>
        <v>D67_0.5_T1</v>
      </c>
      <c r="DL3" s="1" t="str">
        <f>'Formulation Name Data'!A43&amp;"_T2"</f>
        <v>D67_0.5_T2</v>
      </c>
      <c r="DM3" s="1" t="str">
        <f>'Formulation Name Data'!A54&amp;"_T1"</f>
        <v>D502W_0.5_T1</v>
      </c>
      <c r="DN3" s="1" t="str">
        <f>'Formulation Name Data'!A54&amp;"_T2"</f>
        <v>D502W_0.5_T2</v>
      </c>
      <c r="DO3" s="1" t="str">
        <f>'Formulation Name Data'!A54&amp;"_T3"</f>
        <v>D502W_0.5_T3</v>
      </c>
      <c r="DP3" s="1" t="str">
        <f>'Formulation Name Data'!A52&amp;"_T1"</f>
        <v>L77_0.5_T1</v>
      </c>
      <c r="DQ3" s="1" t="str">
        <f>'Formulation Name Data'!A52&amp;"_T2"</f>
        <v>L77_0.5_T2</v>
      </c>
      <c r="DR3" s="1" t="str">
        <f>'Formulation Name Data'!A52&amp;"_T3"</f>
        <v>L77_0.5_T3</v>
      </c>
      <c r="DS3" s="1" t="str">
        <f>'Formulation Name Data'!A42&amp;"_T1"</f>
        <v>D501W_0.5_T1</v>
      </c>
      <c r="DT3" s="1" t="str">
        <f>'Formulation Name Data'!A42&amp;"_T2"</f>
        <v>D501W_0.5_T2</v>
      </c>
      <c r="DU3" s="1" t="str">
        <f>'Formulation Name Data'!A42&amp;"_T3"</f>
        <v>D501W_0.5_T3</v>
      </c>
      <c r="DV3" s="1" t="str">
        <f>'Formulation Name Data'!A53&amp;"_T1"</f>
        <v>Gel6185_0.5_T1</v>
      </c>
      <c r="DW3" s="1" t="str">
        <f>'Formulation Name Data'!A53&amp;"_T2"</f>
        <v>Gel6185_0.5_T2</v>
      </c>
      <c r="DX3" s="1" t="str">
        <f>'Formulation Name Data'!A53&amp;"_T3"</f>
        <v>Gel6185_0.5_T3</v>
      </c>
      <c r="DY3" s="1" t="str">
        <f>'Formulation Name Data'!A54&amp;"_T4"</f>
        <v>D502W_0.5_T4</v>
      </c>
      <c r="DZ3" s="1" t="str">
        <f>'Formulation Name Data'!A32&amp;"_T1"</f>
        <v>D501W_G215_DGBE_0.04_0.027_0.5_T1</v>
      </c>
      <c r="EA3" s="1" t="str">
        <f>'Formulation Name Data'!A32&amp;"_T2"</f>
        <v>D501W_G215_DGBE_0.04_0.027_0.5_T2</v>
      </c>
      <c r="EB3" s="12" t="str">
        <f>'Formulation Name Data'!A39&amp;"_T1"</f>
        <v>NRL_N10358-176_G225_DGBE_0.2_0.3_0.5_T1</v>
      </c>
      <c r="EC3" s="12" t="str">
        <f>'Formulation Name Data'!A39&amp;"_T2"</f>
        <v>NRL_N10358-176_G225_DGBE_0.2_0.3_0.5_T2</v>
      </c>
      <c r="ED3" s="12" t="str">
        <f>'Formulation Name Data'!A39&amp;"_T3"</f>
        <v>NRL_N10358-176_G225_DGBE_0.2_0.3_0.5_T3</v>
      </c>
      <c r="EE3" s="12" t="str">
        <f>'Formulation Name Data'!A40&amp;"_T1"</f>
        <v>NRL_N10358-174_G225_DGBE_0.2_0.3_0.5_T1</v>
      </c>
      <c r="EF3" s="12" t="str">
        <f>'Formulation Name Data'!A40&amp;"_T2"</f>
        <v>NRL_N10358-174_G225_DGBE_0.2_0.3_0.5_T2</v>
      </c>
      <c r="EG3" s="12" t="str">
        <f>'Formulation Name Data'!A40&amp;"_T3"</f>
        <v>NRL_N10358-174_G225_DGBE_0.2_0.3_0.5_T3</v>
      </c>
      <c r="EH3" s="1" t="str">
        <f>'Formulation Name Data'!A35&amp;"_T1"</f>
        <v>L77_G215_DGBE_0.11_0.08_0.5_T1</v>
      </c>
      <c r="EI3" s="1" t="str">
        <f>'Formulation Name Data'!A35&amp;"_T2"</f>
        <v>L77_G215_DGBE_0.11_0.08_0.5_T2</v>
      </c>
      <c r="EJ3" s="1" t="str">
        <f>'Formulation Name Data'!A35&amp;"_T2"</f>
        <v>L77_G215_DGBE_0.11_0.08_0.5_T2</v>
      </c>
      <c r="EK3" s="1" t="str">
        <f>'Formulation Name Data'!A36&amp;"_T1"</f>
        <v>D67_G215_DGBE_0.06_0.04_0.5_T1</v>
      </c>
      <c r="EL3" s="1" t="str">
        <f>'Formulation Name Data'!A36&amp;"_T2"</f>
        <v>D67_G215_DGBE_0.06_0.04_0.5_T2</v>
      </c>
      <c r="EM3" s="1" t="str">
        <f>'Formulation Name Data'!A36&amp;"_T3"</f>
        <v>D67_G215_DGBE_0.06_0.04_0.5_T3</v>
      </c>
      <c r="EN3" s="1" t="str">
        <f>'Formulation Name Data'!A45&amp;"_T1"</f>
        <v>Gel6185_G215_DGBE_0.06_0.04_0.5_T1</v>
      </c>
      <c r="EO3" s="1" t="str">
        <f>'Formulation Name Data'!A45&amp;"_T2"</f>
        <v>Gel6185_G215_DGBE_0.06_0.04_0.5_T2</v>
      </c>
      <c r="EP3" s="1" t="str">
        <f>'Formulation Name Data'!A45&amp;"_T3"</f>
        <v>Gel6185_G215_DGBE_0.06_0.04_0.5_T3</v>
      </c>
      <c r="EQ3" s="1" t="str">
        <f>'Formulation Name Data'!A75&amp;"_T1"</f>
        <v>D193_G215_DGBE_0.3_0.2_0.5_T1</v>
      </c>
      <c r="ER3" s="1" t="str">
        <f>'Formulation Name Data'!A75&amp;"_T2"</f>
        <v>D193_G215_DGBE_0.3_0.2_0.5_T2</v>
      </c>
      <c r="ES3" s="12" t="str">
        <f>'Formulation Name Data'!A92&amp;"_T1"</f>
        <v>NRL_N10477-09_G225_DGBE_0.2_0.3_0.5_T1</v>
      </c>
      <c r="ET3" s="12" t="str">
        <f>'Formulation Name Data'!A92&amp;"_T2"</f>
        <v>NRL_N10477-09_G225_DGBE_0.2_0.3_0.5_T2</v>
      </c>
      <c r="EU3" s="12" t="str">
        <f>'Formulation Name Data'!A92&amp;"_T3"</f>
        <v>NRL_N10477-09_G225_DGBE_0.2_0.3_0.5_T3</v>
      </c>
      <c r="EV3" s="1" t="str">
        <f>'Formulation Name Data'!A113&amp;"_T1"</f>
        <v>D502W_DGBE_0.5_0.5_T1</v>
      </c>
      <c r="EW3" s="1" t="str">
        <f>'Formulation Name Data'!A113&amp;"_T2"</f>
        <v>D502W_DGBE_0.5_0.5_T2</v>
      </c>
      <c r="EX3" s="1" t="str">
        <f>'Formulation Name Data'!A113&amp;"_T3"</f>
        <v>D502W_DGBE_0.5_0.5_T3</v>
      </c>
      <c r="EY3" s="1" t="str">
        <f>'Formulation Name Data'!A93&amp;"_T1"</f>
        <v>TrX100_G215_DGBE_0.06_0.04_0.5_T1</v>
      </c>
      <c r="EZ3" s="1" t="str">
        <f>'Formulation Name Data'!A93&amp;"_T2"</f>
        <v>TrX100_G215_DGBE_0.06_0.04_0.5_T2</v>
      </c>
      <c r="FA3" s="1" t="str">
        <f>'Formulation Name Data'!A93&amp;"_T3"</f>
        <v>TrX100_G215_DGBE_0.06_0.04_0.5_T3</v>
      </c>
      <c r="FB3" s="12" t="str">
        <f>'Formulation Name Data'!A21&amp;"_T1"</f>
        <v>TrX45_G215_DGBE_0.022_0.015_0.5_T1</v>
      </c>
      <c r="FC3" s="12" t="str">
        <f>'Formulation Name Data'!A21&amp;"_T2"</f>
        <v>TrX45_G215_DGBE_0.022_0.015_0.5_T2</v>
      </c>
      <c r="FD3" s="12" t="str">
        <f>'Formulation Name Data'!A21&amp;"_T3"</f>
        <v>TrX45_G215_DGBE_0.022_0.015_0.5_T3</v>
      </c>
      <c r="FE3" s="1" t="str">
        <f>'Formulation Name Data'!A22&amp;"_T1"</f>
        <v>TrX114_G215_DGBE_0.04_0.027_0.5_T1</v>
      </c>
      <c r="FF3" s="1" t="str">
        <f>'Formulation Name Data'!A22&amp;"_T2"</f>
        <v>TrX114_G215_DGBE_0.04_0.027_0.5_T2</v>
      </c>
      <c r="FG3" s="1" t="str">
        <f>'Formulation Name Data'!A22&amp;"_T3"</f>
        <v>TrX114_G215_DGBE_0.04_0.027_0.5_T3</v>
      </c>
      <c r="FH3" s="1" t="str">
        <f>'Formulation Name Data'!A94&amp;"_T1"</f>
        <v>Gel6492.6_G215_DGBE_0.06_0.04_0.5_T1</v>
      </c>
      <c r="FI3" s="1" t="str">
        <f>'Formulation Name Data'!A94&amp;"_T2"</f>
        <v>Gel6492.6_G215_DGBE_0.06_0.04_0.5_T2</v>
      </c>
      <c r="FJ3" s="1" t="str">
        <f>'Formulation Name Data'!A94&amp;"_T3"</f>
        <v>Gel6492.6_G215_DGBE_0.06_0.04_0.5_T3</v>
      </c>
      <c r="FK3" s="1" t="str">
        <f>'Formulation Name Data'!A114&amp;"_T1"</f>
        <v>T15-S-9_G215_DGBE_0.03_0.02_0.5_T1</v>
      </c>
      <c r="FL3" s="1" t="str">
        <f>'Formulation Name Data'!A114&amp;"_T2"</f>
        <v>T15-S-9_G215_DGBE_0.03_0.02_0.5_T2</v>
      </c>
      <c r="FM3" s="1" t="str">
        <f>'Formulation Name Data'!A114&amp;"_T3"</f>
        <v>T15-S-9_G215_DGBE_0.03_0.02_0.5_T3</v>
      </c>
      <c r="FN3" s="1" t="str">
        <f>'Formulation Name Data'!A28&amp;"_T1"</f>
        <v>Mys_G215_DGBE_0.068_0.045_0.5_T1</v>
      </c>
      <c r="FO3" s="1" t="str">
        <f>'Formulation Name Data'!A28&amp;"_T2"</f>
        <v>Mys_G215_DGBE_0.068_0.045_0.5_T2</v>
      </c>
      <c r="FP3" s="1" t="str">
        <f>'Formulation Name Data'!A28&amp;"_T3"</f>
        <v>Mys_G215_DGBE_0.068_0.045_0.5_T3</v>
      </c>
      <c r="FQ3" s="1" t="str">
        <f>'Formulation Name Data'!A95&amp;"_T1"</f>
        <v>SDS_G215_DGBE_0.22_0.15_0.5_T1</v>
      </c>
      <c r="FR3" s="1" t="str">
        <f>'Formulation Name Data'!A95&amp;"_T2"</f>
        <v>SDS_G215_DGBE_0.22_0.15_0.5_T2</v>
      </c>
      <c r="FS3" s="1" t="str">
        <f>'Formulation Name Data'!A95&amp;"_T3"</f>
        <v>SDS_G215_DGBE_0.22_0.15_0.5_T3</v>
      </c>
      <c r="FT3" s="1" t="str">
        <f>'Formulation Name Data'!A115&amp;"_T1"</f>
        <v>T15-S-12_G215_DGBE_0.03_0.02_0.5_T1</v>
      </c>
      <c r="FU3" s="1" t="str">
        <f>'Formulation Name Data'!A115&amp;"_T2"</f>
        <v>T15-S-12_G215_DGBE_0.03_0.02_0.5_T2</v>
      </c>
      <c r="FV3" s="1" t="str">
        <f>'Formulation Name Data'!A115&amp;"_T3"</f>
        <v>T15-S-12_G215_DGBE_0.03_0.02_0.5_T3</v>
      </c>
      <c r="FW3" s="1" t="str">
        <f>'Formulation Name Data'!A96&amp;"_T1"</f>
        <v>NRL_N10477-12_G225_DGBE_0.2_0.3_0.5_T1</v>
      </c>
      <c r="FX3" s="1" t="str">
        <f>'Formulation Name Data'!A96&amp;"_T2"</f>
        <v>NRL_N10477-12_G225_DGBE_0.2_0.3_0.5_T2</v>
      </c>
      <c r="FY3" s="1" t="str">
        <f>'Formulation Name Data'!A96&amp;"_T3"</f>
        <v>NRL_N10477-12_G225_DGBE_0.2_0.3_0.5_T3</v>
      </c>
      <c r="FZ3" s="1" t="str">
        <f>'Formulation Name Data'!A97&amp;"_T1"</f>
        <v>NRL_N10477-07_G225_DGBE_0.2_0.3_0.5_T1</v>
      </c>
      <c r="GA3" s="1" t="str">
        <f>'Formulation Name Data'!A97&amp;"_T2"</f>
        <v>NRL_N10477-07_G225_DGBE_0.2_0.3_0.5_T2</v>
      </c>
      <c r="GB3" s="1" t="str">
        <f>'Formulation Name Data'!A97&amp;"_T3"</f>
        <v>NRL_N10477-07_G225_DGBE_0.2_0.3_0.5_T3</v>
      </c>
      <c r="GC3" s="12" t="str">
        <f>'Formulation Name Data'!A39&amp;"_T4"</f>
        <v>NRL_N10358-176_G225_DGBE_0.2_0.3_0.5_T4</v>
      </c>
      <c r="GD3" s="12" t="str">
        <f>'Formulation Name Data'!A39&amp;"_T5"</f>
        <v>NRL_N10358-176_G225_DGBE_0.2_0.3_0.5_T5</v>
      </c>
      <c r="GE3" s="12" t="str">
        <f>'Formulation Name Data'!A39&amp;"_T6"</f>
        <v>NRL_N10358-176_G225_DGBE_0.2_0.3_0.5_T6</v>
      </c>
      <c r="GF3" s="12" t="str">
        <f>'Formulation Name Data'!A116&amp;"_T1"</f>
        <v>NRL_N10477-05_G215_DGBE_0.2_0.3_0.5_T1</v>
      </c>
      <c r="GG3" s="12" t="str">
        <f>'Formulation Name Data'!A116&amp;"_T2"</f>
        <v>NRL_N10477-05_G215_DGBE_0.2_0.3_0.5_T2</v>
      </c>
      <c r="GH3" s="12" t="str">
        <f>'Formulation Name Data'!A116&amp;"_T3"</f>
        <v>NRL_N10477-05_G215_DGBE_0.2_0.3_0.5_T3</v>
      </c>
      <c r="GI3" s="1" t="str">
        <f>'Formulation Name Data'!A46&amp;"_T1"</f>
        <v>ComSor181360_G225_DGBE_0.2_0.3_0.5_T1</v>
      </c>
      <c r="GJ3" s="1" t="str">
        <f>'Formulation Name Data'!A48&amp;"_T1"</f>
        <v>D502W_C8G2_DGBE_0.2_0.19_0.5_T1</v>
      </c>
      <c r="GK3" s="1" t="str">
        <f>'Formulation Name Data'!A48&amp;"_T2"</f>
        <v>D502W_C8G2_DGBE_0.2_0.19_0.5_T2</v>
      </c>
      <c r="GL3" s="1" t="str">
        <f>'Formulation Name Data'!A48&amp;"_T3"</f>
        <v>D502W_C8G2_DGBE_0.2_0.19_0.5_T3</v>
      </c>
      <c r="GM3" s="1" t="str">
        <f>'Formulation Name Data'!A51&amp;"_T1"</f>
        <v>D502W_C8G1_DGBE_0.2_0.19_0.5_T1</v>
      </c>
      <c r="GN3" s="1" t="str">
        <f>'Formulation Name Data'!A51&amp;"_T2"</f>
        <v>D502W_C8G1_DGBE_0.2_0.19_0.5_T2</v>
      </c>
      <c r="GO3" s="1" t="str">
        <f>'Formulation Name Data'!A51&amp;"_T3"</f>
        <v>D502W_C8G1_DGBE_0.2_0.19_0.5_T3</v>
      </c>
      <c r="GP3" s="1" t="str">
        <f>'Formulation Name Data'!A49&amp;"_T1"</f>
        <v>D502W_C10G2_DGBE_0.2_0.19_0.5_T1</v>
      </c>
      <c r="GQ3" s="1" t="str">
        <f>'Formulation Name Data'!A49&amp;"_T2"</f>
        <v>D502W_C10G2_DGBE_0.2_0.19_0.5_T2</v>
      </c>
      <c r="GR3" s="1" t="str">
        <f>'Formulation Name Data'!A50&amp;"_T1"</f>
        <v>D502W_C12G2_DGBE_0.2_0.19_0.5_T1</v>
      </c>
      <c r="GS3" s="1" t="str">
        <f>'Formulation Name Data'!A50&amp;"_T2"</f>
        <v>D502W_C12G2_DGBE_0.2_0.19_0.5_T2</v>
      </c>
      <c r="GT3" s="1" t="str">
        <f>'Formulation Name Data'!A50&amp;"_T3"</f>
        <v>D502W_C12G2_DGBE_0.2_0.19_0.5_T3</v>
      </c>
      <c r="GU3" s="12" t="str">
        <f>'Formulation Name Data'!A160&amp;"_T1"</f>
        <v>D502W_CL_C8G3_DGBE_0.2_0.19_0.5_T1</v>
      </c>
      <c r="GV3" s="12" t="str">
        <f>'Formulation Name Data'!A160&amp;"_T2"</f>
        <v>D502W_CL_C8G3_DGBE_0.2_0.19_0.5_T2</v>
      </c>
      <c r="GW3" s="12" t="str">
        <f>'Formulation Name Data'!A160&amp;"_T3"</f>
        <v>D502W_CL_C8G3_DGBE_0.2_0.19_0.5_T3</v>
      </c>
      <c r="GX3" s="1" t="str">
        <f>'Formulation Name Data'!A56&amp;"_T4"</f>
        <v>G215_0.5_T4</v>
      </c>
      <c r="GY3" s="1" t="str">
        <f>'Formulation Name Data'!A56&amp;"_T5"</f>
        <v>G215_0.5_T5</v>
      </c>
      <c r="GZ3" s="1" t="str">
        <f>'Formulation Name Data'!A56&amp;"_T6"</f>
        <v>G215_0.5_T6</v>
      </c>
      <c r="HA3" s="1" t="str">
        <f>'Formulation Name Data'!A33&amp;"_T4"</f>
        <v>D502W_G215_DGBE_0.075_0.05_0.5_T4</v>
      </c>
      <c r="HB3" s="1" t="str">
        <f>'Formulation Name Data'!A33&amp;"_T5"</f>
        <v>D502W_G215_DGBE_0.075_0.05_0.5_T5</v>
      </c>
      <c r="HC3" s="1" t="str">
        <f>'Formulation Name Data'!A33&amp;"_T6"</f>
        <v>D502W_G215_DGBE_0.075_0.05_0.5_T6</v>
      </c>
      <c r="HD3" s="12" t="str">
        <f>'Formulation Name Data'!A98&amp;"_T1"</f>
        <v>ComSor1830503_T1</v>
      </c>
      <c r="HE3" s="12" t="str">
        <f>'Formulation Name Data'!A98&amp;"_T2"</f>
        <v>ComSor1830503_T2</v>
      </c>
      <c r="HF3" s="12" t="str">
        <f>'Formulation Name Data'!A99&amp;"_T1"</f>
        <v>ComSor_26990-95B_T1</v>
      </c>
      <c r="HG3" s="12" t="str">
        <f>'Formulation Name Data'!A99&amp;"_T2"</f>
        <v>ComSor_26990-95B_T2</v>
      </c>
      <c r="HH3" s="12" t="str">
        <f>'Formulation Name Data'!A100&amp;"_T1"</f>
        <v>ComSor_26990-95C_T1</v>
      </c>
      <c r="HI3" s="12" t="str">
        <f>'Formulation Name Data'!A100&amp;"_T2"</f>
        <v>ComSor_26990-95C_T2</v>
      </c>
      <c r="HJ3" s="12" t="str">
        <f>'Formulation Name Data'!A101&amp;"_T1"</f>
        <v>ComSor_26990-95D_T1</v>
      </c>
      <c r="HK3" s="12" t="str">
        <f>'Formulation Name Data'!A101&amp;"_T2"</f>
        <v>ComSor_26990-95D_T2</v>
      </c>
      <c r="HL3" s="1" t="str">
        <f>'Formulation Name Data'!A102&amp;"_T1"</f>
        <v>D502W_C8SG2_DGBE_0.2_0.19_0.5_T1</v>
      </c>
      <c r="HM3" s="1" t="str">
        <f>'Formulation Name Data'!A102&amp;"_T2"</f>
        <v>D502W_C8SG2_DGBE_0.2_0.19_0.5_T2</v>
      </c>
      <c r="HN3" s="1" t="str">
        <f>'Formulation Name Data'!A102&amp;"_T3"</f>
        <v>D502W_C8SG2_DGBE_0.2_0.19_0.5_T3</v>
      </c>
      <c r="HO3" s="1" t="str">
        <f>'Formulation Name Data'!A103&amp;"_T1"</f>
        <v>D502W_Cymal_DGBE_0.2_0.19_0.5_T1</v>
      </c>
      <c r="HP3" s="1" t="str">
        <f>'Formulation Name Data'!A103&amp;"_T2"</f>
        <v>D502W_Cymal_DGBE_0.2_0.19_0.5_T2</v>
      </c>
      <c r="HQ3" s="1" t="str">
        <f>'Formulation Name Data'!A103&amp;"_T3"</f>
        <v>D502W_Cymal_DGBE_0.2_0.19_0.5_T3</v>
      </c>
      <c r="HR3" s="1" t="str">
        <f>'Formulation Name Data'!A104&amp;"_T1"</f>
        <v>D502W_iC8G2_DGBE_0.2_0.19_0.5_T1</v>
      </c>
      <c r="HS3" s="1" t="str">
        <f>'Formulation Name Data'!A104&amp;"_T2"</f>
        <v>D502W_iC8G2_DGBE_0.2_0.19_0.5_T2</v>
      </c>
      <c r="HT3" s="1" t="str">
        <f>'Formulation Name Data'!A104&amp;"_T3"</f>
        <v>D502W_iC8G2_DGBE_0.2_0.19_0.5_T3</v>
      </c>
      <c r="HU3" s="1" t="str">
        <f>'Formulation Name Data'!A105&amp;"_T1"</f>
        <v>D502W_C6G2_DGBE_0.2_0.19_0.5_T1</v>
      </c>
      <c r="HV3" s="1" t="str">
        <f>'Formulation Name Data'!A105&amp;"_T2"</f>
        <v>D502W_C6G2_DGBE_0.2_0.19_0.5_T2</v>
      </c>
      <c r="HW3" s="1" t="str">
        <f>'Formulation Name Data'!A105&amp;"_T3"</f>
        <v>D502W_C6G2_DGBE_0.2_0.19_0.5_T3</v>
      </c>
      <c r="HX3" s="1" t="str">
        <f>'Formulation Name Data'!A106&amp;"_T1"</f>
        <v>D502W_C9G2_DGBE_0.2_0.19_0.5_T1</v>
      </c>
      <c r="HY3" s="1" t="str">
        <f>'Formulation Name Data'!A106&amp;"_T2"</f>
        <v>D502W_C9G2_DGBE_0.2_0.19_0.5_T2</v>
      </c>
      <c r="HZ3" s="1" t="str">
        <f>'Formulation Name Data'!A106&amp;"_T3"</f>
        <v>D502W_C9G2_DGBE_0.2_0.19_0.5_T3</v>
      </c>
      <c r="IA3" s="1" t="str">
        <f>'Formulation Name Data'!A107&amp;"_T1"</f>
        <v>D502W_C6G1_DGBE_0.2_0.19_0.5_T1</v>
      </c>
      <c r="IB3" s="1" t="str">
        <f>'Formulation Name Data'!A107&amp;"_T2"</f>
        <v>D502W_C6G1_DGBE_0.2_0.19_0.5_T2</v>
      </c>
      <c r="IC3" s="1" t="str">
        <f>'Formulation Name Data'!A107&amp;"_T3"</f>
        <v>D502W_C6G1_DGBE_0.2_0.19_0.5_T3</v>
      </c>
      <c r="ID3" s="1" t="str">
        <f>'Formulation Name Data'!A108&amp;"_T1"</f>
        <v>D502W_C7G1_DGBE_0.2_0.19_0.5_T1</v>
      </c>
      <c r="IE3" s="1" t="str">
        <f>'Formulation Name Data'!A108&amp;"_T2"</f>
        <v>D502W_C7G1_DGBE_0.2_0.19_0.5_T2</v>
      </c>
      <c r="IF3" s="1" t="str">
        <f>'Formulation Name Data'!A108&amp;"_T3"</f>
        <v>D502W_C7G1_DGBE_0.2_0.19_0.5_T3</v>
      </c>
      <c r="IG3" s="1" t="str">
        <f>'Formulation Name Data'!A44&amp;"_T4"</f>
        <v>Cap_0.5_T4</v>
      </c>
      <c r="IH3" s="1" t="str">
        <f>'Formulation Name Data'!A44&amp;"_T5"</f>
        <v>Cap_0.5_T5</v>
      </c>
      <c r="II3" s="1" t="str">
        <f>'Formulation Name Data'!A44&amp;"_T6"</f>
        <v>Cap_0.5_T6</v>
      </c>
      <c r="IJ3" s="1" t="str">
        <f>'Formulation Name Data'!A41&amp;"_T1"</f>
        <v>G225_0.5_T1</v>
      </c>
      <c r="IK3" s="1" t="str">
        <f>'Formulation Name Data'!A41&amp;"_T2"</f>
        <v>G225_0.5_T2</v>
      </c>
      <c r="IL3" s="1" t="str">
        <f>'Formulation Name Data'!A41&amp;"_T3"</f>
        <v>G225_0.5_T3</v>
      </c>
      <c r="IM3" s="1" t="str">
        <f>'Formulation Name Data'!A38&amp;"_T1"</f>
        <v>D502W_G225_0.2_0.3_T1</v>
      </c>
      <c r="IN3" s="1" t="str">
        <f>'Formulation Name Data'!A38&amp;"_T2"</f>
        <v>D502W_G225_0.2_0.3_T2</v>
      </c>
      <c r="IO3" s="1" t="str">
        <f>'Formulation Name Data'!A38&amp;"_T3"</f>
        <v>D502W_G225_0.2_0.3_T3</v>
      </c>
      <c r="IP3" s="1" t="str">
        <f>'Formulation Name Data'!A37&amp;"_T1"</f>
        <v>D502W_G225_DGBE_0.2_0.3_0.5_T1</v>
      </c>
      <c r="IQ3" s="1" t="str">
        <f>'Formulation Name Data'!A37&amp;"_T2"</f>
        <v>D502W_G225_DGBE_0.2_0.3_0.5_T2</v>
      </c>
      <c r="IR3" s="1" t="str">
        <f>'Formulation Name Data'!A37&amp;"_T3"</f>
        <v>D502W_G225_DGBE_0.2_0.3_0.5_T3</v>
      </c>
      <c r="IS3" s="1" t="str">
        <f>'Formulation Name Data'!A109&amp;"_T1"</f>
        <v>G225_DGBE_0.3_0.5_T1</v>
      </c>
      <c r="IT3" s="1" t="str">
        <f>'Formulation Name Data'!A109&amp;"_T2"</f>
        <v>G225_DGBE_0.3_0.5_T2</v>
      </c>
      <c r="IU3" s="1" t="str">
        <f>'Formulation Name Data'!A64&amp;"_AgedConc_T1"</f>
        <v>Avio®F3 Green KHC_AgedConc_T1</v>
      </c>
      <c r="IV3" s="1" t="str">
        <f>'Formulation Name Data'!A64&amp;"_AgedConc_T2"</f>
        <v>Avio®F3 Green KHC_AgedConc_T2</v>
      </c>
      <c r="IW3" s="1" t="str">
        <f>'Formulation Name Data'!A64&amp;"_AgedConc_T3"</f>
        <v>Avio®F3 Green KHC_AgedConc_T3</v>
      </c>
      <c r="IX3" s="1" t="str">
        <f>'Formulation Name Data'!A65&amp;"_AgedConc_T1"</f>
        <v>JetFoam 3%_AgedConc_T1</v>
      </c>
      <c r="IY3" s="1" t="str">
        <f>'Formulation Name Data'!A65&amp;"_AgedConc_T2"</f>
        <v>JetFoam 3%_AgedConc_T2</v>
      </c>
      <c r="IZ3" s="1" t="str">
        <f>'Formulation Name Data'!A110&amp;"_T1"</f>
        <v>ComSor_EXP-21-CH1035-B_T1</v>
      </c>
      <c r="JA3" s="1" t="str">
        <f>'Formulation Name Data'!A110&amp;"_T2"</f>
        <v>ComSor_EXP-21-CH1035-B_T2</v>
      </c>
      <c r="JB3" s="1" t="str">
        <f>'Formulation Name Data'!A117&amp;"_T1"</f>
        <v>ComSor_EXP-21-CH1035-A_T1</v>
      </c>
      <c r="JC3" s="1" t="str">
        <f>'Formulation Name Data'!A117&amp;"_T2"</f>
        <v>ComSor_EXP-21-CH1035-A_T2</v>
      </c>
      <c r="JD3" s="1" t="str">
        <f>'Formulation Name Data'!A118&amp;"_T1"</f>
        <v>ComSor_EXP-21-CH1035-C_T1</v>
      </c>
      <c r="JE3" s="1" t="str">
        <f>'Formulation Name Data'!A66&amp;"_AgedConc_T1"</f>
        <v>Solberg® Rehealing RF3 3%_AgedConc_T1</v>
      </c>
      <c r="JF3" s="1" t="str">
        <f>'Formulation Name Data'!A66&amp;"_AgedConc_T2"</f>
        <v>Solberg® Rehealing RF3 3%_AgedConc_T2</v>
      </c>
      <c r="JG3" s="1" t="str">
        <f>'Formulation Name Data'!A67&amp;"_T1"</f>
        <v>FomtecEnviroUSP 3%_T1</v>
      </c>
      <c r="JH3" s="1" t="str">
        <f>'Formulation Name Data'!A67&amp;"_T2"</f>
        <v>FomtecEnviroUSP 3%_T2</v>
      </c>
      <c r="JI3" s="1" t="str">
        <f>'Formulation Name Data'!A63&amp;"_T1"</f>
        <v>ComSor_EXP-21-1_T1</v>
      </c>
      <c r="JJ3" s="1" t="str">
        <f>'Formulation Name Data'!A63&amp;"_T2"</f>
        <v>ComSor_EXP-21-1_T2</v>
      </c>
      <c r="JK3" s="1" t="str">
        <f>'Formulation Name Data'!A62&amp;"_T1"</f>
        <v>ComSor_EXP-21-2_T1</v>
      </c>
      <c r="JL3" s="1" t="str">
        <f>'Formulation Name Data'!A62&amp;"_T2"</f>
        <v>ComSor_EXP-21-2_T2</v>
      </c>
      <c r="JM3" s="1" t="str">
        <f>'Formulation Name Data'!A68&amp;"_T1"</f>
        <v>ComSor_EXP-21-3_T1</v>
      </c>
      <c r="JN3" s="1" t="str">
        <f>'Formulation Name Data'!A69&amp;"_T1"</f>
        <v>ComSor_EXP-21-5_T1</v>
      </c>
      <c r="JO3" s="1" t="str">
        <f>'Formulation Name Data'!A69&amp;"_T2"</f>
        <v>ComSor_EXP-21-5_T2</v>
      </c>
      <c r="JP3" s="1" t="str">
        <f>'Formulation Name Data'!A70&amp;"_T1"</f>
        <v>ComSor_EXP-21-6_T1</v>
      </c>
      <c r="JQ3" s="1" t="str">
        <f>'Formulation Name Data'!A70&amp;"_T2"</f>
        <v>ComSor_EXP-21-6_T2</v>
      </c>
      <c r="JR3" s="1" t="str">
        <f>'Formulation Name Data'!A71&amp;"_T1"</f>
        <v>ComSor_EXP-21-7_T1</v>
      </c>
      <c r="JS3" s="1" t="str">
        <f>'Formulation Name Data'!A71&amp;"_T2"</f>
        <v>ComSor_EXP-21-7_T2</v>
      </c>
      <c r="JT3" s="1" t="str">
        <f>'Formulation Name Data'!A178&amp;"_T1"</f>
        <v>CL_MD2062-121_G225_DGBE_0.1_0.3_0.5_T1</v>
      </c>
      <c r="JU3" s="1" t="str">
        <f>'Formulation Name Data'!A178&amp;"_T2"</f>
        <v>CL_MD2062-121_G225_DGBE_0.1_0.3_0.5_T2</v>
      </c>
      <c r="JV3" s="1" t="str">
        <f>'Formulation Name Data'!A178&amp;"_T3"</f>
        <v>CL_MD2062-121_G225_DGBE_0.1_0.3_0.5_T3</v>
      </c>
      <c r="JW3" s="1" t="str">
        <f>'Formulation Name Data'!A138&amp;"_T1"</f>
        <v>CL_MD2086-97_G225_DGBE_0.34_0.56_0.5_T1</v>
      </c>
      <c r="JX3" s="1" t="str">
        <f>'Formulation Name Data'!A139&amp;"_T1"</f>
        <v>CL_MD2086-97_0.5_T1</v>
      </c>
      <c r="JY3" s="1" t="str">
        <f>'Formulation Name Data'!A154&amp;"_T1"</f>
        <v>CL_MD2012-16_G225_DGBE_0.52_0.78_0.5_T1</v>
      </c>
      <c r="JZ3" s="1" t="str">
        <f>'Formulation Name Data'!A155&amp;"_T1"</f>
        <v>NRL_N10478-198_G225_DGBE_0.065_0.3_0.5_T1</v>
      </c>
      <c r="KA3" s="1" t="str">
        <f>'Formulation Name Data'!A155&amp;"_T2"</f>
        <v>NRL_N10478-198_G225_DGBE_0.065_0.3_0.5_T2</v>
      </c>
      <c r="KB3" s="1" t="str">
        <f>'Formulation Name Data'!A158&amp;"_T1"</f>
        <v>CL_MD2102-54_G225_DGBE_0.2_0.3_0.5_T1</v>
      </c>
      <c r="KC3" s="1" t="str">
        <f>'Formulation Name Data'!A182&amp;"_T1"</f>
        <v>NRL_LBII43_G225_DGBE_0.2_0.3_0.5_T1</v>
      </c>
      <c r="KD3" s="1" t="str">
        <f>'Formulation Name Data'!A182&amp;"_T2"</f>
        <v>NRL_LBII43_G225_DGBE_0.2_0.3_0.5_T2</v>
      </c>
      <c r="KE3" s="1" t="str">
        <f>'Formulation Name Data'!A183&amp;"_T1"</f>
        <v>NRL_CB_DTBTS_SB_G225_DGBE_0.02_0.3_0.5_T1</v>
      </c>
      <c r="KF3" s="1" t="str">
        <f>'Formulation Name Data'!A183&amp;"_T2"</f>
        <v>NRL_CB_DTBTS_SB_G225_DGBE_0.02_0.3_0.5_T2</v>
      </c>
      <c r="KG3" s="1" t="str">
        <f>'Formulation Name Data'!A184&amp;"_T1"</f>
        <v>NRL_CB-1-123_G225_DGBE_0.2_0.3_0.5_T1</v>
      </c>
      <c r="KH3" s="1" t="str">
        <f>'Formulation Name Data'!A185&amp;"_T2"</f>
        <v>NRL_N10478-227_G225_DGBE_0.063_0.3_0.5_T2</v>
      </c>
      <c r="KI3" s="12" t="str">
        <f>'Formulation Name Data'!A187&amp;"_T1"</f>
        <v>NRL_N10478-240_G225_DGBE_#_0.3_0.5_T1</v>
      </c>
      <c r="KJ3" s="12" t="str">
        <f>'Formulation Name Data'!A187&amp;"_T2"</f>
        <v>NRL_N10478-240_G225_DGBE_#_0.3_0.5_T2</v>
      </c>
      <c r="KK3" s="12" t="str">
        <f>'Formulation Name Data'!A188&amp;"_T1"</f>
        <v>CL_MD2102-90_G225_DGBE_0.2_0.3_0.5_T1</v>
      </c>
      <c r="KL3" s="12" t="str">
        <f>'Formulation Name Data'!A189&amp;"_T1"</f>
        <v>CL_MD2102-112_G225_DGBE_0.05_0.3_0.5_T1</v>
      </c>
      <c r="KM3" s="12" t="str">
        <f>'Formulation Name Data'!A189&amp;"_T2"</f>
        <v>CL_MD2102-112_G225_DGBE_0.05_0.3_0.5_T2</v>
      </c>
      <c r="KN3" s="12" t="str">
        <f>'Formulation Name Data'!A191&amp;"_T1"</f>
        <v>ComSor_EXP-21-CH1070-1_3_T1</v>
      </c>
      <c r="KO3" s="12" t="str">
        <f>'Formulation Name Data'!A191&amp;"_T2"</f>
        <v>ComSor_EXP-21-CH1070-1_3_T2</v>
      </c>
      <c r="KP3" s="12" t="str">
        <f>'Formulation Name Data'!A190&amp;"_T1"</f>
        <v>CL_MD2102-118_G225_DGBE_0.2_0.3_0.5_T1</v>
      </c>
      <c r="KQ3" s="12" t="str">
        <f>'Formulation Name Data'!A190&amp;"_T2"</f>
        <v>CL_MD2102-118_G225_DGBE_0.2_0.3_0.5_T2</v>
      </c>
      <c r="KR3" s="12" t="str">
        <f>'Formulation Name Data'!A192&amp;"_T1"</f>
        <v>ComSor_EXP-21-CH1070-2_3_T1</v>
      </c>
      <c r="KS3" s="12" t="str">
        <f>'Formulation Name Data'!A192&amp;"_T2"</f>
        <v>ComSor_EXP-21-CH1070-2_3_T2</v>
      </c>
      <c r="KT3" s="12" t="str">
        <f>'Formulation Name Data'!A193&amp;"_T1"</f>
        <v>ComSor_EXP-21-CH1070-4_1_T1</v>
      </c>
      <c r="KU3" s="12" t="str">
        <f>'Formulation Name Data'!A193&amp;"_T2"</f>
        <v>ComSor_EXP-21-CH1070-4_1_T2</v>
      </c>
      <c r="KV3" s="1" t="str">
        <f>'Formulation Name Data'!A197&amp;"_T1"</f>
        <v>NRL_CB-1-192_G225_DGBE_0.14_0.21_0.5_T1</v>
      </c>
      <c r="KW3" s="1" t="str">
        <f>'Formulation Name Data'!A197&amp;"_T2"</f>
        <v>NRL_CB-1-192_G225_DGBE_0.14_0.21_0.5_T2</v>
      </c>
      <c r="KX3" s="1" t="str">
        <f>'Formulation Name Data'!A166&amp;"_T1"</f>
        <v>ComSor_EXP-22-CH1050_T1</v>
      </c>
    </row>
    <row r="4" spans="1:310" x14ac:dyDescent="0.35">
      <c r="A4">
        <v>6.5708255076511085E-11</v>
      </c>
      <c r="B4">
        <v>4.5018112474564683E-11</v>
      </c>
      <c r="C4">
        <v>0</v>
      </c>
      <c r="D4">
        <v>1.0913481812015678E-10</v>
      </c>
      <c r="E4">
        <v>9.1400410175631298E-11</v>
      </c>
      <c r="F4">
        <v>9.8448700512558104E-11</v>
      </c>
      <c r="G4">
        <v>4.7373081463990552E-11</v>
      </c>
      <c r="H4">
        <v>1.2868949232585595E-10</v>
      </c>
      <c r="I4">
        <v>3.5566706021251477E-11</v>
      </c>
      <c r="J4">
        <v>3.3786320776365206E-10</v>
      </c>
      <c r="K4">
        <v>1.8189136353359466E-11</v>
      </c>
      <c r="L4">
        <v>7.9873045011689761E-10</v>
      </c>
      <c r="M4">
        <v>0</v>
      </c>
      <c r="N4">
        <v>4.7519118723151602E-11</v>
      </c>
      <c r="O4">
        <v>0</v>
      </c>
      <c r="P4">
        <v>7.1392360186935908E-11</v>
      </c>
      <c r="Q4">
        <v>1.4096580673853586E-11</v>
      </c>
      <c r="R4">
        <v>1.2846077549560123E-10</v>
      </c>
      <c r="S4">
        <v>0</v>
      </c>
      <c r="T4">
        <v>0</v>
      </c>
      <c r="U4">
        <v>0</v>
      </c>
      <c r="V4">
        <v>2.8420525552124166E-11</v>
      </c>
      <c r="W4">
        <v>3.1148896005128085E-10</v>
      </c>
      <c r="X4">
        <v>7.452966063552073E-11</v>
      </c>
      <c r="Y4">
        <v>2.319114885053332E-11</v>
      </c>
      <c r="Z4">
        <v>4.8201211336402594E-11</v>
      </c>
      <c r="AA4">
        <v>8.9808860744712372E-11</v>
      </c>
      <c r="AB4">
        <v>0</v>
      </c>
      <c r="AC4">
        <v>0</v>
      </c>
      <c r="AD4">
        <v>7.8668014728279682E-11</v>
      </c>
      <c r="AE4">
        <v>9.2764595402133281E-11</v>
      </c>
      <c r="AF4">
        <v>8.1851113590117599E-11</v>
      </c>
      <c r="AG4">
        <v>1.0390544141856597E-10</v>
      </c>
      <c r="AH4">
        <v>1.637022271802352E-10</v>
      </c>
      <c r="AI4">
        <v>1.3141651015302217E-10</v>
      </c>
      <c r="AJ4">
        <v>3.478672327579998E-11</v>
      </c>
      <c r="AK4">
        <v>9.481087324188621E-11</v>
      </c>
      <c r="AL4">
        <v>9.1855138584465301E-11</v>
      </c>
      <c r="AM4">
        <v>6.2525156214673168E-11</v>
      </c>
      <c r="AN4">
        <v>5.1156945993823496E-11</v>
      </c>
      <c r="AO4">
        <v>8.9126768131461374E-11</v>
      </c>
      <c r="AP4">
        <v>4.4790748270147688E-11</v>
      </c>
      <c r="AQ4">
        <v>8.2760570407785566E-11</v>
      </c>
      <c r="AR4">
        <v>8.4352119838704518E-11</v>
      </c>
      <c r="AS4">
        <v>7.2983909617854847E-11</v>
      </c>
      <c r="AT4">
        <v>4.365392724806272E-11</v>
      </c>
      <c r="AU4">
        <v>4.2971834634811735E-11</v>
      </c>
      <c r="AV4">
        <v>6.4116705645592107E-11</v>
      </c>
      <c r="AW4">
        <v>1.166378368659176E-10</v>
      </c>
      <c r="AX4">
        <v>3.3649902253715005E-11</v>
      </c>
      <c r="AY4">
        <v>3.5559761570817757E-10</v>
      </c>
      <c r="AZ4">
        <v>2.0417305556645999E-10</v>
      </c>
      <c r="BA4">
        <v>5.6090749229672246E-10</v>
      </c>
      <c r="BB4">
        <v>2.8238634188590575E-10</v>
      </c>
      <c r="BC4">
        <v>6.5935619280928069E-10</v>
      </c>
      <c r="BD4">
        <v>3.3172437424439322E-10</v>
      </c>
      <c r="BE4">
        <v>1.7211470274366394E-10</v>
      </c>
      <c r="BF4">
        <v>4.7291754518734614E-11</v>
      </c>
      <c r="BG4">
        <v>-1.7279679535691493E-11</v>
      </c>
      <c r="BH4">
        <v>8.7762582904959417E-11</v>
      </c>
      <c r="BI4">
        <v>6.2525156214673168E-11</v>
      </c>
      <c r="BJ4">
        <v>7.7985922115028723E-11</v>
      </c>
      <c r="BK4">
        <v>1.4778673287104567E-11</v>
      </c>
      <c r="BL4">
        <v>1.4846882548429664E-10</v>
      </c>
      <c r="BM4">
        <v>0</v>
      </c>
      <c r="BN4">
        <v>0</v>
      </c>
      <c r="BO4">
        <v>9.8448700512558104E-11</v>
      </c>
      <c r="BP4">
        <v>6.2525156214673168E-11</v>
      </c>
      <c r="BQ4">
        <v>0</v>
      </c>
      <c r="BR4">
        <v>5.2748495424742448E-11</v>
      </c>
      <c r="BS4">
        <v>8.4579484043121513E-11</v>
      </c>
      <c r="BT4">
        <v>0</v>
      </c>
      <c r="BU4">
        <v>4.7746482927568597E-11</v>
      </c>
      <c r="BV4">
        <v>5.615895849099736E-11</v>
      </c>
      <c r="BW4">
        <v>4.6837026109900624E-11</v>
      </c>
      <c r="BX4">
        <v>0</v>
      </c>
      <c r="BY4">
        <v>1.0117707096556203E-10</v>
      </c>
      <c r="BZ4">
        <v>1.6643059763323914E-10</v>
      </c>
      <c r="CA4">
        <v>0</v>
      </c>
      <c r="CB4">
        <v>4.3199198839228736E-11</v>
      </c>
      <c r="CC4">
        <v>1.0458753403181693E-10</v>
      </c>
      <c r="CD4">
        <v>0</v>
      </c>
      <c r="CE4">
        <v>5.7523143717499304E-11</v>
      </c>
      <c r="CF4">
        <v>1.6597586922440514E-11</v>
      </c>
      <c r="CG4">
        <v>5.0702217584989506E-11</v>
      </c>
      <c r="CH4">
        <v>0</v>
      </c>
      <c r="CI4">
        <v>0</v>
      </c>
      <c r="CJ4">
        <v>2.5919519303537237E-11</v>
      </c>
      <c r="CK4">
        <v>3.5014087480216969E-11</v>
      </c>
      <c r="CL4">
        <v>0</v>
      </c>
      <c r="CM4">
        <v>9.8448700512558104E-11</v>
      </c>
      <c r="CN4">
        <v>0</v>
      </c>
      <c r="CO4">
        <v>0</v>
      </c>
      <c r="CP4">
        <v>1.1300000959524567E-10</v>
      </c>
      <c r="CQ4">
        <v>0</v>
      </c>
      <c r="CR4">
        <v>0</v>
      </c>
      <c r="CS4">
        <v>1.0276862039648097E-10</v>
      </c>
      <c r="CT4">
        <v>1.2414085561167836E-10</v>
      </c>
      <c r="CU4">
        <v>1.2254930618075942E-10</v>
      </c>
      <c r="CV4">
        <v>3.7969822137637884E-11</v>
      </c>
      <c r="CW4">
        <v>4.1607649408309785E-11</v>
      </c>
      <c r="CX4">
        <v>1.536982021858875E-10</v>
      </c>
      <c r="CY4">
        <v>6.5026162463260087E-11</v>
      </c>
      <c r="CZ4">
        <v>3.6833001115552916E-11</v>
      </c>
      <c r="DA4">
        <v>1.8803019705285348E-10</v>
      </c>
      <c r="DB4">
        <v>4.7291754518734614E-11</v>
      </c>
      <c r="DC4">
        <v>4.7973847131985592E-11</v>
      </c>
      <c r="DD4">
        <v>1.0345071300973197E-10</v>
      </c>
      <c r="DE4">
        <v>8.3897391429870541E-11</v>
      </c>
      <c r="DF4">
        <v>6.8436625529514986E-11</v>
      </c>
      <c r="DG4">
        <v>1.6142858513606527E-11</v>
      </c>
      <c r="DH4">
        <v>4.592756929223265E-11</v>
      </c>
      <c r="DI4" s="23">
        <v>2.0699400000000001E-10</v>
      </c>
      <c r="DJ4" s="23">
        <v>1.5919500000000001E-10</v>
      </c>
      <c r="DK4" s="23">
        <v>1.2381900000000001E-10</v>
      </c>
      <c r="DL4" s="23">
        <v>0</v>
      </c>
      <c r="DM4" s="23">
        <v>1.3502599999999999E-10</v>
      </c>
      <c r="DN4" s="23">
        <v>2.8193400000000001E-10</v>
      </c>
      <c r="DO4" s="23">
        <v>1.02484E-10</v>
      </c>
      <c r="DP4" s="23">
        <v>2.5249800000000001E-11</v>
      </c>
      <c r="DQ4" s="23">
        <v>1.5001399999999999E-10</v>
      </c>
      <c r="DR4" s="23">
        <v>2.9570599999999998E-11</v>
      </c>
      <c r="DS4" s="23">
        <v>4.9419399999999998E-11</v>
      </c>
      <c r="DT4" s="23">
        <v>8.6146399999999997E-11</v>
      </c>
      <c r="DU4" s="23">
        <v>8.5606299999999999E-11</v>
      </c>
      <c r="DV4" s="23">
        <v>7.8314899999999997E-11</v>
      </c>
      <c r="DW4" s="23">
        <v>1.14772E-10</v>
      </c>
      <c r="DX4" s="23">
        <v>2.9435599999999997E-11</v>
      </c>
      <c r="DY4">
        <v>6.4492325855962226E-11</v>
      </c>
      <c r="DZ4" s="23">
        <v>2.7745E-11</v>
      </c>
      <c r="EA4" s="23">
        <v>6.6853600000000004E-11</v>
      </c>
      <c r="EB4">
        <v>1.2750885478158205E-10</v>
      </c>
      <c r="EC4">
        <v>1.0035419126328217E-10</v>
      </c>
      <c r="ED4">
        <v>3.0401416765053128E-11</v>
      </c>
      <c r="EE4">
        <v>5.1800472255017701E-11</v>
      </c>
      <c r="EF4">
        <v>1.5835301062573788E-10</v>
      </c>
      <c r="EG4">
        <v>1.2544273907910273E-10</v>
      </c>
      <c r="EH4" s="23">
        <v>5.3128699999999998E-12</v>
      </c>
      <c r="EI4" s="23">
        <v>1.0330599999999999E-10</v>
      </c>
      <c r="EJ4" s="23">
        <v>0</v>
      </c>
      <c r="EK4" s="23">
        <v>0</v>
      </c>
      <c r="EL4" s="23">
        <v>2.02184E-11</v>
      </c>
      <c r="EM4" s="23">
        <v>3.3353E-11</v>
      </c>
      <c r="EN4" s="23">
        <v>3.0253800000000002E-11</v>
      </c>
      <c r="EO4" s="23">
        <v>5.5047199999999999E-11</v>
      </c>
      <c r="EP4" s="23">
        <v>9.5188899999999995E-11</v>
      </c>
      <c r="EQ4" s="23">
        <v>2.4513000000000001E-10</v>
      </c>
      <c r="ER4" s="23">
        <v>2.4542500000000001E-10</v>
      </c>
      <c r="ES4">
        <v>3.4090909090909098E-11</v>
      </c>
      <c r="ET4">
        <v>7.5855962219598583E-11</v>
      </c>
      <c r="EU4">
        <v>2.995867768595041E-11</v>
      </c>
      <c r="EV4">
        <v>2.4940968122786305E-11</v>
      </c>
      <c r="EW4">
        <v>1.2603305785123966E-10</v>
      </c>
      <c r="EX4">
        <v>5.1062573789846515E-11</v>
      </c>
      <c r="EY4">
        <v>7.6298701298701295E-11</v>
      </c>
      <c r="EZ4">
        <v>1.0935655253837072E-10</v>
      </c>
      <c r="FA4">
        <v>1.0123966942148761E-10</v>
      </c>
      <c r="FB4">
        <v>6.3311688311688315E-11</v>
      </c>
      <c r="FC4">
        <v>5.6965761511216056E-11</v>
      </c>
      <c r="FD4">
        <v>4.9881936245572611E-11</v>
      </c>
      <c r="FE4">
        <v>9.577922077922079E-11</v>
      </c>
      <c r="FF4">
        <v>1.2072018890200709E-10</v>
      </c>
      <c r="FG4">
        <v>2.5088547815820543E-11</v>
      </c>
      <c r="FH4">
        <v>2.0365997638724909E-11</v>
      </c>
      <c r="FI4">
        <v>1.3016528925619835E-10</v>
      </c>
      <c r="FJ4">
        <v>5.7113341204250293E-11</v>
      </c>
      <c r="FK4">
        <v>6.5230224321133412E-11</v>
      </c>
      <c r="FL4">
        <v>7.7036599763872481E-11</v>
      </c>
      <c r="FM4">
        <v>5.4899645808736715E-11</v>
      </c>
      <c r="FN4">
        <v>2.0808736717827624E-11</v>
      </c>
      <c r="FO4">
        <v>5.9622195985832346E-11</v>
      </c>
      <c r="FP4">
        <v>6.9805194805194805E-11</v>
      </c>
      <c r="FQ4">
        <v>1.1703069657615112E-10</v>
      </c>
      <c r="FR4">
        <v>2.0425029515938606E-10</v>
      </c>
      <c r="FS4">
        <v>1.5554899645808733E-10</v>
      </c>
      <c r="FT4">
        <v>1.1422668240850059E-10</v>
      </c>
      <c r="FU4">
        <v>3.6747343565525387E-11</v>
      </c>
      <c r="FV4">
        <v>0</v>
      </c>
      <c r="FW4">
        <v>3.1759149940968126E-10</v>
      </c>
      <c r="FX4">
        <v>1.4979338842975204E-10</v>
      </c>
      <c r="FY4">
        <v>9.4303423848878392E-11</v>
      </c>
      <c r="FZ4">
        <v>6.9214876033057856E-11</v>
      </c>
      <c r="GA4">
        <v>5.6818181818181819E-11</v>
      </c>
      <c r="GB4">
        <v>2.7007083825265646E-11</v>
      </c>
      <c r="GC4">
        <v>0</v>
      </c>
      <c r="GD4">
        <v>3.1729634002361276E-11</v>
      </c>
      <c r="GE4">
        <v>5.6375442739079101E-11</v>
      </c>
      <c r="GF4">
        <v>7.9250295159386052E-11</v>
      </c>
      <c r="GG4">
        <v>1.2942739079102712E-10</v>
      </c>
      <c r="GH4">
        <v>9.9321133412042497E-11</v>
      </c>
      <c r="GI4">
        <v>1.1481700118063754E-10</v>
      </c>
      <c r="GJ4">
        <v>7.9250295159386052E-11</v>
      </c>
      <c r="GK4">
        <v>3.9831759149940961E-10</v>
      </c>
      <c r="GL4">
        <v>2.3184769775678864E-10</v>
      </c>
      <c r="GM4">
        <v>1.3547815820543094E-10</v>
      </c>
      <c r="GN4">
        <v>8.5714285714285708E-10</v>
      </c>
      <c r="GO4">
        <v>2.5339433293978748E-10</v>
      </c>
      <c r="GP4">
        <v>2.3878394332939783E-10</v>
      </c>
      <c r="GQ4">
        <v>1.6706021251475797E-10</v>
      </c>
      <c r="GR4">
        <v>2.2151711924439196E-10</v>
      </c>
      <c r="GS4">
        <v>3.2541322314049587E-10</v>
      </c>
      <c r="GT4">
        <v>4.8406139315230219E-11</v>
      </c>
      <c r="GU4">
        <v>2.6859504132231404E-10</v>
      </c>
      <c r="GV4">
        <v>3.2231404958677685E-10</v>
      </c>
      <c r="GW4">
        <v>1.7680047225501773E-10</v>
      </c>
      <c r="GX4">
        <v>4.4273907910271551E-11</v>
      </c>
      <c r="GY4">
        <v>2.6711924439197165E-11</v>
      </c>
      <c r="GZ4">
        <v>3.0401416765053128E-11</v>
      </c>
      <c r="HA4">
        <v>9.0909090909090897E-11</v>
      </c>
      <c r="HB4">
        <v>1.605667060212515E-10</v>
      </c>
      <c r="HC4">
        <v>7.4527744982290422E-11</v>
      </c>
      <c r="HD4">
        <v>8.6629279811097979E-11</v>
      </c>
      <c r="HE4">
        <v>2.2771546635182997E-10</v>
      </c>
      <c r="HF4">
        <v>2.2358323494687131E-10</v>
      </c>
      <c r="HG4">
        <v>2.1900826446280991E-10</v>
      </c>
      <c r="HH4">
        <v>2.576741440377804E-10</v>
      </c>
      <c r="HI4">
        <v>2.3657024793388431E-10</v>
      </c>
      <c r="HJ4">
        <v>1.9569067296340022E-10</v>
      </c>
      <c r="HK4">
        <v>1.6602715466351829E-10</v>
      </c>
      <c r="HL4">
        <v>1.7443919716646988E-10</v>
      </c>
      <c r="HM4">
        <v>1.638134592680047E-10</v>
      </c>
      <c r="HN4">
        <v>1.7311097992916176E-10</v>
      </c>
      <c r="HO4">
        <v>1.7739079102715465E-10</v>
      </c>
      <c r="HP4">
        <v>2.2240259740259741E-10</v>
      </c>
      <c r="HQ4">
        <v>3.9167650531286895E-10</v>
      </c>
      <c r="HR4">
        <v>2.4321133412042503E-10</v>
      </c>
      <c r="HS4">
        <v>4.7136953955135772E-10</v>
      </c>
      <c r="HT4">
        <v>1.8285123966942147E-10</v>
      </c>
      <c r="HU4">
        <v>2.0469303423848876E-10</v>
      </c>
      <c r="HV4">
        <v>1.9451003541912633E-10</v>
      </c>
      <c r="HW4">
        <v>1.9406729634002363E-10</v>
      </c>
      <c r="HX4">
        <v>4.5749704840613929E-10</v>
      </c>
      <c r="HY4">
        <v>5.4604486422668247E-11</v>
      </c>
      <c r="HZ4">
        <v>1.7089728453364816E-10</v>
      </c>
      <c r="IA4">
        <v>1.1983471074380164E-10</v>
      </c>
      <c r="IB4">
        <v>1.770956316410862E-10</v>
      </c>
      <c r="IC4">
        <v>7.305194805194805E-11</v>
      </c>
      <c r="ID4">
        <v>2.6933293978748526E-10</v>
      </c>
      <c r="IE4">
        <v>4.9749114521841801E-10</v>
      </c>
      <c r="IF4">
        <v>2.2682998819362455E-10</v>
      </c>
      <c r="IG4">
        <v>1.2131050767414404E-10</v>
      </c>
      <c r="IH4">
        <v>3.3102125147579686E-10</v>
      </c>
      <c r="II4">
        <v>4.1809327036599763E-10</v>
      </c>
      <c r="IJ4">
        <v>1.1511216056670603E-11</v>
      </c>
      <c r="IK4">
        <v>1.3592089728453367E-10</v>
      </c>
      <c r="IL4">
        <v>4.3683589138134582E-11</v>
      </c>
      <c r="IM4">
        <v>7.8217237308146392E-11</v>
      </c>
      <c r="IN4">
        <v>1.2131050767414404E-10</v>
      </c>
      <c r="IO4">
        <v>5.7556080283353011E-11</v>
      </c>
      <c r="IP4">
        <v>0</v>
      </c>
      <c r="IQ4">
        <v>6.9067296340023606E-11</v>
      </c>
      <c r="IR4">
        <v>9.8583234946871298E-11</v>
      </c>
      <c r="IS4">
        <v>9.577922077922079E-11</v>
      </c>
      <c r="IT4">
        <v>8.1759149940968124E-11</v>
      </c>
      <c r="IU4">
        <v>8.0430932703659976E-11</v>
      </c>
      <c r="IV4">
        <v>1.0168240850059032E-10</v>
      </c>
      <c r="IW4">
        <v>8.0873671782762701E-11</v>
      </c>
      <c r="IX4">
        <v>1.3414994096812277E-10</v>
      </c>
      <c r="IY4">
        <v>3.2615112160566706E-11</v>
      </c>
      <c r="IZ4">
        <v>2.902400629673357E-11</v>
      </c>
      <c r="JA4">
        <v>3.5542109405745775E-11</v>
      </c>
      <c r="JB4">
        <v>1.253197560015742E-10</v>
      </c>
      <c r="JC4">
        <v>1.4880952380952384E-10</v>
      </c>
      <c r="JD4">
        <v>2.9948347107438011E-10</v>
      </c>
      <c r="JE4">
        <v>8.1082743014561213E-10</v>
      </c>
      <c r="JF4">
        <v>2.3021694214876033E-9</v>
      </c>
      <c r="JG4">
        <v>1.4610389610389613E-10</v>
      </c>
      <c r="JH4">
        <v>2.0513577331759146E-11</v>
      </c>
      <c r="JI4">
        <v>0</v>
      </c>
      <c r="JJ4">
        <v>1.3282172373081462E-10</v>
      </c>
      <c r="JK4">
        <v>7.9102715466351828E-11</v>
      </c>
      <c r="JL4">
        <v>1.5702479338842973E-10</v>
      </c>
      <c r="JM4">
        <v>3.6009445100354195E-11</v>
      </c>
      <c r="JN4">
        <v>0</v>
      </c>
      <c r="JO4">
        <v>3.2762691853600943E-11</v>
      </c>
      <c r="JP4">
        <v>1.5097402597402599E-10</v>
      </c>
      <c r="JQ4">
        <v>4.7225501770956315E-11</v>
      </c>
      <c r="JR4">
        <v>3.5271546635183002E-11</v>
      </c>
      <c r="JS4">
        <v>1.4211924439197166E-10</v>
      </c>
      <c r="JT4">
        <v>0</v>
      </c>
      <c r="JU4">
        <v>2.3022432113341205E-11</v>
      </c>
      <c r="JV4">
        <v>4.1469893742621011E-11</v>
      </c>
      <c r="JW4">
        <v>7.9988193624557252E-11</v>
      </c>
      <c r="JX4">
        <v>0</v>
      </c>
      <c r="JY4">
        <v>9.6221959858323489E-11</v>
      </c>
      <c r="JZ4">
        <v>3.2615112160566706E-11</v>
      </c>
      <c r="KA4">
        <v>5.2833530106257381E-11</v>
      </c>
      <c r="KB4" s="42">
        <v>-1.6735537190082644E-10</v>
      </c>
      <c r="KC4">
        <v>5.5637544273907902E-11</v>
      </c>
      <c r="KD4">
        <v>3.6894923258559618E-11</v>
      </c>
      <c r="KE4">
        <v>1.0625737898465171E-11</v>
      </c>
      <c r="KF4">
        <v>1.5348288075560801E-11</v>
      </c>
      <c r="KG4" s="42">
        <v>0</v>
      </c>
      <c r="KH4" s="42">
        <v>0</v>
      </c>
      <c r="KI4" s="42">
        <v>3.7485242030696573E-11</v>
      </c>
      <c r="KJ4" s="42">
        <v>8.5596221959858318E-11</v>
      </c>
      <c r="KK4" s="42">
        <v>2.8482880755608028E-11</v>
      </c>
      <c r="KL4">
        <v>0</v>
      </c>
      <c r="KM4">
        <v>5.165289256198347E-11</v>
      </c>
      <c r="KN4">
        <v>0</v>
      </c>
      <c r="KO4">
        <v>2.420306965761511E-11</v>
      </c>
      <c r="KP4" s="42">
        <v>2.1103896103896102E-11</v>
      </c>
      <c r="KQ4">
        <v>9.8878394332939785E-11</v>
      </c>
      <c r="KR4" s="42">
        <v>1.1511216056670603E-11</v>
      </c>
      <c r="KS4">
        <v>8.913813459268005E-11</v>
      </c>
      <c r="KT4">
        <v>1.1747343565525384E-10</v>
      </c>
      <c r="KU4">
        <v>1.0537190082644626E-10</v>
      </c>
      <c r="KV4">
        <v>0</v>
      </c>
      <c r="KW4">
        <v>1.1525974025974025E-10</v>
      </c>
      <c r="KX4">
        <v>1.6233766233766234E-11</v>
      </c>
    </row>
    <row r="5" spans="1:310" x14ac:dyDescent="0.35">
      <c r="A5">
        <v>1.2664186186026527E-10</v>
      </c>
      <c r="B5">
        <v>7.5257551662024796E-11</v>
      </c>
      <c r="C5">
        <v>0</v>
      </c>
      <c r="D5">
        <v>2.4691752599685479E-10</v>
      </c>
      <c r="E5">
        <v>1.70295789108328E-10</v>
      </c>
      <c r="F5">
        <v>1.6506641240673714E-10</v>
      </c>
      <c r="G5">
        <v>2.2008854987564957E-10</v>
      </c>
      <c r="H5">
        <v>2.4282497031734888E-10</v>
      </c>
      <c r="I5">
        <v>1.1982093572775545E-10</v>
      </c>
      <c r="J5">
        <v>1.0201831852190489E-9</v>
      </c>
      <c r="K5">
        <v>8.0259564159198647E-11</v>
      </c>
      <c r="L5">
        <v>1.0940765516545719E-9</v>
      </c>
      <c r="M5">
        <v>0</v>
      </c>
      <c r="N5">
        <v>7.6621736888526753E-11</v>
      </c>
      <c r="O5">
        <v>8.685312608729145E-11</v>
      </c>
      <c r="P5">
        <v>1.1754729368358555E-10</v>
      </c>
      <c r="Q5">
        <v>4.3199198839228732E-12</v>
      </c>
      <c r="R5">
        <v>1.2186721356750841E-10</v>
      </c>
      <c r="S5">
        <v>0</v>
      </c>
      <c r="T5">
        <v>1.2505031242934634E-11</v>
      </c>
      <c r="U5">
        <v>0</v>
      </c>
      <c r="V5">
        <v>1.8825756125727045E-10</v>
      </c>
      <c r="W5">
        <v>7.3029382458738251E-10</v>
      </c>
      <c r="X5">
        <v>1.2060491493383744E-10</v>
      </c>
      <c r="Y5">
        <v>1.3869216469436594E-11</v>
      </c>
      <c r="Z5">
        <v>7.1392360186935908E-11</v>
      </c>
      <c r="AA5">
        <v>3.5696180093467954E-11</v>
      </c>
      <c r="AB5">
        <v>0</v>
      </c>
      <c r="AC5">
        <v>0</v>
      </c>
      <c r="AD5">
        <v>6.6845076098596034E-11</v>
      </c>
      <c r="AE5">
        <v>-4.5472840883398668E-13</v>
      </c>
      <c r="AF5">
        <v>4.2062377817143768E-11</v>
      </c>
      <c r="AG5">
        <v>1.0845272550690579E-10</v>
      </c>
      <c r="AH5">
        <v>2.1190343851663777E-10</v>
      </c>
      <c r="AI5">
        <v>8.3442663021036551E-11</v>
      </c>
      <c r="AJ5">
        <v>9.2537231197716286E-11</v>
      </c>
      <c r="AK5">
        <v>6.7072440303013029E-11</v>
      </c>
      <c r="AL5">
        <v>1.0413280562298297E-10</v>
      </c>
      <c r="AM5">
        <v>1.2868813970001823E-10</v>
      </c>
      <c r="AN5">
        <v>-3.2967809640464033E-11</v>
      </c>
      <c r="AO5">
        <v>1.5733602945655936E-10</v>
      </c>
      <c r="AP5">
        <v>1.0094970676114505E-10</v>
      </c>
      <c r="AQ5">
        <v>2.1713281521822863E-10</v>
      </c>
      <c r="AR5">
        <v>1.2937023231326921E-10</v>
      </c>
      <c r="AS5">
        <v>1.6006439990956333E-10</v>
      </c>
      <c r="AT5">
        <v>1.0663381187156988E-10</v>
      </c>
      <c r="AU5">
        <v>1.6279277036256722E-10</v>
      </c>
      <c r="AV5">
        <v>1.6643059763323914E-10</v>
      </c>
      <c r="AW5">
        <v>1.8984911068818941E-10</v>
      </c>
      <c r="AX5">
        <v>1.5324347377705351E-10</v>
      </c>
      <c r="AY5">
        <v>6.4184914906917216E-10</v>
      </c>
      <c r="AZ5">
        <v>3.8742860432655661E-10</v>
      </c>
      <c r="BA5">
        <v>1.7020484342656122E-9</v>
      </c>
      <c r="BB5">
        <v>7.575775291174218E-10</v>
      </c>
      <c r="BC5">
        <v>1.941690305721123E-9</v>
      </c>
      <c r="BD5">
        <v>1.0697485817819535E-9</v>
      </c>
      <c r="BE5">
        <v>1.6415695558906916E-10</v>
      </c>
      <c r="BF5">
        <v>1.0845272550690579E-10</v>
      </c>
      <c r="BG5">
        <v>7.0028174960433938E-11</v>
      </c>
      <c r="BH5">
        <v>1.2505031242934634E-10</v>
      </c>
      <c r="BI5">
        <v>1.7075051751716199E-10</v>
      </c>
      <c r="BJ5">
        <v>3.3990948560340504E-10</v>
      </c>
      <c r="BK5">
        <v>3.6378272706718932E-11</v>
      </c>
      <c r="BL5">
        <v>1.8984911068818941E-10</v>
      </c>
      <c r="BM5">
        <v>0</v>
      </c>
      <c r="BN5">
        <v>6.2525156214673168E-11</v>
      </c>
      <c r="BO5">
        <v>1.1959357152333848E-10</v>
      </c>
      <c r="BP5">
        <v>4.0698192590641805E-11</v>
      </c>
      <c r="BQ5">
        <v>1.2300403458959341E-10</v>
      </c>
      <c r="BR5">
        <v>1.0686117607598687E-10</v>
      </c>
      <c r="BS5">
        <v>8.2760570407785566E-11</v>
      </c>
      <c r="BT5">
        <v>9.1855138584465301E-11</v>
      </c>
      <c r="BU5">
        <v>4.5018112474564683E-11</v>
      </c>
      <c r="BV5">
        <v>1.3255333117510712E-10</v>
      </c>
      <c r="BW5">
        <v>1.8348291296451361E-10</v>
      </c>
      <c r="BX5">
        <v>9.3446688015384266E-11</v>
      </c>
      <c r="BY5">
        <v>1.4483099821362474E-10</v>
      </c>
      <c r="BZ5">
        <v>7.9350107341530667E-11</v>
      </c>
      <c r="CA5">
        <v>1.1777465788800255E-10</v>
      </c>
      <c r="CB5">
        <v>6.7299804507430011E-11</v>
      </c>
      <c r="CC5">
        <v>0</v>
      </c>
      <c r="CD5">
        <v>9.7084515286056134E-11</v>
      </c>
      <c r="CE5">
        <v>1.1300000959524567E-10</v>
      </c>
      <c r="CF5">
        <v>2.8647889756541158E-11</v>
      </c>
      <c r="CG5">
        <v>1.200482999321725E-10</v>
      </c>
      <c r="CH5">
        <v>1.5392556639030449E-10</v>
      </c>
      <c r="CI5">
        <v>8.6398397678457463E-12</v>
      </c>
      <c r="CJ5">
        <v>1.7961772148942474E-11</v>
      </c>
      <c r="CK5">
        <v>1.3869216469436593E-10</v>
      </c>
      <c r="CL5">
        <v>4.7064390314317612E-11</v>
      </c>
      <c r="CM5">
        <v>7.7985922115028723E-11</v>
      </c>
      <c r="CN5">
        <v>1.9780685784278418E-11</v>
      </c>
      <c r="CO5">
        <v>1.0845272550690579E-10</v>
      </c>
      <c r="CP5">
        <v>4.2971834634811735E-11</v>
      </c>
      <c r="CQ5">
        <v>2.5692155099120242E-11</v>
      </c>
      <c r="CR5">
        <v>8.8444675518210402E-11</v>
      </c>
      <c r="CS5">
        <v>1.737062521745829E-10</v>
      </c>
      <c r="CT5">
        <v>1.3778270787669795E-10</v>
      </c>
      <c r="CU5">
        <v>0</v>
      </c>
      <c r="CV5">
        <v>3.1148896005128093E-11</v>
      </c>
      <c r="CW5">
        <v>1.3187123856185613E-10</v>
      </c>
      <c r="CX5">
        <v>1.1913884311450452E-10</v>
      </c>
      <c r="CY5">
        <v>7.3893366435522839E-11</v>
      </c>
      <c r="CZ5">
        <v>1.3437224481044305E-10</v>
      </c>
      <c r="DA5">
        <v>1.2891550390443522E-10</v>
      </c>
      <c r="DB5">
        <v>1.3255333117510712E-10</v>
      </c>
      <c r="DC5">
        <v>7.2529181209020869E-11</v>
      </c>
      <c r="DD5">
        <v>9.8221336308141122E-11</v>
      </c>
      <c r="DE5">
        <v>8.2760570407785566E-11</v>
      </c>
      <c r="DF5">
        <v>1.1209055277757771E-10</v>
      </c>
      <c r="DG5">
        <v>0</v>
      </c>
      <c r="DH5">
        <v>1.320986027662731E-10</v>
      </c>
      <c r="DI5" s="23">
        <v>7.4628699999999999E-10</v>
      </c>
      <c r="DJ5" s="23">
        <v>1.22792E-9</v>
      </c>
      <c r="DK5" s="23">
        <v>5.6464000000000003E-10</v>
      </c>
      <c r="DL5" s="23">
        <v>2.09563E-10</v>
      </c>
      <c r="DM5" s="23">
        <v>5.0540100000000004E-10</v>
      </c>
      <c r="DN5" s="23">
        <v>7.3548499999999997E-10</v>
      </c>
      <c r="DO5" s="23">
        <v>3.00567E-10</v>
      </c>
      <c r="DP5" s="23">
        <v>1.4299200000000001E-10</v>
      </c>
      <c r="DQ5" s="23">
        <v>3.81177E-10</v>
      </c>
      <c r="DR5" s="23">
        <v>1.1801200000000001E-10</v>
      </c>
      <c r="DS5" s="23">
        <v>1.17175E-9</v>
      </c>
      <c r="DT5" s="23">
        <v>1.14164E-9</v>
      </c>
      <c r="DU5" s="23">
        <v>9.7582999999999993E-10</v>
      </c>
      <c r="DV5" s="23">
        <v>1.24089E-10</v>
      </c>
      <c r="DW5" s="23">
        <v>4.4585500000000001E-10</v>
      </c>
      <c r="DX5" s="23">
        <v>1.83905E-10</v>
      </c>
      <c r="DY5">
        <v>1.6086186540731995E-10</v>
      </c>
      <c r="DZ5" s="23">
        <v>4.2798099999999999E-11</v>
      </c>
      <c r="EA5" s="23">
        <v>1.1319399999999999E-10</v>
      </c>
      <c r="EB5">
        <v>1.12012987012987E-10</v>
      </c>
      <c r="EC5">
        <v>2.1989374262101536E-10</v>
      </c>
      <c r="ED5">
        <v>7.8069657615112155E-11</v>
      </c>
      <c r="EE5">
        <v>1.607142857142857E-10</v>
      </c>
      <c r="EF5">
        <v>1.7606257378984653E-10</v>
      </c>
      <c r="EG5">
        <v>2.3214285714285712E-10</v>
      </c>
      <c r="EH5" s="23">
        <v>1.2381900000000001E-10</v>
      </c>
      <c r="EI5" s="23">
        <v>1.6632199999999999E-10</v>
      </c>
      <c r="EJ5" s="23">
        <v>2.4055499999999999E-11</v>
      </c>
      <c r="EK5" s="23">
        <v>2.4055499999999999E-11</v>
      </c>
      <c r="EL5" s="23">
        <v>4.2798099999999999E-11</v>
      </c>
      <c r="EM5" s="23">
        <v>6.9657600000000006E-11</v>
      </c>
      <c r="EN5" s="23">
        <v>3.2467500000000003E-11</v>
      </c>
      <c r="EO5" s="23">
        <v>1.27066E-10</v>
      </c>
      <c r="EP5" s="23">
        <v>9.5779199999999995E-11</v>
      </c>
      <c r="EQ5" s="23">
        <v>1.3809000000000001E-9</v>
      </c>
      <c r="ER5" s="23">
        <v>1.06243E-9</v>
      </c>
      <c r="ES5">
        <v>3.1446280991735539E-9</v>
      </c>
      <c r="ET5">
        <v>1.5909090909090911E-10</v>
      </c>
      <c r="EU5">
        <v>7.6889020070838244E-11</v>
      </c>
      <c r="EV5">
        <v>5.3866587957497042E-11</v>
      </c>
      <c r="EW5">
        <v>2.3243801652892564E-10</v>
      </c>
      <c r="EX5">
        <v>1.3518299881936247E-10</v>
      </c>
      <c r="EY5">
        <v>8.2939787485242022E-11</v>
      </c>
      <c r="EZ5">
        <v>8.1611570247933887E-11</v>
      </c>
      <c r="FA5">
        <v>1.3385478158205429E-10</v>
      </c>
      <c r="FB5">
        <v>5.9031877213695397E-11</v>
      </c>
      <c r="FC5">
        <v>8.6334120425029504E-11</v>
      </c>
      <c r="FD5">
        <v>7.969303423848879E-11</v>
      </c>
      <c r="FE5">
        <v>1.1511216056670602E-10</v>
      </c>
      <c r="FF5">
        <v>1.5112160566706022E-10</v>
      </c>
      <c r="FG5">
        <v>1.3872491145218416E-11</v>
      </c>
      <c r="FH5">
        <v>3.1139315230224321E-11</v>
      </c>
      <c r="FI5">
        <v>1.7606257378984653E-10</v>
      </c>
      <c r="FJ5">
        <v>6.2573789846517129E-11</v>
      </c>
      <c r="FK5">
        <v>1.790141676505313E-10</v>
      </c>
      <c r="FL5">
        <v>1.0906139315230223E-10</v>
      </c>
      <c r="FM5">
        <v>7.8659976387249116E-11</v>
      </c>
      <c r="FN5">
        <v>5.726092089728453E-11</v>
      </c>
      <c r="FO5">
        <v>6.6115702479338848E-11</v>
      </c>
      <c r="FP5">
        <v>1.3577331759149939E-10</v>
      </c>
      <c r="FQ5">
        <v>2.6593860684769774E-10</v>
      </c>
      <c r="FR5">
        <v>3.1404958677685947E-10</v>
      </c>
      <c r="FS5">
        <v>3.0194805194805199E-10</v>
      </c>
      <c r="FT5">
        <v>2.2889610389610387E-10</v>
      </c>
      <c r="FU5">
        <v>1.1171782762691853E-10</v>
      </c>
      <c r="FV5">
        <v>5.5637544273907902E-11</v>
      </c>
      <c r="FW5">
        <v>5.4914403778040138E-10</v>
      </c>
      <c r="FX5">
        <v>2.1413813459268002E-10</v>
      </c>
      <c r="FY5">
        <v>1.6159976387249113E-10</v>
      </c>
      <c r="FZ5">
        <v>1.4639905548996457E-10</v>
      </c>
      <c r="GA5">
        <v>1.1555489964580872E-10</v>
      </c>
      <c r="GB5">
        <v>1.5702479338842973E-10</v>
      </c>
      <c r="GC5">
        <v>1.1216056670602125E-10</v>
      </c>
      <c r="GD5">
        <v>1.6322314049586777E-10</v>
      </c>
      <c r="GE5">
        <v>1.3134592680047225E-10</v>
      </c>
      <c r="GF5">
        <v>1.4772727272727272E-10</v>
      </c>
      <c r="GG5">
        <v>3.4755017709563164E-10</v>
      </c>
      <c r="GH5">
        <v>2.5472255017709566E-10</v>
      </c>
      <c r="GI5">
        <v>1.9657615112160567E-10</v>
      </c>
      <c r="GJ5">
        <v>3.0298110979929166E-10</v>
      </c>
      <c r="GK5">
        <v>8.8267414403778047E-10</v>
      </c>
      <c r="GL5">
        <v>7.923553719008264E-10</v>
      </c>
      <c r="GM5">
        <v>5.5061983471074383E-10</v>
      </c>
      <c r="GN5">
        <v>2.8068181818181816E-9</v>
      </c>
      <c r="GO5">
        <v>7.9117473435655251E-10</v>
      </c>
      <c r="GP5">
        <v>6.3488783943329397E-10</v>
      </c>
      <c r="GQ5">
        <v>5.3999409681227864E-10</v>
      </c>
      <c r="GR5">
        <v>6.0330578512396687E-10</v>
      </c>
      <c r="GS5">
        <v>9.7682998819362447E-10</v>
      </c>
      <c r="GT5">
        <v>3.0032467532467531E-10</v>
      </c>
      <c r="GU5">
        <v>8.2497048406139308E-10</v>
      </c>
      <c r="GV5">
        <v>5.659681227863046E-10</v>
      </c>
      <c r="GW5">
        <v>4.7830578512396689E-10</v>
      </c>
      <c r="GX5">
        <v>1.2500000000000001E-10</v>
      </c>
      <c r="GY5">
        <v>1.2249114521841796E-10</v>
      </c>
      <c r="GZ5">
        <v>7.0247933884297504E-11</v>
      </c>
      <c r="HA5">
        <v>9.0761511216056673E-11</v>
      </c>
      <c r="HB5">
        <v>1.6425619834710745E-10</v>
      </c>
      <c r="HC5">
        <v>1.1791617473435654E-10</v>
      </c>
      <c r="HD5">
        <v>2.8689492325855966E-10</v>
      </c>
      <c r="HE5">
        <v>5.0649350649350652E-10</v>
      </c>
      <c r="HF5">
        <v>4.7653482880755609E-10</v>
      </c>
      <c r="HG5">
        <v>5.3158205430932703E-10</v>
      </c>
      <c r="HH5">
        <v>6.7842384887839428E-10</v>
      </c>
      <c r="HI5">
        <v>5.498819362455726E-10</v>
      </c>
      <c r="HJ5">
        <v>4.688606847697757E-10</v>
      </c>
      <c r="HK5">
        <v>5.4663518299881936E-10</v>
      </c>
      <c r="HL5">
        <v>6.6794569067296332E-10</v>
      </c>
      <c r="HM5">
        <v>5.188902007083825E-10</v>
      </c>
      <c r="HN5">
        <v>5.4324085005903189E-10</v>
      </c>
      <c r="HO5">
        <v>3.9123376623376627E-10</v>
      </c>
      <c r="HP5">
        <v>7.7405548996458094E-10</v>
      </c>
      <c r="HQ5">
        <v>1.4979338842975204E-9</v>
      </c>
      <c r="HR5">
        <v>7.2476387249114516E-10</v>
      </c>
      <c r="HS5">
        <v>1.4715171192443919E-9</v>
      </c>
      <c r="HT5">
        <v>6.0832349468713112E-10</v>
      </c>
      <c r="HU5">
        <v>5.3394332939787472E-10</v>
      </c>
      <c r="HV5">
        <v>4.5469303423848872E-10</v>
      </c>
      <c r="HW5">
        <v>5.4634002361275091E-10</v>
      </c>
      <c r="HX5">
        <v>1.4515938606847697E-9</v>
      </c>
      <c r="HY5">
        <v>1.5540141676505311E-10</v>
      </c>
      <c r="HZ5">
        <v>6.689787485242031E-10</v>
      </c>
      <c r="IA5">
        <v>4.0392561983471075E-10</v>
      </c>
      <c r="IB5">
        <v>4.4362455726092081E-10</v>
      </c>
      <c r="IC5">
        <v>3.3456316410861871E-10</v>
      </c>
      <c r="ID5">
        <v>7.7626918536009451E-10</v>
      </c>
      <c r="IE5">
        <v>1.6353305785123966E-9</v>
      </c>
      <c r="IF5">
        <v>7.0410271546635189E-10</v>
      </c>
      <c r="IG5">
        <v>2.7656434474616287E-10</v>
      </c>
      <c r="IH5">
        <v>5.0619834710743797E-10</v>
      </c>
      <c r="II5">
        <v>4.9616292798110979E-10</v>
      </c>
      <c r="IJ5">
        <v>7.0100354191263279E-11</v>
      </c>
      <c r="IK5">
        <v>2.3642266824085004E-10</v>
      </c>
      <c r="IL5">
        <v>6.8181818181818195E-11</v>
      </c>
      <c r="IM5">
        <v>7.5560802833530109E-11</v>
      </c>
      <c r="IN5">
        <v>2.1384297520661154E-10</v>
      </c>
      <c r="IO5">
        <v>1.9997048406139317E-10</v>
      </c>
      <c r="IP5">
        <v>3.0401416765053128E-11</v>
      </c>
      <c r="IQ5">
        <v>1.1806375442739079E-10</v>
      </c>
      <c r="IR5">
        <v>1.0876623376623377E-10</v>
      </c>
      <c r="IS5">
        <v>2.9353600944510032E-10</v>
      </c>
      <c r="IT5">
        <v>1.2322904368358911E-10</v>
      </c>
      <c r="IU5">
        <v>6.0950413223140494E-11</v>
      </c>
      <c r="IV5">
        <v>1.6794569067296342E-10</v>
      </c>
      <c r="IW5">
        <v>1.8137544273907907E-10</v>
      </c>
      <c r="IX5">
        <v>0</v>
      </c>
      <c r="IY5">
        <v>1.1452184179456906E-10</v>
      </c>
      <c r="IZ5">
        <v>5.1037977174340826E-11</v>
      </c>
      <c r="JA5">
        <v>4.9316214088941364E-11</v>
      </c>
      <c r="JB5">
        <v>3.7103994490358135E-10</v>
      </c>
      <c r="JC5">
        <v>3.445985832349469E-10</v>
      </c>
      <c r="JD5">
        <v>9.1456611570247935E-10</v>
      </c>
      <c r="JE5">
        <v>1.8911107831562382E-9</v>
      </c>
      <c r="JF5">
        <v>5.2728305785123979E-9</v>
      </c>
      <c r="JG5">
        <v>1.0404368358913815E-10</v>
      </c>
      <c r="JH5">
        <v>0</v>
      </c>
      <c r="JI5">
        <v>3.3353010625737892E-11</v>
      </c>
      <c r="JJ5">
        <v>1.0448642266824085E-10</v>
      </c>
      <c r="JK5">
        <v>1.5008854781582052E-10</v>
      </c>
      <c r="JL5">
        <v>2.2195985832349466E-10</v>
      </c>
      <c r="JM5">
        <v>2.2284533648170013E-11</v>
      </c>
      <c r="JN5">
        <v>2.8040141676505308E-12</v>
      </c>
      <c r="JO5">
        <v>7.1723730814639915E-11</v>
      </c>
      <c r="JP5">
        <v>1.5171192443919717E-10</v>
      </c>
      <c r="JQ5">
        <v>5.8736717827626922E-11</v>
      </c>
      <c r="JR5">
        <v>9.7845336481700112E-11</v>
      </c>
      <c r="JS5">
        <v>1.2116292798110981E-10</v>
      </c>
      <c r="JT5">
        <v>0</v>
      </c>
      <c r="JU5">
        <v>8.6776859504132229E-11</v>
      </c>
      <c r="JV5">
        <v>6.3606847697756777E-11</v>
      </c>
      <c r="JW5">
        <v>1.9893742621015349E-10</v>
      </c>
      <c r="JX5" s="23">
        <v>1E-8</v>
      </c>
      <c r="JY5">
        <v>1.4197166469893738E-10</v>
      </c>
      <c r="JZ5">
        <v>7.1428571428571427E-11</v>
      </c>
      <c r="KA5">
        <v>-2.9368358913813461E-11</v>
      </c>
      <c r="KB5" s="42">
        <v>6.4935064935064938E-11</v>
      </c>
      <c r="KC5">
        <v>2.4335891381345925E-10</v>
      </c>
      <c r="KD5">
        <v>1.7975206611570247E-10</v>
      </c>
      <c r="KE5">
        <v>1.8742621015348287E-11</v>
      </c>
      <c r="KF5">
        <v>3.5566706021251477E-11</v>
      </c>
      <c r="KG5" s="23">
        <v>1E-8</v>
      </c>
      <c r="KH5" s="23">
        <v>1E-8</v>
      </c>
      <c r="KI5" s="42">
        <v>1.8019480519480522E-10</v>
      </c>
      <c r="KJ5" s="42">
        <v>9.7255017709563163E-11</v>
      </c>
      <c r="KK5" s="42">
        <v>2.420306965761511E-11</v>
      </c>
      <c r="KL5">
        <v>2.6564344746162928E-12</v>
      </c>
      <c r="KM5">
        <v>4.5011806375442737E-11</v>
      </c>
      <c r="KN5">
        <v>6.2868949232585591E-11</v>
      </c>
      <c r="KO5">
        <v>7.762691853600943E-11</v>
      </c>
      <c r="KP5" s="42">
        <v>0</v>
      </c>
      <c r="KQ5">
        <v>1.1289846517119245E-10</v>
      </c>
      <c r="KR5" s="42">
        <v>1.3474025974025977E-10</v>
      </c>
      <c r="KS5">
        <v>2.5073789846517119E-10</v>
      </c>
      <c r="KT5">
        <v>1.3208382526564342E-10</v>
      </c>
      <c r="KU5">
        <v>1.7680047225501773E-10</v>
      </c>
      <c r="KV5">
        <v>5.7851239669421479E-11</v>
      </c>
      <c r="KW5">
        <v>1.4034828807556078E-10</v>
      </c>
      <c r="KX5">
        <v>1.1142266824085005E-10</v>
      </c>
    </row>
    <row r="6" spans="1:310" x14ac:dyDescent="0.35">
      <c r="A6">
        <v>1.7302415956133194E-10</v>
      </c>
      <c r="B6">
        <v>1.3414488060602607E-11</v>
      </c>
      <c r="C6">
        <v>0</v>
      </c>
      <c r="D6">
        <v>2.8875253960958151E-10</v>
      </c>
      <c r="E6">
        <v>2.5487527315144954E-10</v>
      </c>
      <c r="F6">
        <v>1.1686520107033457E-10</v>
      </c>
      <c r="G6">
        <v>2.6055937826187439E-10</v>
      </c>
      <c r="H6">
        <v>5.647726837718115E-10</v>
      </c>
      <c r="I6">
        <v>2.4964589644985868E-10</v>
      </c>
      <c r="J6">
        <v>2.5323825087964718E-9</v>
      </c>
      <c r="K6">
        <v>1.0004024994347707E-10</v>
      </c>
      <c r="L6">
        <v>1.0592898283787719E-9</v>
      </c>
      <c r="M6">
        <v>0</v>
      </c>
      <c r="N6">
        <v>2.4100605668201297E-11</v>
      </c>
      <c r="O6">
        <v>1.5187928855055154E-10</v>
      </c>
      <c r="P6">
        <v>8.4124755634287536E-11</v>
      </c>
      <c r="Q6">
        <v>8.9126768131461374E-11</v>
      </c>
      <c r="R6">
        <v>7.8668014728279682E-11</v>
      </c>
      <c r="S6">
        <v>0</v>
      </c>
      <c r="T6">
        <v>0</v>
      </c>
      <c r="U6">
        <v>0</v>
      </c>
      <c r="V6">
        <v>2.3759559361575802E-10</v>
      </c>
      <c r="W6">
        <v>1.0717948596217065E-9</v>
      </c>
      <c r="X6">
        <v>2.4577819785759291E-10</v>
      </c>
      <c r="Y6">
        <v>3.7515093728803901E-11</v>
      </c>
      <c r="Z6">
        <v>0</v>
      </c>
      <c r="AA6">
        <v>4.9792760767321539E-11</v>
      </c>
      <c r="AB6">
        <v>0</v>
      </c>
      <c r="AC6">
        <v>4.0925556795058798E-12</v>
      </c>
      <c r="AD6">
        <v>0</v>
      </c>
      <c r="AE6">
        <v>-9.0945681766797337E-13</v>
      </c>
      <c r="AF6">
        <v>1.0117707096556203E-10</v>
      </c>
      <c r="AG6">
        <v>-1.5915494309189532E-11</v>
      </c>
      <c r="AH6">
        <v>2.8238634188590575E-10</v>
      </c>
      <c r="AI6">
        <v>2.1144871010780381E-10</v>
      </c>
      <c r="AJ6">
        <v>1.6097385672723128E-10</v>
      </c>
      <c r="AK6">
        <v>1.0754326868923785E-10</v>
      </c>
      <c r="AL6">
        <v>1.4369417719153979E-10</v>
      </c>
      <c r="AM6">
        <v>1.7507043740108487E-10</v>
      </c>
      <c r="AN6">
        <v>5.2066402811491483E-11</v>
      </c>
      <c r="AO6">
        <v>1.9212275273235936E-10</v>
      </c>
      <c r="AP6">
        <v>1.7916299308059075E-10</v>
      </c>
      <c r="AQ6">
        <v>3.2376662708979853E-10</v>
      </c>
      <c r="AR6">
        <v>2.2713684021257631E-10</v>
      </c>
      <c r="AS6">
        <v>2.1622335840056065E-10</v>
      </c>
      <c r="AT6">
        <v>2.0167204931787305E-10</v>
      </c>
      <c r="AU6">
        <v>2.1485917317405866E-10</v>
      </c>
      <c r="AV6">
        <v>2.2054327828448353E-10</v>
      </c>
      <c r="AW6">
        <v>2.4396179133943383E-10</v>
      </c>
      <c r="AX6">
        <v>2.5169217428961161E-10</v>
      </c>
      <c r="AY6">
        <v>7.6121535638809351E-10</v>
      </c>
      <c r="AZ6">
        <v>4.46088569066141E-10</v>
      </c>
      <c r="BA6">
        <v>2.6028654121657397E-9</v>
      </c>
      <c r="BB6">
        <v>1.4201168207885403E-9</v>
      </c>
      <c r="BC6">
        <v>3.5662075462805401E-9</v>
      </c>
      <c r="BD6">
        <v>1.7786701711541388E-9</v>
      </c>
      <c r="BE6">
        <v>2.2827366123466126E-10</v>
      </c>
      <c r="BF6">
        <v>2.6988131064297105E-10</v>
      </c>
      <c r="BG6">
        <v>1.200482999321725E-10</v>
      </c>
      <c r="BH6">
        <v>2.3031993907441424E-10</v>
      </c>
      <c r="BI6">
        <v>3.6969419638203115E-10</v>
      </c>
      <c r="BJ6">
        <v>6.1138234567729509E-10</v>
      </c>
      <c r="BK6">
        <v>1.5392556639030449E-10</v>
      </c>
      <c r="BL6">
        <v>4.804205639331068E-10</v>
      </c>
      <c r="BM6">
        <v>0</v>
      </c>
      <c r="BN6">
        <v>5.0929581789406508E-11</v>
      </c>
      <c r="BO6">
        <v>1.3482697321927707E-10</v>
      </c>
      <c r="BP6">
        <v>1.0026761414789405E-10</v>
      </c>
      <c r="BQ6">
        <v>1.2641449765584828E-10</v>
      </c>
      <c r="BR6">
        <v>9.481087324188621E-11</v>
      </c>
      <c r="BS6">
        <v>3.5468815889050965E-11</v>
      </c>
      <c r="BT6">
        <v>1.4187526355620386E-10</v>
      </c>
      <c r="BU6">
        <v>6.320724882792414E-11</v>
      </c>
      <c r="BV6">
        <v>1.5665393684330841E-10</v>
      </c>
      <c r="BW6">
        <v>1.568813010477254E-10</v>
      </c>
      <c r="BX6">
        <v>1.4483099821362474E-10</v>
      </c>
      <c r="BY6">
        <v>7.4120730639939821E-11</v>
      </c>
      <c r="BZ6">
        <v>1.6461168399790315E-10</v>
      </c>
      <c r="CA6">
        <v>1.4187526355620386E-10</v>
      </c>
      <c r="CB6">
        <v>1.7961772148942474E-11</v>
      </c>
      <c r="CC6">
        <v>4.0698192590641805E-11</v>
      </c>
      <c r="CD6">
        <v>6.9118718142765971E-11</v>
      </c>
      <c r="CE6">
        <v>6.8663989733931994E-11</v>
      </c>
      <c r="CF6">
        <v>1.9416903057211227E-10</v>
      </c>
      <c r="CG6">
        <v>2.419155134996809E-10</v>
      </c>
      <c r="CH6">
        <v>2.1826963624031355E-10</v>
      </c>
      <c r="CI6">
        <v>0</v>
      </c>
      <c r="CJ6">
        <v>4.0243464181807821E-11</v>
      </c>
      <c r="CK6">
        <v>1.2050302834100646E-10</v>
      </c>
      <c r="CL6">
        <v>1.916680243235254E-10</v>
      </c>
      <c r="CM6">
        <v>3.685573753599462E-10</v>
      </c>
      <c r="CN6">
        <v>3.6082699240976843E-10</v>
      </c>
      <c r="CO6">
        <v>1.1936620731892149E-10</v>
      </c>
      <c r="CP6">
        <v>3.1057950323361287E-10</v>
      </c>
      <c r="CQ6">
        <v>1.7597989421875282E-10</v>
      </c>
      <c r="CR6">
        <v>3.7674248671895797E-10</v>
      </c>
      <c r="CS6">
        <v>5.1407046618682196E-10</v>
      </c>
      <c r="CT6">
        <v>3.6401009127160636E-10</v>
      </c>
      <c r="CU6">
        <v>1.466499118489607E-10</v>
      </c>
      <c r="CV6">
        <v>0</v>
      </c>
      <c r="CW6">
        <v>7.3552320128897347E-10</v>
      </c>
      <c r="CX6">
        <v>1.6643059763323914E-10</v>
      </c>
      <c r="CY6">
        <v>8.4806848247538508E-11</v>
      </c>
      <c r="CZ6">
        <v>1.4392154139595676E-10</v>
      </c>
      <c r="DA6">
        <v>1.5551711582122346E-10</v>
      </c>
      <c r="DB6">
        <v>1.734788879701659E-10</v>
      </c>
      <c r="DC6">
        <v>7.5484915866441778E-11</v>
      </c>
      <c r="DD6">
        <v>2.6624348337229924E-10</v>
      </c>
      <c r="DE6">
        <v>1.8643864762193452E-10</v>
      </c>
      <c r="DF6">
        <v>5.9569421557252259E-11</v>
      </c>
      <c r="DG6">
        <v>2.4919116804102474E-10</v>
      </c>
      <c r="DH6">
        <v>2.0258150613554106E-10</v>
      </c>
      <c r="DI6" s="23">
        <v>1.53983E-9</v>
      </c>
      <c r="DJ6" s="23">
        <v>2.4122300000000001E-9</v>
      </c>
      <c r="DK6" s="23">
        <v>7.7007100000000002E-10</v>
      </c>
      <c r="DL6" s="23">
        <v>4.9926200000000001E-10</v>
      </c>
      <c r="DM6" s="23">
        <v>1.29746E-9</v>
      </c>
      <c r="DN6" s="23">
        <v>1.70051E-9</v>
      </c>
      <c r="DO6" s="23">
        <v>8.84283E-10</v>
      </c>
      <c r="DP6" s="23">
        <v>1.8782100000000001E-10</v>
      </c>
      <c r="DQ6" s="23">
        <v>6.1423199999999997E-10</v>
      </c>
      <c r="DR6" s="23">
        <v>2.8449899999999999E-10</v>
      </c>
      <c r="DS6" s="23">
        <v>2.40427E-9</v>
      </c>
      <c r="DT6" s="23">
        <v>2.3266299999999999E-9</v>
      </c>
      <c r="DU6" s="23">
        <v>2.36281E-9</v>
      </c>
      <c r="DV6" s="23">
        <v>2.1401599999999999E-10</v>
      </c>
      <c r="DW6" s="23">
        <v>6.8687599999999998E-10</v>
      </c>
      <c r="DX6" s="23">
        <v>4.5260600000000002E-10</v>
      </c>
      <c r="DY6">
        <v>1.607142857142857E-10</v>
      </c>
      <c r="DZ6" s="23">
        <v>1.9923299999999999E-11</v>
      </c>
      <c r="EA6" s="23">
        <v>1.21606E-10</v>
      </c>
      <c r="EB6">
        <v>1.1644037780401417E-10</v>
      </c>
      <c r="EC6">
        <v>3.0726092089728458E-10</v>
      </c>
      <c r="ED6">
        <v>1.9465761511216055E-10</v>
      </c>
      <c r="EE6">
        <v>2.0646399055489963E-10</v>
      </c>
      <c r="EF6">
        <v>2.2063164108618654E-10</v>
      </c>
      <c r="EG6">
        <v>3.3589138134592683E-10</v>
      </c>
      <c r="EH6" s="23">
        <v>2.5693600000000001E-10</v>
      </c>
      <c r="EI6" s="23">
        <v>3.2733200000000001E-10</v>
      </c>
      <c r="EJ6" s="23">
        <v>4.9734399999999999E-11</v>
      </c>
      <c r="EK6" s="23">
        <v>4.9734399999999999E-11</v>
      </c>
      <c r="EL6" s="23">
        <v>1.2072E-10</v>
      </c>
      <c r="EM6" s="23">
        <v>8.7219599999999999E-11</v>
      </c>
      <c r="EN6" s="23">
        <v>1.2942700000000001E-10</v>
      </c>
      <c r="EO6" s="23">
        <v>3.5419100000000003E-11</v>
      </c>
      <c r="EP6" s="23">
        <v>1.1939200000000001E-10</v>
      </c>
      <c r="EQ6" s="23">
        <v>1.80947E-9</v>
      </c>
      <c r="ER6" s="23">
        <v>1.9830299999999999E-9</v>
      </c>
      <c r="ES6">
        <v>3.2818772136953951E-9</v>
      </c>
      <c r="ET6">
        <v>2.5177095631641086E-10</v>
      </c>
      <c r="EU6">
        <v>2.4409681227863042E-10</v>
      </c>
      <c r="EV6">
        <v>1.123081463990555E-10</v>
      </c>
      <c r="EW6">
        <v>2.7036599763872493E-10</v>
      </c>
      <c r="EX6">
        <v>1.453659976387249E-10</v>
      </c>
      <c r="EY6">
        <v>8.0135773317591502E-11</v>
      </c>
      <c r="EZ6">
        <v>1.5540141676505311E-10</v>
      </c>
      <c r="FA6">
        <v>1.9377213695395515E-10</v>
      </c>
      <c r="FB6">
        <v>9.3122786304604481E-11</v>
      </c>
      <c r="FC6">
        <v>1.1894923258559622E-10</v>
      </c>
      <c r="FD6">
        <v>1.3636363636363639E-10</v>
      </c>
      <c r="FE6">
        <v>1.6159976387249113E-10</v>
      </c>
      <c r="FF6">
        <v>2.3819362455726093E-10</v>
      </c>
      <c r="FG6">
        <v>8.2792207792207785E-11</v>
      </c>
      <c r="FH6">
        <v>9.2975206611570244E-11</v>
      </c>
      <c r="FI6">
        <v>1.6322314049586777E-10</v>
      </c>
      <c r="FJ6">
        <v>1.4728453364817002E-10</v>
      </c>
      <c r="FK6">
        <v>3.0327626918536011E-10</v>
      </c>
      <c r="FL6">
        <v>1.453659976387249E-10</v>
      </c>
      <c r="FM6">
        <v>1.5879574970484063E-10</v>
      </c>
      <c r="FN6">
        <v>1.4020070838252657E-11</v>
      </c>
      <c r="FO6">
        <v>7.8512396694214866E-11</v>
      </c>
      <c r="FP6">
        <v>1.6086186540731995E-10</v>
      </c>
      <c r="FQ6">
        <v>5.0442739079102717E-10</v>
      </c>
      <c r="FR6">
        <v>4.3314639905549001E-10</v>
      </c>
      <c r="FS6">
        <v>3.1951003541912633E-10</v>
      </c>
      <c r="FT6">
        <v>2.4645808736717822E-10</v>
      </c>
      <c r="FU6">
        <v>2.1797520661157024E-10</v>
      </c>
      <c r="FV6">
        <v>1.1024203069657614E-10</v>
      </c>
      <c r="FW6">
        <v>8.3913813459268006E-10</v>
      </c>
      <c r="FX6">
        <v>3.5522432113341208E-10</v>
      </c>
      <c r="FY6">
        <v>2.0926800472255018E-10</v>
      </c>
      <c r="FZ6">
        <v>1.7576741440377805E-10</v>
      </c>
      <c r="GA6">
        <v>1.7045454545454546E-10</v>
      </c>
      <c r="GB6">
        <v>2.3701298701298698E-10</v>
      </c>
      <c r="GC6">
        <v>3.9772727272727271E-10</v>
      </c>
      <c r="GD6">
        <v>3.5197756788665883E-10</v>
      </c>
      <c r="GE6">
        <v>3.3293978748524199E-10</v>
      </c>
      <c r="GF6">
        <v>2.1694214876033059E-10</v>
      </c>
      <c r="GG6">
        <v>5.2051357733175928E-10</v>
      </c>
      <c r="GH6">
        <v>4.3137544273907906E-10</v>
      </c>
      <c r="GI6">
        <v>2.4881936245572612E-10</v>
      </c>
      <c r="GJ6">
        <v>8.1951003541912626E-10</v>
      </c>
      <c r="GK6">
        <v>1.872343565525384E-9</v>
      </c>
      <c r="GL6">
        <v>2.091351829988194E-9</v>
      </c>
      <c r="GM6">
        <v>1.6539256198347105E-9</v>
      </c>
      <c r="GN6">
        <v>4.4251770956316403E-9</v>
      </c>
      <c r="GO6">
        <v>1.9874557260920897E-9</v>
      </c>
      <c r="GP6">
        <v>1.0528335301062573E-9</v>
      </c>
      <c r="GQ6">
        <v>9.9350649350649337E-10</v>
      </c>
      <c r="GR6">
        <v>1.0190377804014168E-9</v>
      </c>
      <c r="GS6">
        <v>1.482733175914994E-9</v>
      </c>
      <c r="GT6">
        <v>5.6198347107438003E-10</v>
      </c>
      <c r="GU6">
        <v>1.3958087367178275E-9</v>
      </c>
      <c r="GV6">
        <v>9.4819952774498226E-10</v>
      </c>
      <c r="GW6">
        <v>7.8615702479338847E-10</v>
      </c>
      <c r="GX6">
        <v>9.7107438016528925E-11</v>
      </c>
      <c r="GY6">
        <v>1.5215466351829989E-10</v>
      </c>
      <c r="GZ6">
        <v>1.2440968122786306E-10</v>
      </c>
      <c r="HA6">
        <v>1.7266824085005901E-10</v>
      </c>
      <c r="HB6">
        <v>3.6289846517119242E-10</v>
      </c>
      <c r="HC6">
        <v>2.6770956316410859E-10</v>
      </c>
      <c r="HD6">
        <v>4.9527744982290444E-10</v>
      </c>
      <c r="HE6">
        <v>7.4262101534828816E-10</v>
      </c>
      <c r="HF6">
        <v>6.183589138134592E-10</v>
      </c>
      <c r="HG6">
        <v>7.3848878394332936E-10</v>
      </c>
      <c r="HH6">
        <v>9.6768004722550173E-10</v>
      </c>
      <c r="HI6">
        <v>7.8659976387249104E-10</v>
      </c>
      <c r="HJ6">
        <v>5.6050767414403768E-10</v>
      </c>
      <c r="HK6">
        <v>9.0363046044864218E-10</v>
      </c>
      <c r="HL6">
        <v>1.2095631641086186E-9</v>
      </c>
      <c r="HM6">
        <v>9.6930342384887851E-10</v>
      </c>
      <c r="HN6">
        <v>8.8975796930342375E-10</v>
      </c>
      <c r="HO6">
        <v>7.6815230224321124E-10</v>
      </c>
      <c r="HP6">
        <v>1.4086481700118064E-9</v>
      </c>
      <c r="HQ6">
        <v>3.0299586776859503E-9</v>
      </c>
      <c r="HR6">
        <v>1.472107438016529E-9</v>
      </c>
      <c r="HS6">
        <v>2.3826741440377803E-9</v>
      </c>
      <c r="HT6">
        <v>1.1402007083825266E-9</v>
      </c>
      <c r="HU6">
        <v>1.3769185360094449E-9</v>
      </c>
      <c r="HV6">
        <v>1.3758854781582055E-9</v>
      </c>
      <c r="HW6">
        <v>1.3804604486422667E-9</v>
      </c>
      <c r="HX6">
        <v>2.4321133412042507E-9</v>
      </c>
      <c r="HY6">
        <v>3.3161157024793386E-10</v>
      </c>
      <c r="HZ6">
        <v>1.1680932703659978E-9</v>
      </c>
      <c r="IA6">
        <v>6.6868358913813465E-10</v>
      </c>
      <c r="IB6">
        <v>7.4793388429752065E-10</v>
      </c>
      <c r="IC6">
        <v>4.9940968122786303E-10</v>
      </c>
      <c r="ID6">
        <v>1.2303719008264464E-9</v>
      </c>
      <c r="IE6">
        <v>2.4383116883116887E-9</v>
      </c>
      <c r="IF6">
        <v>1.1183589138134591E-9</v>
      </c>
      <c r="IG6">
        <v>6.4049586776859501E-10</v>
      </c>
      <c r="IH6">
        <v>1.0745277449822905E-9</v>
      </c>
      <c r="II6">
        <v>9.9704840613931537E-10</v>
      </c>
      <c r="IJ6">
        <v>1.3739669421487604E-10</v>
      </c>
      <c r="IK6">
        <v>3.4253246753246755E-10</v>
      </c>
      <c r="IL6">
        <v>1.9111570247933886E-10</v>
      </c>
      <c r="IM6">
        <v>3.5374852420306968E-10</v>
      </c>
      <c r="IN6">
        <v>4.8627508854781593E-10</v>
      </c>
      <c r="IO6">
        <v>3.1995277449822901E-10</v>
      </c>
      <c r="IP6">
        <v>8.9433293978748512E-11</v>
      </c>
      <c r="IQ6">
        <v>3.8193624557260916E-10</v>
      </c>
      <c r="IR6">
        <v>2.5782172373081463E-10</v>
      </c>
      <c r="IS6">
        <v>5.6463990554899638E-10</v>
      </c>
      <c r="IT6">
        <v>1.3828217237308144E-10</v>
      </c>
      <c r="IU6">
        <v>1.1821133412042502E-10</v>
      </c>
      <c r="IV6">
        <v>1.5599173553719006E-10</v>
      </c>
      <c r="IW6">
        <v>1.0050177095631641E-10</v>
      </c>
      <c r="IX6">
        <v>6.1393152302243205E-11</v>
      </c>
      <c r="IY6">
        <v>2.24025974025974E-10</v>
      </c>
      <c r="IZ6">
        <v>5.9400826446281009E-11</v>
      </c>
      <c r="JA6">
        <v>5.3743604879968519E-11</v>
      </c>
      <c r="JB6">
        <v>7.0924340810704464E-10</v>
      </c>
      <c r="JC6">
        <v>4.3572904368358914E-10</v>
      </c>
      <c r="JD6">
        <v>1.5364669421487602E-9</v>
      </c>
      <c r="JE6">
        <v>4.3513872491145219E-9</v>
      </c>
      <c r="JF6">
        <v>7.0445247933884292E-9</v>
      </c>
      <c r="JG6">
        <v>1.0330578512396697E-10</v>
      </c>
      <c r="JH6">
        <v>0</v>
      </c>
      <c r="JI6">
        <v>7.6889020070838244E-11</v>
      </c>
      <c r="JJ6">
        <v>1.605667060212515E-10</v>
      </c>
      <c r="JK6">
        <v>1.3577331759149939E-10</v>
      </c>
      <c r="JL6">
        <v>2.4483471074380165E-10</v>
      </c>
      <c r="JM6">
        <v>3.7780401416765054E-11</v>
      </c>
      <c r="JN6">
        <v>1.3119834710743802E-10</v>
      </c>
      <c r="JO6">
        <v>5.9031877213695397E-13</v>
      </c>
      <c r="JP6">
        <v>1.9451003541912633E-10</v>
      </c>
      <c r="JQ6">
        <v>8.8547815820543086E-13</v>
      </c>
      <c r="JR6">
        <v>1.5200708382526567E-10</v>
      </c>
      <c r="JS6">
        <v>3.1921487603305783E-10</v>
      </c>
      <c r="JT6">
        <v>2.995867768595041E-11</v>
      </c>
      <c r="JU6">
        <v>9.1499409681227859E-11</v>
      </c>
      <c r="JV6">
        <v>9.7992916174734349E-11</v>
      </c>
      <c r="JW6">
        <v>2.3848878394332938E-10</v>
      </c>
      <c r="JY6">
        <v>2.5605076741440378E-10</v>
      </c>
      <c r="JZ6">
        <v>2.0646399055489963E-10</v>
      </c>
      <c r="KA6">
        <v>0</v>
      </c>
      <c r="KB6" s="42">
        <v>5.5342384887839434E-11</v>
      </c>
      <c r="KC6">
        <v>1.7659386068476976E-9</v>
      </c>
      <c r="KD6">
        <v>7.6859504132231402E-10</v>
      </c>
      <c r="KE6">
        <v>3.9846517119244392E-12</v>
      </c>
      <c r="KF6">
        <v>6.0802833530106256E-11</v>
      </c>
      <c r="KI6" s="42">
        <v>2.3834120425029511E-10</v>
      </c>
      <c r="KJ6" s="42">
        <v>8.5301062573789856E-11</v>
      </c>
      <c r="KK6" s="42">
        <v>4.5011806375442737E-11</v>
      </c>
      <c r="KL6">
        <v>1.1363636363636362E-11</v>
      </c>
      <c r="KM6">
        <v>1.6012396694214875E-10</v>
      </c>
      <c r="KN6">
        <v>7.098583234946869E-11</v>
      </c>
      <c r="KO6">
        <v>5.7556080283353011E-11</v>
      </c>
      <c r="KP6" s="42">
        <v>3.6747343565525387E-11</v>
      </c>
      <c r="KQ6">
        <v>1.5023612750885477E-10</v>
      </c>
      <c r="KR6" s="42">
        <v>8.1463990554899637E-11</v>
      </c>
      <c r="KS6">
        <v>7.792207792207793E-11</v>
      </c>
      <c r="KT6">
        <v>1.5687721369539551E-10</v>
      </c>
      <c r="KU6">
        <v>2.8350059031877214E-10</v>
      </c>
      <c r="KV6">
        <v>2.4468713105076737E-10</v>
      </c>
      <c r="KW6">
        <v>2.5605076741440378E-10</v>
      </c>
      <c r="KX6">
        <v>5.4604486422668247E-11</v>
      </c>
    </row>
    <row r="7" spans="1:310" x14ac:dyDescent="0.35">
      <c r="A7">
        <v>1.4937828230196462E-10</v>
      </c>
      <c r="B7">
        <v>1.7620725842316984E-10</v>
      </c>
      <c r="C7">
        <v>2.2736420441699334E-13</v>
      </c>
      <c r="D7">
        <v>3.7037628899528211E-10</v>
      </c>
      <c r="E7">
        <v>5.6454531956739438E-10</v>
      </c>
      <c r="F7">
        <v>2.1940645726239856E-10</v>
      </c>
      <c r="G7">
        <v>2.9739237937742732E-10</v>
      </c>
      <c r="H7">
        <v>8.1441858022167008E-10</v>
      </c>
      <c r="I7">
        <v>3.8174449921613171E-10</v>
      </c>
      <c r="K7">
        <v>1.0299598460089798E-10</v>
      </c>
      <c r="L7">
        <v>1.3239417623201519E-9</v>
      </c>
      <c r="M7">
        <v>5.2293767015908474E-12</v>
      </c>
      <c r="N7">
        <v>8.0714292568032637E-11</v>
      </c>
      <c r="O7">
        <v>4.4085919236455009E-10</v>
      </c>
      <c r="P7">
        <v>1.5165192434613454E-10</v>
      </c>
      <c r="Q7">
        <v>1.4232999196503783E-10</v>
      </c>
      <c r="R7">
        <v>8.0259564159198647E-11</v>
      </c>
      <c r="S7">
        <v>0</v>
      </c>
      <c r="T7">
        <v>0</v>
      </c>
      <c r="U7">
        <v>6.7299804507430011E-11</v>
      </c>
      <c r="V7">
        <v>3.9993363556949125E-10</v>
      </c>
      <c r="W7">
        <v>1.4160242651090345E-9</v>
      </c>
      <c r="X7">
        <v>3.071248537222072E-10</v>
      </c>
      <c r="Y7">
        <v>1.1822938629683653E-11</v>
      </c>
      <c r="Z7">
        <v>1.4323944878270579E-11</v>
      </c>
      <c r="AA7">
        <v>0</v>
      </c>
      <c r="AB7">
        <v>2.8875253960958153E-11</v>
      </c>
      <c r="AC7">
        <v>2.0008049988695416E-11</v>
      </c>
      <c r="AD7">
        <v>8.9126768131461374E-11</v>
      </c>
      <c r="AE7">
        <v>8.9808860744712372E-11</v>
      </c>
      <c r="AF7">
        <v>1.5187928855055154E-10</v>
      </c>
      <c r="AG7">
        <v>6.8209261325097986E-12</v>
      </c>
      <c r="AH7">
        <v>2.3168412430091616E-10</v>
      </c>
      <c r="AI7">
        <v>3.39454757194571E-10</v>
      </c>
      <c r="AJ7">
        <v>1.9917104306928616E-10</v>
      </c>
      <c r="AK7">
        <v>1.9962577147812012E-10</v>
      </c>
      <c r="AL7">
        <v>1.734788879701659E-10</v>
      </c>
      <c r="AM7">
        <v>2.6055937826187439E-10</v>
      </c>
      <c r="AN7">
        <v>1.637022271802352E-10</v>
      </c>
      <c r="AO7">
        <v>2.319114885053332E-10</v>
      </c>
      <c r="AP7">
        <v>3.1694570095728868E-10</v>
      </c>
      <c r="AQ7">
        <v>5.224829417502507E-10</v>
      </c>
      <c r="AR7">
        <v>2.3532195157158807E-10</v>
      </c>
      <c r="AS7">
        <v>2.544205447426155E-10</v>
      </c>
      <c r="AT7">
        <v>1.971247652295332E-10</v>
      </c>
      <c r="AU7">
        <v>2.6487929814579722E-10</v>
      </c>
      <c r="AV7">
        <v>2.250905623728234E-10</v>
      </c>
      <c r="AW7">
        <v>4.0880083954175403E-10</v>
      </c>
      <c r="AX7">
        <v>1.7143261013041295E-10</v>
      </c>
      <c r="AY7">
        <v>6.834567984774819E-10</v>
      </c>
      <c r="AZ7">
        <v>6.8163788484214594E-10</v>
      </c>
      <c r="BA7">
        <v>3.7574208421952311E-9</v>
      </c>
      <c r="BB7">
        <v>2.4161994003393879E-9</v>
      </c>
      <c r="BC7">
        <v>6.1972661197939875E-9</v>
      </c>
      <c r="BD7">
        <v>3.9436321256127491E-9</v>
      </c>
      <c r="BE7">
        <v>1.9621530841186527E-10</v>
      </c>
      <c r="BF7">
        <v>3.6764791854227828E-10</v>
      </c>
      <c r="BG7">
        <v>2.9466400892442333E-10</v>
      </c>
      <c r="BH7">
        <v>2.9307245949350439E-10</v>
      </c>
      <c r="BI7">
        <v>6.5048898883701781E-10</v>
      </c>
      <c r="BJ7">
        <v>9.6788941820314053E-10</v>
      </c>
      <c r="BK7">
        <v>4.9542660142462842E-10</v>
      </c>
      <c r="BL7">
        <v>9.058189903973015E-10</v>
      </c>
      <c r="BM7">
        <v>7.6849101092943746E-10</v>
      </c>
      <c r="BN7">
        <v>1.0663381187156988E-10</v>
      </c>
      <c r="BO7">
        <v>1.1049900334665876E-10</v>
      </c>
      <c r="BP7">
        <v>8.7762582904959417E-11</v>
      </c>
      <c r="BQ7">
        <v>9.1855138584465301E-11</v>
      </c>
      <c r="BR7">
        <v>1.2777868288235025E-10</v>
      </c>
      <c r="BS7">
        <v>1.0004024994347707E-10</v>
      </c>
      <c r="BT7">
        <v>3.3877266458132007E-11</v>
      </c>
      <c r="BU7">
        <v>4.7519118723151602E-11</v>
      </c>
      <c r="BV7">
        <v>2.3395776634508611E-10</v>
      </c>
      <c r="BW7">
        <v>1.1322737379966269E-10</v>
      </c>
      <c r="BX7">
        <v>1.6938633229066005E-10</v>
      </c>
      <c r="BY7">
        <v>1.2755131867793325E-10</v>
      </c>
      <c r="BZ7">
        <v>3.4036421401223903E-10</v>
      </c>
      <c r="CA7">
        <v>1.3937425730761689E-10</v>
      </c>
      <c r="CB7">
        <v>1.7757144364967179E-10</v>
      </c>
      <c r="CC7">
        <v>9.8221336308141122E-11</v>
      </c>
      <c r="CD7">
        <v>2.2122537089773454E-10</v>
      </c>
      <c r="CE7">
        <v>8.2078477794534581E-11</v>
      </c>
      <c r="CF7">
        <v>6.0365196272711731E-10</v>
      </c>
      <c r="CG7">
        <v>6.6890548939479443E-10</v>
      </c>
      <c r="CH7">
        <v>4.9338032358487554E-10</v>
      </c>
      <c r="CI7">
        <v>0</v>
      </c>
      <c r="CJ7">
        <v>2.3645877259367307E-11</v>
      </c>
      <c r="CK7">
        <v>1.02313891987647E-11</v>
      </c>
      <c r="CL7">
        <v>6.8823144677023872E-10</v>
      </c>
      <c r="CM7">
        <v>8.5739041485648185E-10</v>
      </c>
      <c r="CN7">
        <v>7.8258759160329109E-10</v>
      </c>
      <c r="CO7">
        <v>4.849678480214467E-10</v>
      </c>
      <c r="CP7">
        <v>5.6954733206456832E-10</v>
      </c>
      <c r="CQ7">
        <v>4.8474048381702979E-10</v>
      </c>
      <c r="CR7">
        <v>9.7175460967822958E-10</v>
      </c>
      <c r="CS7">
        <v>1.2173079504485821E-9</v>
      </c>
      <c r="CT7">
        <v>7.3279483083596943E-10</v>
      </c>
      <c r="CU7">
        <v>1.0845272550690579E-10</v>
      </c>
      <c r="CV7">
        <v>2.7511068734456196E-11</v>
      </c>
      <c r="CW7">
        <v>1.4107948884074436E-9</v>
      </c>
      <c r="CX7">
        <v>2.9511873733325737E-10</v>
      </c>
      <c r="CY7">
        <v>1.3050705333535419E-10</v>
      </c>
      <c r="CZ7">
        <v>2.6692557598555014E-10</v>
      </c>
      <c r="DA7">
        <v>2.8829781120074757E-10</v>
      </c>
      <c r="DB7">
        <v>4.6177669917091337E-10</v>
      </c>
      <c r="DC7">
        <v>1.7848090046733974E-10</v>
      </c>
      <c r="DD7">
        <v>3.7583302990128999E-10</v>
      </c>
      <c r="DE7">
        <v>2.4578070497476984E-10</v>
      </c>
      <c r="DF7">
        <v>1.2755131867793325E-10</v>
      </c>
      <c r="DG7">
        <v>3.3627165833273312E-10</v>
      </c>
      <c r="DH7">
        <v>2.2168009930656851E-10</v>
      </c>
      <c r="DI7" s="23">
        <v>2.4388299999999999E-9</v>
      </c>
      <c r="DJ7" s="23">
        <v>3.6300300000000001E-9</v>
      </c>
      <c r="DK7" s="23">
        <v>1.52066E-9</v>
      </c>
      <c r="DL7" s="23">
        <v>1.2116300000000001E-9</v>
      </c>
      <c r="DM7" s="23">
        <v>2.26195E-9</v>
      </c>
      <c r="DN7" s="23">
        <v>2.7300800000000002E-9</v>
      </c>
      <c r="DO7" s="23">
        <v>1.7657300000000001E-9</v>
      </c>
      <c r="DP7" s="23">
        <v>3.6672999999999998E-10</v>
      </c>
      <c r="DQ7" s="23">
        <v>1.13422E-9</v>
      </c>
      <c r="DR7" s="23">
        <v>7.1928200000000004E-10</v>
      </c>
      <c r="DS7" s="23">
        <v>4.1139600000000001E-9</v>
      </c>
      <c r="DT7" s="23">
        <v>4.1207100000000003E-9</v>
      </c>
      <c r="DU7" s="23">
        <v>4.5931699999999998E-9</v>
      </c>
      <c r="DV7" s="23">
        <v>3.9440999999999999E-10</v>
      </c>
      <c r="DW7" s="23">
        <v>9.8501199999999991E-10</v>
      </c>
      <c r="DX7" s="23">
        <v>9.5098600000000001E-10</v>
      </c>
      <c r="DY7">
        <v>2.0779220779220781E-10</v>
      </c>
      <c r="DZ7" s="23">
        <v>5.7556100000000004E-12</v>
      </c>
      <c r="EA7" s="23">
        <v>2.4498199999999998E-10</v>
      </c>
      <c r="EB7">
        <v>1.3503541912632822E-10</v>
      </c>
      <c r="EC7">
        <v>5.4958677685950415E-10</v>
      </c>
      <c r="ED7">
        <v>2.8453364817001181E-10</v>
      </c>
      <c r="EE7">
        <v>4.9527744982290444E-10</v>
      </c>
      <c r="EF7">
        <v>3.3854781582054313E-10</v>
      </c>
      <c r="EG7">
        <v>4.664994096812278E-10</v>
      </c>
      <c r="EH7" s="23">
        <v>4.4820000000000001E-10</v>
      </c>
      <c r="EI7" s="23">
        <v>5.8530100000000005E-10</v>
      </c>
      <c r="EJ7" s="23">
        <v>6.4418499999999998E-10</v>
      </c>
      <c r="EK7" s="23">
        <v>6.4418499999999998E-10</v>
      </c>
      <c r="EL7" s="23">
        <v>7.16204E-10</v>
      </c>
      <c r="EM7" s="23">
        <v>6.5481100000000005E-10</v>
      </c>
      <c r="EN7" s="23">
        <v>2.0823500000000001E-10</v>
      </c>
      <c r="EO7" s="23">
        <v>2.0469299999999999E-10</v>
      </c>
      <c r="EP7" s="23">
        <v>2.9471700000000002E-10</v>
      </c>
      <c r="EQ7" s="23">
        <v>2.4166199999999999E-9</v>
      </c>
      <c r="ER7" s="23">
        <v>2.7313999999999999E-9</v>
      </c>
      <c r="ES7">
        <v>3.5900236127508856E-9</v>
      </c>
      <c r="ET7">
        <v>4.896694214876033E-10</v>
      </c>
      <c r="EU7">
        <v>4.7476387249114519E-10</v>
      </c>
      <c r="EV7">
        <v>2.6062573789846515E-10</v>
      </c>
      <c r="EW7">
        <v>6.7473435655253836E-10</v>
      </c>
      <c r="EX7">
        <v>4.2104486422668243E-10</v>
      </c>
      <c r="EY7">
        <v>2.0882526564344748E-10</v>
      </c>
      <c r="EZ7">
        <v>1.8299881936245572E-10</v>
      </c>
      <c r="FA7">
        <v>3.8872491145218415E-10</v>
      </c>
      <c r="FB7">
        <v>6.2278630460448642E-11</v>
      </c>
      <c r="FC7">
        <v>1.3385478158205429E-10</v>
      </c>
      <c r="FD7">
        <v>1.7340613931523021E-10</v>
      </c>
      <c r="FE7">
        <v>1.2987012987012988E-10</v>
      </c>
      <c r="FF7">
        <v>2.1369539551357732E-10</v>
      </c>
      <c r="FG7">
        <v>8.1759149940968124E-11</v>
      </c>
      <c r="FH7">
        <v>1.3429752066115702E-10</v>
      </c>
      <c r="FI7">
        <v>2.6829988193624554E-10</v>
      </c>
      <c r="FJ7">
        <v>1.4639905548996457E-10</v>
      </c>
      <c r="FK7">
        <v>6.189492325855962E-10</v>
      </c>
      <c r="FL7">
        <v>2.4985242030696574E-10</v>
      </c>
      <c r="FM7">
        <v>2.4660566706021249E-10</v>
      </c>
      <c r="FN7">
        <v>3.1286894923258564E-11</v>
      </c>
      <c r="FO7">
        <v>1.3031286894923257E-10</v>
      </c>
      <c r="FP7">
        <v>1.4890791027154659E-10</v>
      </c>
      <c r="FQ7">
        <v>6.6794569067296332E-10</v>
      </c>
      <c r="FR7">
        <v>5.3217237308146403E-10</v>
      </c>
      <c r="FS7">
        <v>3.3795749704840613E-10</v>
      </c>
      <c r="FT7">
        <v>3.3175914994096809E-10</v>
      </c>
      <c r="FU7">
        <v>4.4141086186540729E-10</v>
      </c>
      <c r="FV7">
        <v>2.6224911452184177E-10</v>
      </c>
      <c r="FW7">
        <v>1.0878099173553719E-9</v>
      </c>
      <c r="FX7">
        <v>3.5950413223140495E-10</v>
      </c>
      <c r="FY7">
        <v>2.3775088547815816E-10</v>
      </c>
      <c r="FZ7">
        <v>3.0371900826446278E-10</v>
      </c>
      <c r="GA7">
        <v>2.922077922077922E-10</v>
      </c>
      <c r="GB7">
        <v>4.2812868949232581E-10</v>
      </c>
      <c r="GC7">
        <v>5.9843565525383705E-10</v>
      </c>
      <c r="GD7">
        <v>5.6227863046044858E-10</v>
      </c>
      <c r="GE7">
        <v>5.0767414403778042E-10</v>
      </c>
      <c r="GF7">
        <v>4.0185950413223141E-10</v>
      </c>
      <c r="GG7">
        <v>9.698937426210152E-10</v>
      </c>
      <c r="GH7">
        <v>9.8317591499409684E-10</v>
      </c>
      <c r="GI7">
        <v>3.3323494687131049E-10</v>
      </c>
      <c r="GJ7">
        <v>1.4111570247933885E-9</v>
      </c>
      <c r="GK7">
        <v>2.9572018890200706E-9</v>
      </c>
      <c r="GL7">
        <v>3.7467532467532469E-9</v>
      </c>
      <c r="GM7">
        <v>2.9883412042502951E-9</v>
      </c>
      <c r="GN7">
        <v>6.0897284533648166E-9</v>
      </c>
      <c r="GO7">
        <v>3.4784533648170009E-9</v>
      </c>
      <c r="GP7">
        <v>1.547077922077922E-9</v>
      </c>
      <c r="GQ7">
        <v>1.5757083825265642E-9</v>
      </c>
      <c r="GR7">
        <v>1.518004722550177E-9</v>
      </c>
      <c r="GS7">
        <v>2.1201298701298701E-9</v>
      </c>
      <c r="GT7">
        <v>8.4430342384887843E-10</v>
      </c>
      <c r="GU7">
        <v>1.9625147579693032E-9</v>
      </c>
      <c r="GV7">
        <v>1.2507378984651713E-9</v>
      </c>
      <c r="GW7">
        <v>1.2440968122786304E-9</v>
      </c>
      <c r="GX7">
        <v>1.9952774498229044E-10</v>
      </c>
      <c r="GY7">
        <v>1.9259149940968125E-10</v>
      </c>
      <c r="GZ7">
        <v>2.4719598583234944E-10</v>
      </c>
      <c r="HA7">
        <v>4.1351829988193621E-10</v>
      </c>
      <c r="HB7">
        <v>5.1992325855962217E-10</v>
      </c>
      <c r="HC7">
        <v>4.3181818181818178E-10</v>
      </c>
      <c r="HD7">
        <v>7.3494687131050767E-10</v>
      </c>
      <c r="HE7">
        <v>1.0497343565525383E-9</v>
      </c>
      <c r="HF7">
        <v>9.4406729634002357E-10</v>
      </c>
      <c r="HG7">
        <v>1.1595336481700117E-9</v>
      </c>
      <c r="HH7">
        <v>1.4402302243211333E-9</v>
      </c>
      <c r="HI7">
        <v>1.3469598583234946E-9</v>
      </c>
      <c r="HJ7">
        <v>6.6735537190082653E-10</v>
      </c>
      <c r="HK7">
        <v>1.1158500590318772E-9</v>
      </c>
      <c r="HL7">
        <v>2.4297520661157023E-9</v>
      </c>
      <c r="HM7">
        <v>2.1434474616292798E-9</v>
      </c>
      <c r="HN7">
        <v>1.9172077922077919E-9</v>
      </c>
      <c r="HO7">
        <v>1.1419716646989373E-9</v>
      </c>
      <c r="HP7">
        <v>2.0293683589138136E-9</v>
      </c>
      <c r="HQ7">
        <v>4.804309327036599E-9</v>
      </c>
      <c r="HR7">
        <v>2.3767709563164109E-9</v>
      </c>
      <c r="HS7">
        <v>3.5938606847697761E-9</v>
      </c>
      <c r="HT7">
        <v>1.8072609208972844E-9</v>
      </c>
      <c r="HU7">
        <v>2.7154663518299882E-9</v>
      </c>
      <c r="HV7">
        <v>2.7547225501770954E-9</v>
      </c>
      <c r="HW7">
        <v>2.6424144037780403E-9</v>
      </c>
      <c r="HX7">
        <v>3.3826741440377805E-9</v>
      </c>
      <c r="HY7">
        <v>5.6523022432113328E-10</v>
      </c>
      <c r="HZ7">
        <v>1.857733175914994E-9</v>
      </c>
      <c r="IA7">
        <v>1.0199232585596221E-9</v>
      </c>
      <c r="IB7">
        <v>1.128099173553719E-9</v>
      </c>
      <c r="IC7">
        <v>9.1750295159386071E-10</v>
      </c>
      <c r="ID7">
        <v>1.8670306965761515E-9</v>
      </c>
      <c r="IE7">
        <v>3.1890495867768592E-9</v>
      </c>
      <c r="IF7">
        <v>1.6307556080283351E-9</v>
      </c>
      <c r="IG7">
        <v>1.0284828807556079E-9</v>
      </c>
      <c r="IH7">
        <v>1.505017709563164E-9</v>
      </c>
      <c r="II7">
        <v>1.3381050767414405E-9</v>
      </c>
      <c r="IJ7">
        <v>2.1989374262101536E-10</v>
      </c>
      <c r="IK7">
        <v>3.4002361275088548E-10</v>
      </c>
      <c r="IL7">
        <v>2.8335301062573786E-10</v>
      </c>
      <c r="IM7">
        <v>5.8087367178276271E-10</v>
      </c>
      <c r="IN7">
        <v>7.4572018890200718E-10</v>
      </c>
      <c r="IO7">
        <v>6.487603305785124E-10</v>
      </c>
      <c r="IP7">
        <v>4.2680047225501769E-10</v>
      </c>
      <c r="IQ7">
        <v>5.6744391971664705E-10</v>
      </c>
      <c r="IR7">
        <v>4.4259149940968119E-10</v>
      </c>
      <c r="IS7">
        <v>7.2786304604486418E-10</v>
      </c>
      <c r="IT7">
        <v>2.7228453364817001E-10</v>
      </c>
      <c r="IU7">
        <v>1.453659976387249E-10</v>
      </c>
      <c r="IV7">
        <v>2.0041322314049589E-10</v>
      </c>
      <c r="IW7">
        <v>1.6661747343565524E-10</v>
      </c>
      <c r="IX7">
        <v>5.5194805194805196E-11</v>
      </c>
      <c r="IY7">
        <v>2.1384297520661154E-10</v>
      </c>
      <c r="IZ7">
        <v>7.8955135773317591E-11</v>
      </c>
      <c r="JA7">
        <v>4.0092483274301453E-11</v>
      </c>
      <c r="JB7">
        <v>9.8079004329004332E-10</v>
      </c>
      <c r="JC7">
        <v>5.9966548602912239E-10</v>
      </c>
      <c r="JD7">
        <v>2.0988636363636363E-9</v>
      </c>
      <c r="JE7">
        <v>6.2411452184179458E-9</v>
      </c>
      <c r="JF7">
        <v>7.5189049586776868E-9</v>
      </c>
      <c r="JG7">
        <v>1.1142266824085008E-10</v>
      </c>
      <c r="JH7">
        <v>0</v>
      </c>
      <c r="JI7">
        <v>7.3937426210153473E-11</v>
      </c>
      <c r="JJ7">
        <v>1.3296930342384887E-10</v>
      </c>
      <c r="JK7">
        <v>1.6617473435655252E-10</v>
      </c>
      <c r="JL7">
        <v>1.9893742621015349E-10</v>
      </c>
      <c r="JM7">
        <v>1.1068476977567888E-11</v>
      </c>
      <c r="JN7">
        <v>1.494982290436836E-10</v>
      </c>
      <c r="JO7">
        <v>0</v>
      </c>
      <c r="JP7">
        <v>2.300767414403778E-10</v>
      </c>
      <c r="JQ7">
        <v>9.4451003541912636E-12</v>
      </c>
      <c r="JR7">
        <v>1.9377213695395515E-10</v>
      </c>
      <c r="JS7">
        <v>2.740554899645809E-10</v>
      </c>
      <c r="JT7">
        <v>3.2172373081463988E-11</v>
      </c>
      <c r="JU7">
        <v>3.3205430932703655E-11</v>
      </c>
      <c r="JV7">
        <v>9.5631641086186527E-11</v>
      </c>
      <c r="JW7">
        <v>3.9580873671782759E-10</v>
      </c>
      <c r="JY7">
        <v>3.0061983471074381E-10</v>
      </c>
      <c r="JZ7">
        <v>2.603305785123967E-10</v>
      </c>
      <c r="KA7">
        <v>6.0802833530106256E-11</v>
      </c>
      <c r="KB7" s="42">
        <v>1.0478158205430934E-11</v>
      </c>
      <c r="KC7">
        <v>3.9515938606847697E-9</v>
      </c>
      <c r="KD7">
        <v>2.3004722550177094E-9</v>
      </c>
      <c r="KE7">
        <v>3.2762691853600943E-11</v>
      </c>
      <c r="KF7">
        <v>2.0528335301062571E-10</v>
      </c>
      <c r="KI7" s="42">
        <v>1.775383707201889E-10</v>
      </c>
      <c r="KJ7" s="42">
        <v>8.5153482880755593E-11</v>
      </c>
      <c r="KK7" s="42">
        <v>1.5466351829988194E-10</v>
      </c>
      <c r="KL7">
        <v>0</v>
      </c>
      <c r="KM7">
        <v>9.577922077922079E-11</v>
      </c>
      <c r="KN7">
        <v>5.8146399055489967E-11</v>
      </c>
      <c r="KO7">
        <v>1.449232585596222E-10</v>
      </c>
      <c r="KP7" s="42">
        <v>3.1286894923258564E-11</v>
      </c>
      <c r="KQ7">
        <v>1.9451003541912633E-10</v>
      </c>
      <c r="KR7" s="42">
        <v>1.7384887839433293E-10</v>
      </c>
      <c r="KS7">
        <v>2.3922668240850061E-10</v>
      </c>
      <c r="KT7">
        <v>2.3361865407319951E-10</v>
      </c>
      <c r="KU7">
        <v>3.9757969303423849E-10</v>
      </c>
      <c r="KV7">
        <v>5.4161747343565523E-11</v>
      </c>
      <c r="KW7">
        <v>8.913813459268005E-11</v>
      </c>
      <c r="KX7">
        <v>3.8075560802833529E-11</v>
      </c>
    </row>
    <row r="8" spans="1:310" x14ac:dyDescent="0.35">
      <c r="A8">
        <v>3.0512276232760504E-10</v>
      </c>
      <c r="B8">
        <v>3.6491954808927434E-10</v>
      </c>
      <c r="C8">
        <v>1.8689337603076853E-10</v>
      </c>
      <c r="D8">
        <v>5.0702217584989514E-10</v>
      </c>
      <c r="E8">
        <v>1.2932475947238582E-9</v>
      </c>
      <c r="F8">
        <v>3.4968614639333575E-10</v>
      </c>
      <c r="G8">
        <v>4.6427770541950039E-10</v>
      </c>
      <c r="H8">
        <v>1.2652817975805678E-9</v>
      </c>
      <c r="I8">
        <v>4.872414900656166E-10</v>
      </c>
      <c r="K8">
        <v>3.1558151573078676E-10</v>
      </c>
      <c r="L8">
        <v>1.729104774591234E-9</v>
      </c>
      <c r="M8">
        <v>9.3219323810967264E-12</v>
      </c>
      <c r="N8">
        <v>9.5492965855137195E-11</v>
      </c>
      <c r="O8">
        <v>7.7144674558685831E-10</v>
      </c>
      <c r="P8">
        <v>2.1599599419614366E-10</v>
      </c>
      <c r="Q8">
        <v>1.9553321579861426E-10</v>
      </c>
      <c r="R8">
        <v>1.0458753403181693E-10</v>
      </c>
      <c r="S8">
        <v>3.9561371568556837E-10</v>
      </c>
      <c r="T8">
        <v>4.09255567950588E-11</v>
      </c>
      <c r="U8">
        <v>3.3217910265322727E-10</v>
      </c>
      <c r="V8">
        <v>6.0501614795361923E-10</v>
      </c>
      <c r="W8">
        <v>1.5769981218362656E-9</v>
      </c>
      <c r="X8">
        <v>4.0031956071653613E-10</v>
      </c>
      <c r="Y8">
        <v>1.2732395447351627E-11</v>
      </c>
      <c r="Z8">
        <v>0</v>
      </c>
      <c r="AA8">
        <v>0</v>
      </c>
      <c r="AB8">
        <v>0</v>
      </c>
      <c r="AC8">
        <v>7.7076465297360743E-11</v>
      </c>
      <c r="AD8">
        <v>1.6097385672723128E-10</v>
      </c>
      <c r="AE8">
        <v>7.7303829501777738E-11</v>
      </c>
      <c r="AF8">
        <v>2.7624750836664691E-10</v>
      </c>
      <c r="AG8">
        <v>4.4790748270147688E-11</v>
      </c>
      <c r="AH8">
        <v>3.7719721512779191E-10</v>
      </c>
      <c r="AI8">
        <v>4.1039238897267292E-10</v>
      </c>
      <c r="AJ8">
        <v>3.3740847935481807E-10</v>
      </c>
      <c r="AK8">
        <v>2.2168009930656851E-10</v>
      </c>
      <c r="AL8">
        <v>2.4669016179243777E-10</v>
      </c>
      <c r="AM8">
        <v>2.8465998393007565E-10</v>
      </c>
      <c r="AN8">
        <v>2.0008049988695414E-10</v>
      </c>
      <c r="AO8">
        <v>3.06941675962941E-10</v>
      </c>
      <c r="AP8">
        <v>5.0906845368964802E-10</v>
      </c>
      <c r="AQ8">
        <v>6.6117510644461655E-10</v>
      </c>
      <c r="AR8">
        <v>3.137626020954508E-10</v>
      </c>
      <c r="AS8">
        <v>3.7242256683503504E-10</v>
      </c>
      <c r="AT8">
        <v>3.1217105266453186E-10</v>
      </c>
      <c r="AU8">
        <v>4.4563384065730696E-10</v>
      </c>
      <c r="AV8">
        <v>3.4650304753149787E-10</v>
      </c>
      <c r="AW8">
        <v>4.4722539008822595E-10</v>
      </c>
      <c r="AX8">
        <v>2.319114885053332E-10</v>
      </c>
      <c r="AY8">
        <v>9.0627371880613533E-10</v>
      </c>
      <c r="AZ8">
        <v>2.6897185382530312E-9</v>
      </c>
      <c r="BA8">
        <v>8.7048659303090072E-9</v>
      </c>
      <c r="BB8">
        <v>3.8406361410118514E-9</v>
      </c>
      <c r="BC8">
        <v>8.6946345411102416E-9</v>
      </c>
      <c r="BD8">
        <v>1.1013067333550322E-8</v>
      </c>
      <c r="BE8">
        <v>3.035312128966861E-10</v>
      </c>
      <c r="BF8">
        <v>5.6158958490997352E-10</v>
      </c>
      <c r="BG8">
        <v>4.7587327984476701E-10</v>
      </c>
      <c r="BH8">
        <v>4.7769219348010307E-10</v>
      </c>
      <c r="BI8">
        <v>1.0165453579483772E-9</v>
      </c>
      <c r="BJ8">
        <v>1.5524427877592305E-9</v>
      </c>
      <c r="BK8">
        <v>9.3173850970083867E-10</v>
      </c>
      <c r="BL8">
        <v>1.532207373566118E-9</v>
      </c>
      <c r="BM8">
        <v>1.125680176068534E-9</v>
      </c>
      <c r="BN8">
        <v>1.7256943115249793E-10</v>
      </c>
      <c r="BO8">
        <v>1.0617908346273589E-10</v>
      </c>
      <c r="BP8">
        <v>1.0799799709807183E-10</v>
      </c>
      <c r="BQ8">
        <v>1.0845272550690579E-10</v>
      </c>
      <c r="BR8">
        <v>1.3187123856185613E-10</v>
      </c>
      <c r="BS8">
        <v>1.6165594934048227E-10</v>
      </c>
      <c r="BT8">
        <v>1.152736516394156E-10</v>
      </c>
      <c r="BU8">
        <v>-6.8209261325097986E-12</v>
      </c>
      <c r="BV8">
        <v>2.6169619928395934E-10</v>
      </c>
      <c r="BW8">
        <v>1.5256138116380252E-10</v>
      </c>
      <c r="BX8">
        <v>1.9030383909702338E-10</v>
      </c>
      <c r="BY8">
        <v>1.7256943115249793E-10</v>
      </c>
      <c r="BZ8">
        <v>6.9232400244974478E-10</v>
      </c>
      <c r="CA8">
        <v>5.3407851617551721E-10</v>
      </c>
      <c r="CB8">
        <v>5.9001011046209771E-10</v>
      </c>
      <c r="CC8">
        <v>2.3532195157158807E-10</v>
      </c>
      <c r="CD8">
        <v>2.8147688506823777E-10</v>
      </c>
      <c r="CE8">
        <v>1.4733200446221166E-10</v>
      </c>
      <c r="CF8">
        <v>1.1941168015980491E-9</v>
      </c>
      <c r="CG8">
        <v>1.4517204452025023E-9</v>
      </c>
      <c r="CH8">
        <v>9.5924957843529477E-10</v>
      </c>
      <c r="CI8">
        <v>5.0020124971738541E-12</v>
      </c>
      <c r="CJ8">
        <v>1.7961772148942474E-11</v>
      </c>
      <c r="CK8">
        <v>8.2533206203368571E-11</v>
      </c>
      <c r="CL8">
        <v>1.6818130200724997E-9</v>
      </c>
      <c r="CM8">
        <v>1.7359257007237438E-9</v>
      </c>
      <c r="CN8">
        <v>1.4010182276175128E-9</v>
      </c>
      <c r="CO8">
        <v>1.3398572566293417E-9</v>
      </c>
      <c r="CP8">
        <v>1.2436821981609536E-9</v>
      </c>
      <c r="CQ8">
        <v>1.2073039254542346E-9</v>
      </c>
      <c r="CR8">
        <v>1.8011792273914211E-9</v>
      </c>
      <c r="CS8">
        <v>2.3679981890029861E-9</v>
      </c>
      <c r="CT8">
        <v>1.3935152088717522E-9</v>
      </c>
      <c r="CU8">
        <v>1.0208652778323E-10</v>
      </c>
      <c r="CV8">
        <v>0</v>
      </c>
      <c r="CW8">
        <v>1.934869379588613E-9</v>
      </c>
      <c r="CX8">
        <v>4.2835416112161539E-10</v>
      </c>
      <c r="CY8">
        <v>2.7170022427830701E-10</v>
      </c>
      <c r="CZ8">
        <v>8.5670832224323079E-10</v>
      </c>
      <c r="DA8">
        <v>8.203300495365118E-10</v>
      </c>
      <c r="DB8">
        <v>1.0076781539761145E-9</v>
      </c>
      <c r="DC8">
        <v>3.6196381343185338E-10</v>
      </c>
      <c r="DD8">
        <v>6.1547490135680095E-10</v>
      </c>
      <c r="DE8">
        <v>5.7318515933524024E-10</v>
      </c>
      <c r="DF8">
        <v>1.8780283284843649E-10</v>
      </c>
      <c r="DG8">
        <v>3.8788333273539065E-10</v>
      </c>
      <c r="DH8">
        <v>1.8348291296451361E-10</v>
      </c>
      <c r="DI8" s="23">
        <v>3.3753700000000001E-9</v>
      </c>
      <c r="DJ8" s="23">
        <v>4.5860100000000004E-9</v>
      </c>
      <c r="DK8" s="23">
        <v>3.0922400000000001E-9</v>
      </c>
      <c r="DL8" s="23">
        <v>2.67267E-9</v>
      </c>
      <c r="DM8" s="23">
        <v>3.4518E-9</v>
      </c>
      <c r="DN8" s="23">
        <v>3.8547099999999998E-9</v>
      </c>
      <c r="DO8" s="23">
        <v>2.9300600000000001E-9</v>
      </c>
      <c r="DP8" s="23">
        <v>5.9762399999999998E-10</v>
      </c>
      <c r="DQ8" s="23">
        <v>1.7680299999999999E-9</v>
      </c>
      <c r="DR8" s="23">
        <v>1.3217700000000001E-9</v>
      </c>
      <c r="DS8" s="23">
        <v>5.0105300000000001E-9</v>
      </c>
      <c r="DT8" s="23">
        <v>5.12503E-9</v>
      </c>
      <c r="DU8" s="23">
        <v>5.9438299999999997E-9</v>
      </c>
      <c r="DV8" s="23">
        <v>7.8517400000000002E-10</v>
      </c>
      <c r="DW8" s="23">
        <v>1.78274E-9</v>
      </c>
      <c r="DX8" s="23">
        <v>1.6990300000000001E-9</v>
      </c>
      <c r="DY8">
        <v>2.2712514757969305E-10</v>
      </c>
      <c r="DZ8" s="23">
        <v>4.4569099999999998E-11</v>
      </c>
      <c r="EA8" s="23">
        <v>4.57202E-10</v>
      </c>
      <c r="EB8">
        <v>1.9244391971664698E-10</v>
      </c>
      <c r="EC8">
        <v>7.7966351829988187E-10</v>
      </c>
      <c r="ED8">
        <v>4.3196576151121606E-10</v>
      </c>
      <c r="EE8">
        <v>9.0289256198347106E-10</v>
      </c>
      <c r="EF8">
        <v>6.7060212514757977E-10</v>
      </c>
      <c r="EG8">
        <v>6.9628099173553707E-10</v>
      </c>
      <c r="EH8" s="23">
        <v>1.41308E-9</v>
      </c>
      <c r="EI8" s="23">
        <v>1.19171E-9</v>
      </c>
      <c r="EJ8" s="23">
        <v>1.55224E-9</v>
      </c>
      <c r="EK8" s="23">
        <v>1.55224E-9</v>
      </c>
      <c r="EL8" s="23">
        <v>1.58456E-9</v>
      </c>
      <c r="EM8" s="23">
        <v>1.41278E-9</v>
      </c>
      <c r="EN8" s="23">
        <v>6.0492899999999999E-10</v>
      </c>
      <c r="EO8" s="23">
        <v>4.3078499999999998E-10</v>
      </c>
      <c r="EP8" s="23">
        <v>7.4424400000000004E-10</v>
      </c>
      <c r="EQ8" s="23">
        <v>3.0538699999999999E-9</v>
      </c>
      <c r="ER8" s="23">
        <v>3.3851800000000001E-9</v>
      </c>
      <c r="ES8">
        <v>3.8609799291617471E-9</v>
      </c>
      <c r="ET8">
        <v>6.8314639905548997E-10</v>
      </c>
      <c r="EU8">
        <v>7.786304604486422E-10</v>
      </c>
      <c r="EV8">
        <v>4.7609208972845332E-10</v>
      </c>
      <c r="EW8">
        <v>1.2781877213695395E-9</v>
      </c>
      <c r="EX8">
        <v>9.8258559622195973E-10</v>
      </c>
      <c r="EY8">
        <v>1.9657615112160567E-10</v>
      </c>
      <c r="EZ8">
        <v>2.5014757969303424E-10</v>
      </c>
      <c r="FA8">
        <v>5.5268595041322318E-10</v>
      </c>
      <c r="FB8">
        <v>1.134887839433294E-10</v>
      </c>
      <c r="FC8">
        <v>1.5820543093270366E-10</v>
      </c>
      <c r="FD8">
        <v>2.5841204250295163E-10</v>
      </c>
      <c r="FE8">
        <v>1.0861865407319953E-10</v>
      </c>
      <c r="FF8">
        <v>1.8034238488783942E-10</v>
      </c>
      <c r="FG8">
        <v>1.6440377804014167E-10</v>
      </c>
      <c r="FH8">
        <v>2.5368949232585599E-10</v>
      </c>
      <c r="FI8">
        <v>3.8828217237308148E-10</v>
      </c>
      <c r="FJ8">
        <v>1.974616292798111E-10</v>
      </c>
      <c r="FK8">
        <v>1.1564344746162927E-9</v>
      </c>
      <c r="FL8">
        <v>3.7440968122786305E-10</v>
      </c>
      <c r="FM8">
        <v>4.5572609208972845E-10</v>
      </c>
      <c r="FN8">
        <v>1.1319362455726091E-10</v>
      </c>
      <c r="FO8">
        <v>1.9318181818181818E-10</v>
      </c>
      <c r="FP8">
        <v>1.7812868949232585E-10</v>
      </c>
      <c r="FQ8">
        <v>8.4563164108618655E-10</v>
      </c>
      <c r="FR8">
        <v>6.2913223140495871E-10</v>
      </c>
      <c r="FS8">
        <v>3.1641086186540731E-10</v>
      </c>
      <c r="FT8">
        <v>4.4982290436835891E-10</v>
      </c>
      <c r="FU8">
        <v>1.6748819362455726E-9</v>
      </c>
      <c r="FV8">
        <v>4.352125147579693E-10</v>
      </c>
      <c r="FW8">
        <v>1.7628394332939788E-9</v>
      </c>
      <c r="FX8">
        <v>3.8208382526564344E-10</v>
      </c>
      <c r="FY8">
        <v>2.7508854781582053E-10</v>
      </c>
      <c r="FZ8">
        <v>4.9217827626918532E-10</v>
      </c>
      <c r="GA8">
        <v>4.7033648170011805E-10</v>
      </c>
      <c r="GB8">
        <v>7.2535419126328205E-10</v>
      </c>
      <c r="GC8">
        <v>9.2296340023612743E-10</v>
      </c>
      <c r="GD8">
        <v>8.7544273907910265E-10</v>
      </c>
      <c r="GE8">
        <v>6.7591499409681226E-10</v>
      </c>
      <c r="GF8">
        <v>6.7739079102715461E-10</v>
      </c>
      <c r="GG8">
        <v>1.5776269185360094E-9</v>
      </c>
      <c r="GH8">
        <v>1.728305785123967E-9</v>
      </c>
      <c r="GI8">
        <v>4.3536009445100358E-10</v>
      </c>
      <c r="GJ8">
        <v>2.2507378984651711E-9</v>
      </c>
      <c r="GK8">
        <v>4.3704250295159386E-9</v>
      </c>
      <c r="GL8">
        <v>5.7688902007083817E-9</v>
      </c>
      <c r="GM8">
        <v>4.5565230224321134E-9</v>
      </c>
      <c r="GN8">
        <v>8.0734946871310494E-9</v>
      </c>
      <c r="GO8">
        <v>5.309622195985831E-9</v>
      </c>
      <c r="GP8">
        <v>2.0547520661157022E-9</v>
      </c>
      <c r="GQ8">
        <v>2.2260920897284533E-9</v>
      </c>
      <c r="GR8">
        <v>2.5522432113341202E-9</v>
      </c>
      <c r="GS8">
        <v>3.8547815820543095E-9</v>
      </c>
      <c r="GT8">
        <v>1.6933293978748522E-9</v>
      </c>
      <c r="GU8">
        <v>2.591794569067296E-9</v>
      </c>
      <c r="GV8">
        <v>1.6540731995277448E-9</v>
      </c>
      <c r="GW8">
        <v>1.7378984651711925E-9</v>
      </c>
      <c r="GX8">
        <v>2.5059031877213696E-10</v>
      </c>
      <c r="GY8">
        <v>3.2187131050767413E-10</v>
      </c>
      <c r="GZ8">
        <v>2.9294569067296342E-10</v>
      </c>
      <c r="HA8">
        <v>5.5770365997638722E-10</v>
      </c>
      <c r="HB8">
        <v>7.4173553719008261E-10</v>
      </c>
      <c r="HC8">
        <v>6.6455135773317595E-10</v>
      </c>
      <c r="HD8">
        <v>9.0687721369539553E-10</v>
      </c>
      <c r="HE8">
        <v>1.282172373081464E-9</v>
      </c>
      <c r="HF8">
        <v>1.2811393152302244E-9</v>
      </c>
      <c r="HG8">
        <v>1.7424734356552538E-9</v>
      </c>
      <c r="HH8">
        <v>2.0365997638724911E-9</v>
      </c>
      <c r="HI8">
        <v>2.1453659976387248E-9</v>
      </c>
      <c r="HJ8">
        <v>8.7012987012987016E-10</v>
      </c>
      <c r="HK8">
        <v>1.6651416765053128E-9</v>
      </c>
      <c r="HL8">
        <v>4.0187426210153483E-9</v>
      </c>
      <c r="HM8">
        <v>3.8133116883116874E-9</v>
      </c>
      <c r="HN8">
        <v>3.3953659976387244E-9</v>
      </c>
      <c r="HO8">
        <v>1.7193034238488782E-9</v>
      </c>
      <c r="HP8">
        <v>2.8507969303423844E-9</v>
      </c>
      <c r="HQ8">
        <v>6.7590023612750883E-9</v>
      </c>
      <c r="HR8">
        <v>3.4036304604486422E-9</v>
      </c>
      <c r="HS8">
        <v>4.9713695395513579E-9</v>
      </c>
      <c r="HT8">
        <v>2.5472255017709564E-9</v>
      </c>
      <c r="HU8">
        <v>4.3764757969303419E-9</v>
      </c>
      <c r="HV8">
        <v>4.5216942148760327E-9</v>
      </c>
      <c r="HW8">
        <v>4.3723435655253832E-9</v>
      </c>
      <c r="HX8">
        <v>4.3705726092089721E-9</v>
      </c>
      <c r="HY8">
        <v>8.2792207792207787E-10</v>
      </c>
      <c r="HZ8">
        <v>2.5401416765053128E-9</v>
      </c>
      <c r="IA8">
        <v>1.5506198347107438E-9</v>
      </c>
      <c r="IB8">
        <v>1.5610979929161746E-9</v>
      </c>
      <c r="IC8">
        <v>1.2213695395513578E-9</v>
      </c>
      <c r="ID8">
        <v>2.4123376623376623E-9</v>
      </c>
      <c r="IE8">
        <v>4.116587957497048E-9</v>
      </c>
      <c r="IF8">
        <v>2.2542798110979929E-9</v>
      </c>
      <c r="IG8">
        <v>1.5646399055489964E-9</v>
      </c>
      <c r="IH8">
        <v>2.0115112160566711E-9</v>
      </c>
      <c r="II8">
        <v>1.806818181818182E-9</v>
      </c>
      <c r="IJ8">
        <v>2.9043683589138135E-10</v>
      </c>
      <c r="IK8">
        <v>4.6177685950413221E-10</v>
      </c>
      <c r="IL8">
        <v>4.8583234946871315E-10</v>
      </c>
      <c r="IM8">
        <v>8.4386068476977565E-10</v>
      </c>
      <c r="IN8">
        <v>1.0881050767414406E-9</v>
      </c>
      <c r="IO8">
        <v>1.0706906729634E-9</v>
      </c>
      <c r="IP8">
        <v>8.0578512396694216E-10</v>
      </c>
      <c r="IQ8">
        <v>8.2098583234946861E-10</v>
      </c>
      <c r="IR8">
        <v>6.9214876033057848E-10</v>
      </c>
      <c r="IS8">
        <v>1.0748229043683591E-9</v>
      </c>
      <c r="IT8">
        <v>3.068181818181818E-10</v>
      </c>
      <c r="IU8">
        <v>2.0734946871310508E-10</v>
      </c>
      <c r="IV8">
        <v>1.8978748524203066E-10</v>
      </c>
      <c r="IW8">
        <v>1.2175324675324676E-10</v>
      </c>
      <c r="IX8">
        <v>1.3060802833530105E-10</v>
      </c>
      <c r="IY8">
        <v>1.8122786304604485E-10</v>
      </c>
      <c r="IZ8">
        <v>1.0588842975206612E-10</v>
      </c>
      <c r="JA8">
        <v>6.6902794175521464E-11</v>
      </c>
      <c r="JB8">
        <v>1.2745966155057064E-9</v>
      </c>
      <c r="JC8">
        <v>6.4799783549783545E-10</v>
      </c>
      <c r="JD8">
        <v>2.3652892561983472E-9</v>
      </c>
      <c r="JE8">
        <v>6.7207792207792214E-9</v>
      </c>
      <c r="JF8">
        <v>7.8578512396694204E-9</v>
      </c>
      <c r="JG8">
        <v>1.1867866981503346E-10</v>
      </c>
      <c r="JH8">
        <v>0</v>
      </c>
      <c r="JI8">
        <v>7.6889020070838244E-11</v>
      </c>
      <c r="JJ8">
        <v>1.5053128689492324E-10</v>
      </c>
      <c r="JK8">
        <v>1.5333530106257379E-10</v>
      </c>
      <c r="JL8">
        <v>2.3125737898465169E-10</v>
      </c>
      <c r="JM8">
        <v>1.1216056670602123E-11</v>
      </c>
      <c r="JN8">
        <v>1.6233766233766232E-10</v>
      </c>
      <c r="JO8">
        <v>2.5826446280991735E-11</v>
      </c>
      <c r="JP8">
        <v>3.8518299881936251E-10</v>
      </c>
      <c r="JQ8">
        <v>1.1009445100354191E-10</v>
      </c>
      <c r="JR8">
        <v>2.8364817001180636E-10</v>
      </c>
      <c r="JS8">
        <v>3.8459268004722551E-10</v>
      </c>
      <c r="JT8">
        <v>6.1097992916174731E-11</v>
      </c>
      <c r="JU8">
        <v>9.7992916174734349E-11</v>
      </c>
      <c r="JV8">
        <v>1.3533057851239669E-10</v>
      </c>
      <c r="JW8">
        <v>4.2886658795749699E-10</v>
      </c>
      <c r="JY8">
        <v>5.1313459268004724E-10</v>
      </c>
      <c r="JZ8">
        <v>3.7396694214876032E-10</v>
      </c>
      <c r="KA8">
        <v>1.1673553719008265E-10</v>
      </c>
      <c r="KB8" s="42">
        <v>9.6664698937426214E-11</v>
      </c>
      <c r="KC8">
        <v>4.8633412042502954E-9</v>
      </c>
      <c r="KD8">
        <v>2.8360389610389612E-9</v>
      </c>
      <c r="KE8">
        <v>9.1204250295159372E-11</v>
      </c>
      <c r="KF8">
        <v>2.0100354191263282E-10</v>
      </c>
      <c r="KI8" s="42">
        <v>2.1103896103896105E-10</v>
      </c>
      <c r="KJ8" s="42">
        <v>8.9728453364816986E-11</v>
      </c>
      <c r="KK8" s="42">
        <v>2.3332349468713107E-10</v>
      </c>
      <c r="KL8">
        <v>1.0463400236127509E-10</v>
      </c>
      <c r="KM8">
        <v>8.6776859504132229E-11</v>
      </c>
      <c r="KN8">
        <v>2.0498819362455726E-10</v>
      </c>
      <c r="KO8">
        <v>2.5339433293978748E-10</v>
      </c>
      <c r="KP8" s="42">
        <v>5.5047225501770953E-11</v>
      </c>
      <c r="KQ8">
        <v>2.1458087367178272E-10</v>
      </c>
      <c r="KR8" s="42">
        <v>2.9353600944510032E-10</v>
      </c>
      <c r="KS8">
        <v>1.6868358913813459E-10</v>
      </c>
      <c r="KT8">
        <v>4.7505903187721364E-10</v>
      </c>
      <c r="KU8">
        <v>4.4362455726092081E-10</v>
      </c>
      <c r="KV8">
        <v>0</v>
      </c>
      <c r="KW8">
        <v>1.6189492325855963E-10</v>
      </c>
      <c r="KX8">
        <v>9.4451003541912636E-12</v>
      </c>
    </row>
    <row r="9" spans="1:310" x14ac:dyDescent="0.35">
      <c r="A9">
        <v>5.8478073376050675E-10</v>
      </c>
      <c r="B9">
        <v>9.856238261476663E-10</v>
      </c>
      <c r="C9">
        <v>6.3480085873224534E-10</v>
      </c>
      <c r="D9">
        <v>5.8637228319142569E-10</v>
      </c>
      <c r="E9">
        <v>2.5041893474487645E-9</v>
      </c>
      <c r="F9">
        <v>3.8833806114422453E-10</v>
      </c>
      <c r="G9">
        <v>5.8546282637375781E-10</v>
      </c>
      <c r="H9">
        <v>1.7995876779605024E-9</v>
      </c>
      <c r="I9">
        <v>7.084668609633512E-10</v>
      </c>
      <c r="K9">
        <v>1.1897968817141262E-9</v>
      </c>
      <c r="L9">
        <v>2.2331712157837083E-9</v>
      </c>
      <c r="M9">
        <v>4.183501361272678E-11</v>
      </c>
      <c r="N9">
        <v>3.1239841686894883E-10</v>
      </c>
      <c r="O9">
        <v>1.4928733662019782E-9</v>
      </c>
      <c r="P9">
        <v>4.0880083954175403E-10</v>
      </c>
      <c r="Q9">
        <v>4.1084711738150696E-10</v>
      </c>
      <c r="R9">
        <v>2.4578070497476984E-10</v>
      </c>
      <c r="S9">
        <v>1.0779336931409654E-9</v>
      </c>
      <c r="T9">
        <v>4.5631995826490565E-10</v>
      </c>
      <c r="U9">
        <v>7.0301012005734342E-10</v>
      </c>
      <c r="V9">
        <v>8.442032910002963E-10</v>
      </c>
      <c r="W9">
        <v>1.6270182468080042E-9</v>
      </c>
      <c r="X9">
        <v>4.5292105500045006E-10</v>
      </c>
      <c r="Y9">
        <v>2.6374247712371224E-11</v>
      </c>
      <c r="Z9">
        <v>2.8647889756541158E-11</v>
      </c>
      <c r="AA9">
        <v>0</v>
      </c>
      <c r="AB9">
        <v>5.0020124971738541E-12</v>
      </c>
      <c r="AC9">
        <v>1.7507043740108487E-10</v>
      </c>
      <c r="AD9">
        <v>2.38505050433426E-10</v>
      </c>
      <c r="AE9">
        <v>2.0144468511345608E-10</v>
      </c>
      <c r="AF9">
        <v>3.1308050948219979E-10</v>
      </c>
      <c r="AG9">
        <v>8.3670027225453559E-11</v>
      </c>
      <c r="AH9">
        <v>4.301730747569514E-10</v>
      </c>
      <c r="AI9">
        <v>5.5181292412004276E-10</v>
      </c>
      <c r="AJ9">
        <v>3.5969017138768348E-10</v>
      </c>
      <c r="AK9">
        <v>4.0197991340924423E-10</v>
      </c>
      <c r="AL9">
        <v>4.0629983329316711E-10</v>
      </c>
      <c r="AM9">
        <v>4.7519118723151605E-10</v>
      </c>
      <c r="AN9">
        <v>1.8166399932917767E-10</v>
      </c>
      <c r="AO9">
        <v>4.1516703726542989E-10</v>
      </c>
      <c r="AP9">
        <v>7.6144272059251064E-10</v>
      </c>
      <c r="AQ9">
        <v>8.5716305065206483E-10</v>
      </c>
      <c r="AR9">
        <v>3.9765999352532125E-10</v>
      </c>
      <c r="AS9">
        <v>4.5472840883398666E-10</v>
      </c>
      <c r="AT9">
        <v>4.9156140994953969E-10</v>
      </c>
      <c r="AU9">
        <v>7.1255941664285705E-10</v>
      </c>
      <c r="AV9">
        <v>6.275252041909016E-10</v>
      </c>
      <c r="AW9">
        <v>5.8205236330750292E-10</v>
      </c>
      <c r="AX9">
        <v>2.6465193394138025E-10</v>
      </c>
      <c r="AY9">
        <v>1.2143522157911613E-9</v>
      </c>
      <c r="AZ9">
        <v>7.8192823541048179E-9</v>
      </c>
      <c r="BA9">
        <v>1.6754240859283822E-8</v>
      </c>
      <c r="BB9">
        <v>5.4862982525820495E-9</v>
      </c>
      <c r="BC9">
        <v>1.0198421389124236E-8</v>
      </c>
      <c r="BE9">
        <v>3.7424148047037105E-10</v>
      </c>
      <c r="BF9">
        <v>7.0005438539992246E-10</v>
      </c>
      <c r="BG9">
        <v>6.9664392233366756E-10</v>
      </c>
      <c r="BH9">
        <v>7.0710267573684928E-10</v>
      </c>
      <c r="BI9">
        <v>1.3826017270597367E-9</v>
      </c>
      <c r="BJ9">
        <v>2.3059277611971463E-9</v>
      </c>
      <c r="BK9">
        <v>1.4874166252959704E-9</v>
      </c>
      <c r="BL9">
        <v>2.4562155003167786E-9</v>
      </c>
      <c r="BM9">
        <v>1.7700303313862928E-9</v>
      </c>
      <c r="BN9">
        <v>1.9235011693677636E-10</v>
      </c>
      <c r="BO9">
        <v>7.025553916485092E-11</v>
      </c>
      <c r="BP9">
        <v>2.03945691362043E-10</v>
      </c>
      <c r="BQ9">
        <v>2.8215897768148868E-10</v>
      </c>
      <c r="BR9">
        <v>2.1235816692547179E-10</v>
      </c>
      <c r="BS9">
        <v>2.7602014416222989E-10</v>
      </c>
      <c r="BT9">
        <v>2.1804227203589661E-10</v>
      </c>
      <c r="BU9">
        <v>1.3732797946786399E-10</v>
      </c>
      <c r="BV9">
        <v>3.6219117763627034E-10</v>
      </c>
      <c r="BW9">
        <v>1.1731992947916856E-10</v>
      </c>
      <c r="BX9">
        <v>2.5805837201328742E-10</v>
      </c>
      <c r="BY9">
        <v>1.3891952889878293E-10</v>
      </c>
      <c r="BZ9">
        <v>1.3066620827844606E-9</v>
      </c>
      <c r="CA9">
        <v>1.05792564315227E-9</v>
      </c>
      <c r="CB9">
        <v>1.122724441411113E-9</v>
      </c>
      <c r="CC9">
        <v>3.7969822137637883E-10</v>
      </c>
      <c r="CD9">
        <v>4.8269420597727681E-10</v>
      </c>
      <c r="CE9">
        <v>3.8015294978521282E-10</v>
      </c>
      <c r="CF9">
        <v>1.6668069825809782E-9</v>
      </c>
      <c r="CG9">
        <v>2.1440444476522469E-9</v>
      </c>
      <c r="CH9">
        <v>1.460132920765931E-9</v>
      </c>
      <c r="CI9">
        <v>8.8672039722627413E-12</v>
      </c>
      <c r="CJ9">
        <v>0</v>
      </c>
      <c r="CK9">
        <v>1.0799799709807183E-10</v>
      </c>
      <c r="CL9">
        <v>3.110342316424469E-9</v>
      </c>
      <c r="CM9">
        <v>3.0200787272709228E-9</v>
      </c>
      <c r="CN9">
        <v>2.7097265882417269E-9</v>
      </c>
      <c r="CO9">
        <v>2.0753804579183155E-9</v>
      </c>
      <c r="CP9">
        <v>2.1849700044473057E-9</v>
      </c>
      <c r="CQ9">
        <v>1.9196359778926748E-9</v>
      </c>
      <c r="CR9">
        <v>2.7395112990203524E-9</v>
      </c>
      <c r="CS9">
        <v>3.7128574581295008E-9</v>
      </c>
      <c r="CT9">
        <v>2.1640524976409427E-9</v>
      </c>
      <c r="CU9">
        <v>2.1394971635639073E-10</v>
      </c>
      <c r="CV9">
        <v>2.1599599419614368E-11</v>
      </c>
      <c r="CW9">
        <v>2.3823221338812562E-9</v>
      </c>
      <c r="CX9">
        <v>6.2047691385397478E-10</v>
      </c>
      <c r="CY9">
        <v>5.2907650367834347E-10</v>
      </c>
      <c r="CZ9">
        <v>1.5324347377705349E-9</v>
      </c>
      <c r="DA9">
        <v>1.3764628935404774E-9</v>
      </c>
      <c r="DB9">
        <v>1.7209196632322223E-9</v>
      </c>
      <c r="DC9">
        <v>7.2370026265928973E-10</v>
      </c>
      <c r="DD9">
        <v>9.9585521534643068E-10</v>
      </c>
      <c r="DE9">
        <v>8.8285520575118518E-10</v>
      </c>
      <c r="DF9">
        <v>2.3782295782017505E-10</v>
      </c>
      <c r="DG9">
        <v>4.8815094688328469E-10</v>
      </c>
      <c r="DH9">
        <v>3.8515496228238676E-10</v>
      </c>
      <c r="DI9" s="23">
        <v>4.4178999999999998E-9</v>
      </c>
      <c r="DJ9" s="23">
        <v>5.57345E-9</v>
      </c>
      <c r="DK9" s="23">
        <v>5.5792500000000001E-9</v>
      </c>
      <c r="DL9" s="23">
        <v>5.0157900000000001E-9</v>
      </c>
      <c r="DM9" s="23">
        <v>4.8892799999999999E-9</v>
      </c>
      <c r="DN9" s="23">
        <v>5.2574900000000002E-9</v>
      </c>
      <c r="DO9" s="23">
        <v>4.2448000000000001E-9</v>
      </c>
      <c r="DP9" s="23">
        <v>9.6664900000000006E-10</v>
      </c>
      <c r="DQ9" s="23">
        <v>2.4847399999999998E-9</v>
      </c>
      <c r="DR9" s="23">
        <v>2.1134199999999999E-9</v>
      </c>
      <c r="DS9" s="23">
        <v>6.7304900000000004E-9</v>
      </c>
      <c r="DT9" s="23">
        <v>7.2007799999999996E-9</v>
      </c>
      <c r="DU9" s="23">
        <v>8.8795599999999995E-9</v>
      </c>
      <c r="DV9" s="23">
        <v>1.59438E-9</v>
      </c>
      <c r="DW9" s="23">
        <v>3.1196299999999999E-9</v>
      </c>
      <c r="DX9" s="23">
        <v>2.8050199999999999E-9</v>
      </c>
      <c r="DY9">
        <v>2.6623376623376619E-10</v>
      </c>
      <c r="DZ9" s="23">
        <v>1.21163E-10</v>
      </c>
      <c r="EA9" s="23">
        <v>6.0906099999999997E-10</v>
      </c>
      <c r="EB9">
        <v>2.8084415584415584E-10</v>
      </c>
      <c r="EC9">
        <v>9.7476387249114512E-10</v>
      </c>
      <c r="ED9">
        <v>5.4663518299881936E-10</v>
      </c>
      <c r="EE9">
        <v>1.3829693034238486E-9</v>
      </c>
      <c r="EF9">
        <v>9.0658205430932698E-10</v>
      </c>
      <c r="EG9">
        <v>8.9684179456906724E-10</v>
      </c>
      <c r="EH9" s="23">
        <v>2.6078799999999999E-9</v>
      </c>
      <c r="EI9" s="23">
        <v>2.19377E-9</v>
      </c>
      <c r="EJ9" s="23">
        <v>2.0541599999999999E-9</v>
      </c>
      <c r="EK9" s="23">
        <v>2.0541599999999999E-9</v>
      </c>
      <c r="EL9" s="23">
        <v>2.1125999999999999E-9</v>
      </c>
      <c r="EM9" s="23">
        <v>1.8273299999999999E-9</v>
      </c>
      <c r="EN9" s="23">
        <v>8.7839400000000004E-10</v>
      </c>
      <c r="EO9" s="23">
        <v>6.0847099999999998E-10</v>
      </c>
      <c r="EP9" s="23">
        <v>9.7535399999999998E-10</v>
      </c>
      <c r="EQ9" s="23">
        <v>3.9397900000000001E-9</v>
      </c>
      <c r="ER9" s="23">
        <v>4.84224E-9</v>
      </c>
      <c r="ES9">
        <v>4.0857438016528925E-9</v>
      </c>
      <c r="ET9">
        <v>9.0318772136953961E-10</v>
      </c>
      <c r="EU9">
        <v>1.0394037780401418E-9</v>
      </c>
      <c r="EV9">
        <v>8.8474025974025971E-10</v>
      </c>
      <c r="EW9">
        <v>2.19082054309327E-9</v>
      </c>
      <c r="EX9">
        <v>1.8422373081463989E-9</v>
      </c>
      <c r="EY9">
        <v>3.0770365997638725E-10</v>
      </c>
      <c r="EZ9">
        <v>3.4149940968122787E-10</v>
      </c>
      <c r="FA9">
        <v>8.0298110979929159E-10</v>
      </c>
      <c r="FB9">
        <v>9.6221959858323489E-11</v>
      </c>
      <c r="FC9">
        <v>2.1590909090909089E-10</v>
      </c>
      <c r="FD9">
        <v>2.9973435655253831E-10</v>
      </c>
      <c r="FE9">
        <v>1.4167650531286893E-10</v>
      </c>
      <c r="FF9">
        <v>2.3627508854781581E-10</v>
      </c>
      <c r="FG9">
        <v>1.6897874852420306E-10</v>
      </c>
      <c r="FH9">
        <v>3.3131641086186536E-10</v>
      </c>
      <c r="FI9">
        <v>4.878984651711925E-10</v>
      </c>
      <c r="FJ9">
        <v>3.4961629279811094E-10</v>
      </c>
      <c r="FK9">
        <v>1.9992621015348289E-9</v>
      </c>
      <c r="FL9">
        <v>6.1880165289256197E-10</v>
      </c>
      <c r="FM9">
        <v>7.0410271546635189E-10</v>
      </c>
      <c r="FN9">
        <v>1.6012396694214875E-10</v>
      </c>
      <c r="FO9">
        <v>2.9146989374262103E-10</v>
      </c>
      <c r="FP9">
        <v>2.0129870129870132E-10</v>
      </c>
      <c r="FQ9">
        <v>1.1384297520661155E-9</v>
      </c>
      <c r="FR9">
        <v>7.5191853600944512E-10</v>
      </c>
      <c r="FS9">
        <v>3.4946871310507666E-10</v>
      </c>
      <c r="FT9">
        <v>7.1561393152302242E-10</v>
      </c>
      <c r="FU9">
        <v>2.3568476977567882E-9</v>
      </c>
      <c r="FV9">
        <v>9.1514167650531271E-10</v>
      </c>
      <c r="FW9">
        <v>2.1300177095631642E-9</v>
      </c>
      <c r="FX9">
        <v>3.7736127508854779E-10</v>
      </c>
      <c r="FY9">
        <v>3.2098583234946873E-10</v>
      </c>
      <c r="FZ9">
        <v>8.1404958677685944E-10</v>
      </c>
      <c r="GA9">
        <v>6.5185950413223142E-10</v>
      </c>
      <c r="GB9">
        <v>9.853896103896103E-10</v>
      </c>
      <c r="GC9">
        <v>1.1675029515938607E-9</v>
      </c>
      <c r="GD9">
        <v>1.1953955135773317E-9</v>
      </c>
      <c r="GE9">
        <v>9.8066706021251471E-10</v>
      </c>
      <c r="GF9">
        <v>1.0861865407319951E-9</v>
      </c>
      <c r="GG9">
        <v>2.2246162927981112E-9</v>
      </c>
      <c r="GH9">
        <v>2.3720484061393149E-9</v>
      </c>
      <c r="GI9">
        <v>4.7269775678866585E-10</v>
      </c>
      <c r="GJ9">
        <v>3.1776859504132226E-9</v>
      </c>
      <c r="GK9">
        <v>5.864521841794569E-9</v>
      </c>
      <c r="GL9">
        <v>7.8355962219598587E-9</v>
      </c>
      <c r="GM9">
        <v>6.4037780401416765E-9</v>
      </c>
      <c r="GN9">
        <v>9.2359799291617456E-9</v>
      </c>
      <c r="GO9">
        <v>7.4557260920897291E-9</v>
      </c>
      <c r="GP9">
        <v>2.6335596221959856E-9</v>
      </c>
      <c r="GQ9">
        <v>2.9809622195985837E-9</v>
      </c>
      <c r="GR9">
        <v>3.7911747343565523E-9</v>
      </c>
      <c r="GS9">
        <v>5.8568476977567889E-9</v>
      </c>
      <c r="GT9">
        <v>2.7309622195985835E-9</v>
      </c>
      <c r="GU9">
        <v>3.2843860684769774E-9</v>
      </c>
      <c r="GV9">
        <v>2.1620425029515939E-9</v>
      </c>
      <c r="GW9">
        <v>2.2808441558441553E-9</v>
      </c>
      <c r="GX9">
        <v>3.1596812278630459E-10</v>
      </c>
      <c r="GY9">
        <v>4.241440377804014E-10</v>
      </c>
      <c r="GZ9">
        <v>3.7012987012987008E-10</v>
      </c>
      <c r="HA9">
        <v>8.62012987012987E-10</v>
      </c>
      <c r="HB9">
        <v>9.0510625737898463E-10</v>
      </c>
      <c r="HC9">
        <v>9.0982880755608022E-10</v>
      </c>
      <c r="HD9">
        <v>1.1989374262101532E-9</v>
      </c>
      <c r="HE9">
        <v>1.563164108618654E-9</v>
      </c>
      <c r="HF9">
        <v>1.8413518299881934E-9</v>
      </c>
      <c r="HG9">
        <v>2.5346812278630456E-9</v>
      </c>
      <c r="HH9">
        <v>3.01254427390791E-9</v>
      </c>
      <c r="HI9">
        <v>3.4303423848878394E-9</v>
      </c>
      <c r="HJ9">
        <v>1.3412042502951595E-9</v>
      </c>
      <c r="HK9">
        <v>2.7432113341204249E-9</v>
      </c>
      <c r="HL9">
        <v>5.8657024793388428E-9</v>
      </c>
      <c r="HM9">
        <v>5.6996753246753242E-9</v>
      </c>
      <c r="HN9">
        <v>5.2827626918535999E-9</v>
      </c>
      <c r="HO9">
        <v>2.2899940968122783E-9</v>
      </c>
      <c r="HP9">
        <v>3.7480814639905551E-9</v>
      </c>
      <c r="HQ9">
        <v>8.6294273907910277E-9</v>
      </c>
      <c r="HR9">
        <v>4.4994096812278625E-9</v>
      </c>
      <c r="HS9">
        <v>6.4662042502951583E-9</v>
      </c>
      <c r="HT9">
        <v>3.5361570247933887E-9</v>
      </c>
      <c r="HU9">
        <v>6.4570543093270358E-9</v>
      </c>
      <c r="HV9">
        <v>6.6407910271546629E-9</v>
      </c>
      <c r="HW9">
        <v>6.3937426210153489E-9</v>
      </c>
      <c r="HX9">
        <v>5.4983766233766228E-9</v>
      </c>
      <c r="HY9">
        <v>1.1807851239669423E-9</v>
      </c>
      <c r="HZ9">
        <v>3.4189787485242024E-9</v>
      </c>
      <c r="IA9">
        <v>2.0941558441558441E-9</v>
      </c>
      <c r="IB9">
        <v>2.1759149940968125E-9</v>
      </c>
      <c r="IC9">
        <v>1.6272136953955135E-9</v>
      </c>
      <c r="ID9">
        <v>3.1438902007083822E-9</v>
      </c>
      <c r="IE9">
        <v>5.0848583234946872E-9</v>
      </c>
      <c r="IF9">
        <v>3.0507674144037777E-9</v>
      </c>
      <c r="IG9">
        <v>2.0361570247933881E-9</v>
      </c>
      <c r="IH9">
        <v>2.3212809917355371E-9</v>
      </c>
      <c r="II9">
        <v>2.3962514757969301E-9</v>
      </c>
      <c r="IJ9">
        <v>3.0475206611570245E-10</v>
      </c>
      <c r="IK9">
        <v>5.7600354191263289E-10</v>
      </c>
      <c r="IL9">
        <v>6.9952774498229032E-10</v>
      </c>
      <c r="IM9">
        <v>1.1887544273907908E-9</v>
      </c>
      <c r="IN9">
        <v>1.4619244391971664E-9</v>
      </c>
      <c r="IO9">
        <v>1.4752066115702478E-9</v>
      </c>
      <c r="IP9">
        <v>1.1062573789846515E-9</v>
      </c>
      <c r="IQ9">
        <v>1.1124557260920895E-9</v>
      </c>
      <c r="IR9">
        <v>9.5292207792207786E-10</v>
      </c>
      <c r="IS9">
        <v>1.3040141676505313E-9</v>
      </c>
      <c r="IT9">
        <v>3.2482290436835893E-10</v>
      </c>
      <c r="IU9">
        <v>2.939787485242031E-10</v>
      </c>
      <c r="IV9">
        <v>2.5162337662337664E-10</v>
      </c>
      <c r="IW9">
        <v>1.5348288075560804E-10</v>
      </c>
      <c r="IX9">
        <v>7.2461629279811101E-11</v>
      </c>
      <c r="IY9">
        <v>1.9997048406139317E-10</v>
      </c>
      <c r="IZ9">
        <v>9.3713105076741443E-11</v>
      </c>
      <c r="JA9">
        <v>2.7794175521448249E-11</v>
      </c>
      <c r="JB9">
        <v>1.6348140495867771E-9</v>
      </c>
      <c r="JC9">
        <v>7.5388626524990168E-10</v>
      </c>
      <c r="JD9">
        <v>3.8602272727272729E-9</v>
      </c>
      <c r="JE9">
        <v>7.0909582841401042E-9</v>
      </c>
      <c r="JF9">
        <v>8.0481404958677684E-9</v>
      </c>
      <c r="JG9">
        <v>8.6457103502558059E-11</v>
      </c>
      <c r="JH9">
        <v>6.7739079102715471E-11</v>
      </c>
      <c r="JI9">
        <v>7.5413223140495859E-11</v>
      </c>
      <c r="JJ9">
        <v>1.3975796930342383E-10</v>
      </c>
      <c r="JK9">
        <v>1.610094451003542E-10</v>
      </c>
      <c r="JL9">
        <v>1.5481109799291616E-10</v>
      </c>
      <c r="JM9">
        <v>2.0365997638724909E-11</v>
      </c>
      <c r="JN9">
        <v>3.4031877213695392E-10</v>
      </c>
      <c r="JO9">
        <v>4.309327036599764E-11</v>
      </c>
      <c r="JP9">
        <v>8.8060802833530102E-10</v>
      </c>
      <c r="JQ9">
        <v>1.3474025974025977E-10</v>
      </c>
      <c r="JR9">
        <v>5.8662927981109797E-10</v>
      </c>
      <c r="JS9">
        <v>4.5144628099173553E-10</v>
      </c>
      <c r="JT9">
        <v>5.0914994096812284E-11</v>
      </c>
      <c r="JU9">
        <v>5.7998819362455723E-11</v>
      </c>
      <c r="JV9">
        <v>1.3016528925619835E-10</v>
      </c>
      <c r="JW9">
        <v>4.4495277449822899E-10</v>
      </c>
      <c r="JY9">
        <v>5.2538370720188899E-10</v>
      </c>
      <c r="JZ9">
        <v>4.3388429752066118E-10</v>
      </c>
      <c r="KA9">
        <v>9.4893742621015328E-11</v>
      </c>
      <c r="KB9" s="42">
        <v>1.3090318772136952E-10</v>
      </c>
      <c r="KC9">
        <v>4.7618063754427391E-9</v>
      </c>
      <c r="KD9">
        <v>6.0712809917355372E-9</v>
      </c>
      <c r="KE9">
        <v>1.914108618654073E-10</v>
      </c>
      <c r="KF9">
        <v>2.1856552538370719E-10</v>
      </c>
      <c r="KI9" s="42">
        <v>1.8860684769775678E-10</v>
      </c>
      <c r="KJ9" s="42">
        <v>8.1611570247933887E-11</v>
      </c>
      <c r="KK9" s="42">
        <v>4.3476977567886658E-10</v>
      </c>
      <c r="KL9">
        <v>0</v>
      </c>
      <c r="KM9">
        <v>1.8875442739079101E-10</v>
      </c>
      <c r="KN9">
        <v>5.4014167650531287E-10</v>
      </c>
      <c r="KO9">
        <v>5.2464580873671777E-10</v>
      </c>
      <c r="KP9" s="42">
        <v>1.1762101534828807E-10</v>
      </c>
      <c r="KQ9">
        <v>2.3966942148760328E-10</v>
      </c>
      <c r="KR9" s="42">
        <v>3.1877213695395516E-10</v>
      </c>
      <c r="KS9">
        <v>2.281582054309327E-10</v>
      </c>
      <c r="KT9">
        <v>6.3001770956316405E-10</v>
      </c>
      <c r="KU9">
        <v>1.0667060212514757E-9</v>
      </c>
      <c r="KV9">
        <v>1.4757969303423847E-10</v>
      </c>
      <c r="KW9">
        <v>1.8609799291617471E-10</v>
      </c>
      <c r="KX9">
        <v>8.9285714285714288E-11</v>
      </c>
    </row>
    <row r="10" spans="1:310" x14ac:dyDescent="0.35">
      <c r="A10">
        <v>1.0411006920254126E-9</v>
      </c>
      <c r="B10">
        <v>1.7068230825583687E-9</v>
      </c>
      <c r="C10">
        <v>1.2043481907968137E-9</v>
      </c>
      <c r="D10">
        <v>7.2460971947695771E-10</v>
      </c>
      <c r="E10">
        <v>3.46184737645314E-9</v>
      </c>
      <c r="F10">
        <v>4.5563786565165458E-10</v>
      </c>
      <c r="G10">
        <v>7.5348497343791594E-10</v>
      </c>
      <c r="H10">
        <v>2.4009659986434496E-9</v>
      </c>
      <c r="I10">
        <v>9.6675259718105574E-10</v>
      </c>
      <c r="K10">
        <v>3.070553580651495E-9</v>
      </c>
      <c r="L10">
        <v>3.029173295447602E-9</v>
      </c>
      <c r="M10">
        <v>1.1481892323058161E-10</v>
      </c>
      <c r="N10">
        <v>6.0342459852270029E-10</v>
      </c>
      <c r="O10">
        <v>2.2227124623805268E-9</v>
      </c>
      <c r="P10">
        <v>6.5981092121811453E-10</v>
      </c>
      <c r="Q10">
        <v>7.7713085069728321E-10</v>
      </c>
      <c r="R10">
        <v>3.8106240660288085E-10</v>
      </c>
      <c r="S10">
        <v>2.188607831717978E-9</v>
      </c>
      <c r="T10">
        <v>1.0024487772745236E-9</v>
      </c>
      <c r="U10">
        <v>1.4558130008820083E-9</v>
      </c>
      <c r="V10">
        <v>9.926721164845928E-10</v>
      </c>
      <c r="W10">
        <v>1.6438431979348617E-9</v>
      </c>
      <c r="X10">
        <v>5.3462957962012778E-10</v>
      </c>
      <c r="Y10">
        <v>6.8209261325097986E-12</v>
      </c>
      <c r="Z10">
        <v>2.7056340325622203E-11</v>
      </c>
      <c r="AA10">
        <v>0</v>
      </c>
      <c r="AB10">
        <v>7.2074452800186892E-11</v>
      </c>
      <c r="AC10">
        <v>2.1849700044473058E-10</v>
      </c>
      <c r="AD10">
        <v>3.4036421401223903E-10</v>
      </c>
      <c r="AE10">
        <v>2.960281941509253E-10</v>
      </c>
      <c r="AF10">
        <v>3.8879278955305863E-10</v>
      </c>
      <c r="AG10">
        <v>8.548894086078948E-11</v>
      </c>
      <c r="AH10">
        <v>5.3044068890484539E-10</v>
      </c>
      <c r="AI10">
        <v>7.2597390470345973E-10</v>
      </c>
      <c r="AJ10">
        <v>4.3904027872921413E-10</v>
      </c>
      <c r="AK10">
        <v>6.6640448314620741E-10</v>
      </c>
      <c r="AL10">
        <v>5.2816704686067549E-10</v>
      </c>
      <c r="AM10">
        <v>6.1683908658330286E-10</v>
      </c>
      <c r="AN10">
        <v>3.4604831912266388E-10</v>
      </c>
      <c r="AO10">
        <v>5.8387127694283877E-10</v>
      </c>
      <c r="AP10">
        <v>9.2309866993299291E-10</v>
      </c>
      <c r="AQ10">
        <v>1.0119980738600372E-9</v>
      </c>
      <c r="AR10">
        <v>5.3794370765060625E-10</v>
      </c>
      <c r="AS10">
        <v>7.6485318365876554E-10</v>
      </c>
      <c r="AT10">
        <v>9.8630591876091705E-10</v>
      </c>
      <c r="AU10">
        <v>1.1509176027588203E-9</v>
      </c>
      <c r="AV10">
        <v>1.056334093721351E-9</v>
      </c>
      <c r="AW10">
        <v>8.0987129613333018E-10</v>
      </c>
      <c r="AX10">
        <v>2.4964589644985868E-10</v>
      </c>
      <c r="AY10">
        <v>1.4373965003242318E-9</v>
      </c>
      <c r="AZ10">
        <v>1.0466938514540706E-8</v>
      </c>
      <c r="BA10">
        <v>1.900241811255905E-8</v>
      </c>
      <c r="BB10">
        <v>7.2681515225980264E-9</v>
      </c>
      <c r="BC10">
        <v>1.177041749846333E-8</v>
      </c>
      <c r="BE10">
        <v>5.5931594286580362E-10</v>
      </c>
      <c r="BF10">
        <v>1.0106338886335355E-9</v>
      </c>
      <c r="BG10">
        <v>1.1650141834326737E-9</v>
      </c>
      <c r="BH10">
        <v>1.0094970676114503E-9</v>
      </c>
      <c r="BI10">
        <v>1.8762094148490288E-9</v>
      </c>
      <c r="BJ10">
        <v>3.1096602238112181E-9</v>
      </c>
      <c r="BK10">
        <v>2.2770525072361885E-9</v>
      </c>
      <c r="BL10">
        <v>3.4170566281829926E-9</v>
      </c>
      <c r="BM10">
        <v>2.6506118950933081E-9</v>
      </c>
      <c r="BN10">
        <v>2.4350706293059989E-10</v>
      </c>
      <c r="BO10">
        <v>1.7961772148942474E-10</v>
      </c>
      <c r="BP10">
        <v>2.7738432938873186E-10</v>
      </c>
      <c r="BQ10">
        <v>4.3858555032038014E-10</v>
      </c>
      <c r="BR10">
        <v>2.2327164873748744E-10</v>
      </c>
      <c r="BS10">
        <v>4.7882901450218797E-10</v>
      </c>
      <c r="BT10">
        <v>3.2262980606771353E-10</v>
      </c>
      <c r="BU10">
        <v>1.3482697321927707E-10</v>
      </c>
      <c r="BV10">
        <v>5.5499602298188075E-10</v>
      </c>
      <c r="BW10">
        <v>1.2232194197634242E-10</v>
      </c>
      <c r="BX10">
        <v>3.4195576344315792E-10</v>
      </c>
      <c r="BY10">
        <v>1.9621530841186527E-10</v>
      </c>
      <c r="BZ10">
        <v>1.6902254956359283E-9</v>
      </c>
      <c r="CA10">
        <v>1.6261087899903363E-9</v>
      </c>
      <c r="CB10">
        <v>1.9303220955002734E-9</v>
      </c>
      <c r="CC10">
        <v>5.1361573777798792E-10</v>
      </c>
      <c r="CD10">
        <v>6.7504432291405327E-10</v>
      </c>
      <c r="CE10">
        <v>4.7564591564035009E-10</v>
      </c>
      <c r="CF10">
        <v>2.4812255628026482E-9</v>
      </c>
      <c r="CG10">
        <v>3.0539559937290537E-9</v>
      </c>
      <c r="CH10">
        <v>2.1665535038895298E-9</v>
      </c>
      <c r="CI10">
        <v>0</v>
      </c>
      <c r="CJ10">
        <v>6.7299804507430011E-11</v>
      </c>
      <c r="CK10">
        <v>1.2163984936309141E-10</v>
      </c>
      <c r="CL10">
        <v>4.4749822713352624E-9</v>
      </c>
      <c r="CM10">
        <v>4.4663424315674167E-9</v>
      </c>
      <c r="CN10">
        <v>3.8151713501171484E-9</v>
      </c>
      <c r="CO10">
        <v>3.0475897960053783E-9</v>
      </c>
      <c r="CP10">
        <v>3.070553580651495E-9</v>
      </c>
      <c r="CQ10">
        <v>2.6933563655237027E-9</v>
      </c>
      <c r="CR10">
        <v>3.6323705297658852E-9</v>
      </c>
      <c r="CS10">
        <v>5.1984551697901348E-9</v>
      </c>
      <c r="CT10">
        <v>3.1878735101306637E-9</v>
      </c>
      <c r="CU10">
        <v>3.6764791854227828E-10</v>
      </c>
      <c r="CV10">
        <v>2.4327969872618285E-11</v>
      </c>
      <c r="CW10">
        <v>2.9366360642498858E-9</v>
      </c>
      <c r="CX10">
        <v>9.8266809149024533E-10</v>
      </c>
      <c r="CY10">
        <v>7.50756602984912E-10</v>
      </c>
      <c r="CZ10">
        <v>2.1335856942490654E-9</v>
      </c>
      <c r="DA10">
        <v>2.0872033965479989E-9</v>
      </c>
      <c r="DB10">
        <v>2.3054730327883125E-9</v>
      </c>
      <c r="DC10">
        <v>1.1386399357203026E-9</v>
      </c>
      <c r="DD10">
        <v>1.3903321100099142E-9</v>
      </c>
      <c r="DE10">
        <v>1.3439498123088477E-9</v>
      </c>
      <c r="DF10">
        <v>4.665513474636704E-10</v>
      </c>
      <c r="DG10">
        <v>6.3980287122941918E-10</v>
      </c>
      <c r="DH10">
        <v>6.845936194995668E-10</v>
      </c>
      <c r="DI10" s="23">
        <v>5.5199800000000002E-9</v>
      </c>
      <c r="DJ10" s="23">
        <v>6.6672999999999999E-9</v>
      </c>
      <c r="DK10" s="23">
        <v>8.8077000000000005E-9</v>
      </c>
      <c r="DL10" s="23">
        <v>8.1308999999999997E-9</v>
      </c>
      <c r="DM10" s="23">
        <v>6.4658400000000001E-9</v>
      </c>
      <c r="DN10" s="23">
        <v>6.7871999999999999E-9</v>
      </c>
      <c r="DO10" s="23">
        <v>5.7286000000000003E-9</v>
      </c>
      <c r="DP10" s="23">
        <v>2.133E-9</v>
      </c>
      <c r="DQ10" s="23">
        <v>4.4974300000000003E-9</v>
      </c>
      <c r="DR10" s="23">
        <v>4.1754000000000003E-9</v>
      </c>
      <c r="DS10" s="23">
        <v>8.7726199999999998E-9</v>
      </c>
      <c r="DT10" s="23">
        <v>9.50594E-9</v>
      </c>
      <c r="DU10" s="23">
        <v>1.17657E-8</v>
      </c>
      <c r="DV10" s="23">
        <v>2.79503E-9</v>
      </c>
      <c r="DW10" s="23">
        <v>4.9908200000000003E-9</v>
      </c>
      <c r="DX10" s="23">
        <v>4.4345099999999998E-9</v>
      </c>
      <c r="DY10">
        <v>3.094746162927981E-10</v>
      </c>
      <c r="DZ10" s="23">
        <v>2.28453E-10</v>
      </c>
      <c r="EA10" s="23">
        <v>8.8105099999999998E-10</v>
      </c>
      <c r="EB10">
        <v>3.4548406139315229E-10</v>
      </c>
      <c r="EC10">
        <v>1.2364226682408499E-9</v>
      </c>
      <c r="ED10">
        <v>7.4985242030696577E-10</v>
      </c>
      <c r="EE10">
        <v>1.8485832349468711E-9</v>
      </c>
      <c r="EF10">
        <v>1.2933884297520661E-9</v>
      </c>
      <c r="EG10">
        <v>1.1115702479338842E-9</v>
      </c>
      <c r="EH10" s="23">
        <v>3.2322899999999998E-9</v>
      </c>
      <c r="EI10" s="23">
        <v>2.7761200000000001E-9</v>
      </c>
      <c r="EJ10" s="23">
        <v>2.63385E-9</v>
      </c>
      <c r="EK10" s="23">
        <v>2.63385E-9</v>
      </c>
      <c r="EL10" s="23">
        <v>2.7337700000000002E-9</v>
      </c>
      <c r="EM10" s="23">
        <v>2.29678E-9</v>
      </c>
      <c r="EN10" s="23">
        <v>1.1958400000000001E-9</v>
      </c>
      <c r="EO10" s="23">
        <v>9.0126900000000002E-10</v>
      </c>
      <c r="EP10" s="23">
        <v>1.40186E-9</v>
      </c>
      <c r="EQ10" s="23">
        <v>4.5273000000000003E-9</v>
      </c>
      <c r="ER10" s="23">
        <v>5.5990299999999998E-9</v>
      </c>
      <c r="ES10">
        <v>4.2675619834710742E-9</v>
      </c>
      <c r="ET10">
        <v>1.1307556080283352E-9</v>
      </c>
      <c r="EU10">
        <v>1.3431227863046046E-9</v>
      </c>
      <c r="EV10">
        <v>1.4756493506493506E-9</v>
      </c>
      <c r="EW10">
        <v>3.3237898465171193E-9</v>
      </c>
      <c r="EX10">
        <v>3.1458087367178277E-9</v>
      </c>
      <c r="EY10">
        <v>4.1145218417945687E-10</v>
      </c>
      <c r="EZ10">
        <v>4.8066706021251479E-10</v>
      </c>
      <c r="FA10">
        <v>1.2055785123966943E-9</v>
      </c>
      <c r="FB10">
        <v>9.7550177095631637E-11</v>
      </c>
      <c r="FC10">
        <v>2.1768004722550179E-10</v>
      </c>
      <c r="FD10">
        <v>3.1862455726092088E-10</v>
      </c>
      <c r="FE10">
        <v>1.5230224321133412E-10</v>
      </c>
      <c r="FF10">
        <v>2.4409681227863042E-10</v>
      </c>
      <c r="FG10">
        <v>2.0956316410861865E-10</v>
      </c>
      <c r="FH10">
        <v>4.7314049586776862E-10</v>
      </c>
      <c r="FI10">
        <v>7.2328807556080281E-10</v>
      </c>
      <c r="FJ10">
        <v>3.9285714285714284E-10</v>
      </c>
      <c r="FK10">
        <v>2.8572904368358915E-9</v>
      </c>
      <c r="FL10">
        <v>8.5492916174734351E-10</v>
      </c>
      <c r="FM10">
        <v>9.5070838252656418E-10</v>
      </c>
      <c r="FN10">
        <v>2.1620425029515942E-10</v>
      </c>
      <c r="FO10">
        <v>3.9359504132231402E-10</v>
      </c>
      <c r="FP10">
        <v>2.9309327036599765E-10</v>
      </c>
      <c r="FQ10">
        <v>1.7225501770956315E-9</v>
      </c>
      <c r="FR10">
        <v>8.8296930342384881E-10</v>
      </c>
      <c r="FS10">
        <v>3.0224321133412043E-10</v>
      </c>
      <c r="FT10">
        <v>1.0016233766233766E-9</v>
      </c>
      <c r="FU10">
        <v>2.1762101534828811E-9</v>
      </c>
      <c r="FV10">
        <v>2.8451889020070837E-9</v>
      </c>
      <c r="FW10">
        <v>2.4822904368358915E-9</v>
      </c>
      <c r="FX10">
        <v>4.3801652892561983E-10</v>
      </c>
      <c r="FY10">
        <v>3.6363636363636359E-10</v>
      </c>
      <c r="FZ10">
        <v>1.1201298701298702E-9</v>
      </c>
      <c r="GA10">
        <v>8.5197756788665871E-10</v>
      </c>
      <c r="GB10">
        <v>1.3068181818181819E-9</v>
      </c>
      <c r="GC10">
        <v>1.5349763872491146E-9</v>
      </c>
      <c r="GD10">
        <v>1.5295159386068475E-9</v>
      </c>
      <c r="GE10">
        <v>1.2216646989374263E-9</v>
      </c>
      <c r="GF10">
        <v>1.4924734356552538E-9</v>
      </c>
      <c r="GG10">
        <v>2.8854781582054308E-9</v>
      </c>
      <c r="GH10">
        <v>2.8574380165289254E-9</v>
      </c>
      <c r="GI10">
        <v>6.1186540731995271E-10</v>
      </c>
      <c r="GJ10">
        <v>4.3683589138134589E-9</v>
      </c>
      <c r="GK10">
        <v>7.5193329397874847E-9</v>
      </c>
      <c r="GL10">
        <v>1.0057408500590319E-8</v>
      </c>
      <c r="GM10">
        <v>8.3279220779220765E-9</v>
      </c>
      <c r="GN10">
        <v>1.0554014167650532E-8</v>
      </c>
      <c r="GO10">
        <v>9.8243801652892561E-9</v>
      </c>
      <c r="GP10">
        <v>3.3158205430932702E-9</v>
      </c>
      <c r="GQ10">
        <v>3.8206906729633996E-9</v>
      </c>
      <c r="GR10">
        <v>5.3231995277449817E-9</v>
      </c>
      <c r="GS10">
        <v>8.1019775678866597E-9</v>
      </c>
      <c r="GT10">
        <v>4.0729043683589143E-9</v>
      </c>
      <c r="GU10">
        <v>4.2350944510035428E-9</v>
      </c>
      <c r="GV10">
        <v>2.7976682408500587E-9</v>
      </c>
      <c r="GW10">
        <v>2.8298406139315231E-9</v>
      </c>
      <c r="GX10">
        <v>3.2688902007083822E-10</v>
      </c>
      <c r="GY10">
        <v>4.664994096812278E-10</v>
      </c>
      <c r="GZ10">
        <v>3.6953955135773318E-10</v>
      </c>
      <c r="HA10">
        <v>1.1348878394332941E-9</v>
      </c>
      <c r="HB10">
        <v>1.1683884297520662E-9</v>
      </c>
      <c r="HC10">
        <v>1.233913813459268E-9</v>
      </c>
      <c r="HD10">
        <v>1.6459563164108618E-9</v>
      </c>
      <c r="HE10">
        <v>1.9763872491145213E-9</v>
      </c>
      <c r="HF10">
        <v>2.6185064935064932E-9</v>
      </c>
      <c r="HG10">
        <v>3.4254722550177095E-9</v>
      </c>
      <c r="HH10">
        <v>4.1592384887839431E-9</v>
      </c>
      <c r="HI10">
        <v>4.8745572609208977E-9</v>
      </c>
      <c r="HJ10">
        <v>1.8332349468713103E-9</v>
      </c>
      <c r="HK10">
        <v>3.8183293978748529E-9</v>
      </c>
      <c r="HL10">
        <v>7.9025974025974021E-9</v>
      </c>
      <c r="HM10">
        <v>7.9329988193624554E-9</v>
      </c>
      <c r="HN10">
        <v>7.3476977567886658E-9</v>
      </c>
      <c r="HO10">
        <v>3.0425029515938603E-9</v>
      </c>
      <c r="HP10">
        <v>4.6787190082644623E-9</v>
      </c>
      <c r="HQ10">
        <v>1.1208530106257379E-8</v>
      </c>
      <c r="HR10">
        <v>5.7408500590318768E-9</v>
      </c>
      <c r="HS10">
        <v>8.0726092089728451E-9</v>
      </c>
      <c r="HT10">
        <v>4.5492916174734346E-9</v>
      </c>
      <c r="HU10">
        <v>8.7139905548996461E-9</v>
      </c>
      <c r="HV10">
        <v>8.9124852420306961E-9</v>
      </c>
      <c r="HW10">
        <v>8.8063754427390807E-9</v>
      </c>
      <c r="HX10">
        <v>6.510035419126328E-9</v>
      </c>
      <c r="HY10">
        <v>1.6948051948051949E-9</v>
      </c>
      <c r="HZ10">
        <v>4.2987012987012984E-9</v>
      </c>
      <c r="IA10">
        <v>2.7812868949232583E-9</v>
      </c>
      <c r="IB10">
        <v>2.8652597402597403E-9</v>
      </c>
      <c r="IC10">
        <v>2.2603305785123962E-9</v>
      </c>
      <c r="ID10">
        <v>3.9334415584415573E-9</v>
      </c>
      <c r="IE10">
        <v>6.1748819362455724E-9</v>
      </c>
      <c r="IF10">
        <v>3.8479929161747345E-9</v>
      </c>
      <c r="IG10">
        <v>2.7010035419126332E-9</v>
      </c>
      <c r="IH10">
        <v>2.9583825265643448E-9</v>
      </c>
      <c r="II10">
        <v>3.0656729634002361E-9</v>
      </c>
      <c r="IJ10">
        <v>5.1461038961038958E-10</v>
      </c>
      <c r="IK10">
        <v>6.9790436835891375E-10</v>
      </c>
      <c r="IL10">
        <v>8.7721369539551344E-10</v>
      </c>
      <c r="IM10">
        <v>1.5249409681227863E-9</v>
      </c>
      <c r="IN10">
        <v>1.8302833530106254E-9</v>
      </c>
      <c r="IO10">
        <v>1.9765348288075561E-9</v>
      </c>
      <c r="IP10">
        <v>1.3868063754427391E-9</v>
      </c>
      <c r="IQ10">
        <v>1.4369834710743803E-9</v>
      </c>
      <c r="IR10">
        <v>1.2517709563164107E-9</v>
      </c>
      <c r="IS10">
        <v>1.6463990554899646E-9</v>
      </c>
      <c r="IT10">
        <v>4.4288665879574969E-10</v>
      </c>
      <c r="IU10">
        <v>2.6180637544273905E-10</v>
      </c>
      <c r="IV10">
        <v>2.3981700118063756E-10</v>
      </c>
      <c r="IW10">
        <v>1.5008854781582052E-10</v>
      </c>
      <c r="IX10">
        <v>1.7045454545454546E-10</v>
      </c>
      <c r="IY10">
        <v>2.4203069657615108E-10</v>
      </c>
      <c r="IZ10">
        <v>5.0546044864226698E-11</v>
      </c>
      <c r="JA10">
        <v>5.1529909484454942E-11</v>
      </c>
      <c r="JB10">
        <v>2.1060852026761119E-9</v>
      </c>
      <c r="JC10">
        <v>1.0237111373475009E-9</v>
      </c>
      <c r="JD10">
        <v>1.1646177685950411E-8</v>
      </c>
      <c r="JE10">
        <v>8.6120129870129886E-9</v>
      </c>
      <c r="JF10">
        <v>9.1173553719008258E-9</v>
      </c>
      <c r="JG10">
        <v>9.7279614325068884E-11</v>
      </c>
      <c r="JH10">
        <v>2.9515938606847698E-11</v>
      </c>
      <c r="JI10">
        <v>9.7992916174734349E-11</v>
      </c>
      <c r="JJ10">
        <v>1.0064935064935066E-10</v>
      </c>
      <c r="JK10">
        <v>1.8491735537190084E-10</v>
      </c>
      <c r="JL10">
        <v>2.2387839433293978E-10</v>
      </c>
      <c r="JM10">
        <v>1.7709563164108616E-11</v>
      </c>
      <c r="JN10">
        <v>1.3518299881936247E-10</v>
      </c>
      <c r="JO10">
        <v>1.2632821723730813E-10</v>
      </c>
      <c r="JP10">
        <v>1.2626918536009444E-9</v>
      </c>
      <c r="JQ10">
        <v>1.9451003541912633E-10</v>
      </c>
      <c r="JR10">
        <v>2.546044864226683E-9</v>
      </c>
      <c r="JS10">
        <v>2.4558736717827625E-9</v>
      </c>
      <c r="JT10">
        <v>4.9144037780401418E-11</v>
      </c>
      <c r="JU10">
        <v>1.449232585596222E-10</v>
      </c>
      <c r="JV10">
        <v>1.1393152302243211E-10</v>
      </c>
      <c r="JW10">
        <v>3.9595631641086181E-10</v>
      </c>
      <c r="JY10">
        <v>5.7423258559622189E-10</v>
      </c>
      <c r="JZ10">
        <v>5.701003541912633E-10</v>
      </c>
      <c r="KA10">
        <v>1.2234356552538369E-10</v>
      </c>
      <c r="KB10" s="42">
        <v>1.5761511216056668E-10</v>
      </c>
      <c r="KC10">
        <v>4.1878689492325861E-9</v>
      </c>
      <c r="KD10">
        <v>4.8398760330578505E-9</v>
      </c>
      <c r="KE10">
        <v>2.1472845336481699E-10</v>
      </c>
      <c r="KF10">
        <v>3.9507083825265636E-10</v>
      </c>
      <c r="KI10" s="42">
        <v>2.3302833530106257E-10</v>
      </c>
      <c r="KJ10" s="42">
        <v>8.3234946871310496E-11</v>
      </c>
      <c r="KK10" s="42">
        <v>4.7579693034238487E-10</v>
      </c>
      <c r="KL10">
        <v>9.5188902007083829E-11</v>
      </c>
      <c r="KM10">
        <v>1.8595041322314049E-10</v>
      </c>
      <c r="KN10">
        <v>8.8208382526564347E-10</v>
      </c>
      <c r="KO10">
        <v>1.390495867768595E-9</v>
      </c>
      <c r="KP10" s="42">
        <v>1.0301062573789845E-10</v>
      </c>
      <c r="KQ10">
        <v>3.0106257378984649E-10</v>
      </c>
      <c r="KR10" s="42">
        <v>6.3518299881936252E-10</v>
      </c>
      <c r="KS10">
        <v>3.884297520661157E-10</v>
      </c>
      <c r="KT10">
        <v>4.5466351829988184E-9</v>
      </c>
      <c r="KU10">
        <v>1.0518004722550174E-9</v>
      </c>
      <c r="KV10">
        <v>7.6889020070838244E-11</v>
      </c>
      <c r="KW10">
        <v>1.6041912632821723E-10</v>
      </c>
      <c r="KX10">
        <v>6.4197166469893739E-11</v>
      </c>
    </row>
    <row r="11" spans="1:310" x14ac:dyDescent="0.35">
      <c r="A11">
        <v>1.4478552537274135E-9</v>
      </c>
      <c r="B11">
        <v>2.6453825183917172E-9</v>
      </c>
      <c r="C11">
        <v>1.9241832619810143E-9</v>
      </c>
      <c r="D11">
        <v>7.2733808992996165E-10</v>
      </c>
      <c r="E11">
        <v>3.3877266458132009E-9</v>
      </c>
      <c r="F11">
        <v>5.8614491898700877E-10</v>
      </c>
      <c r="G11">
        <v>1.0354165869149878E-9</v>
      </c>
      <c r="H11">
        <v>3.0084831528456557E-9</v>
      </c>
      <c r="I11">
        <v>1.3371288861763379E-9</v>
      </c>
      <c r="K11">
        <v>6.2140910709208448E-9</v>
      </c>
      <c r="L11">
        <v>5.2530225788502132E-9</v>
      </c>
      <c r="M11">
        <v>2.8375052711240772E-10</v>
      </c>
      <c r="N11">
        <v>9.7948499262840725E-10</v>
      </c>
      <c r="O11">
        <v>3.0050726897794005E-9</v>
      </c>
      <c r="P11">
        <v>1.0638371124671117E-9</v>
      </c>
      <c r="Q11">
        <v>1.2177626788574163E-9</v>
      </c>
      <c r="R11">
        <v>7.1915297857094993E-10</v>
      </c>
      <c r="S11">
        <v>3.4652578395193948E-9</v>
      </c>
      <c r="T11">
        <v>2.0069438323888E-9</v>
      </c>
      <c r="U11">
        <v>2.5619398553706805E-9</v>
      </c>
      <c r="V11">
        <v>1.1411409419688895E-9</v>
      </c>
      <c r="W11">
        <v>1.6142858513606525E-9</v>
      </c>
      <c r="X11">
        <v>5.7300387073543962E-10</v>
      </c>
      <c r="Y11">
        <v>5.0020124971738541E-12</v>
      </c>
      <c r="Z11">
        <v>8.548894086078948E-11</v>
      </c>
      <c r="AA11">
        <v>2.8193161347707171E-11</v>
      </c>
      <c r="AB11">
        <v>1.125452811864117E-10</v>
      </c>
      <c r="AC11">
        <v>2.8875253960958151E-10</v>
      </c>
      <c r="AD11">
        <v>4.8360366279494479E-10</v>
      </c>
      <c r="AE11">
        <v>3.7947085717196186E-10</v>
      </c>
      <c r="AF11">
        <v>5.6545477638506246E-10</v>
      </c>
      <c r="AG11">
        <v>1.984889504560352E-10</v>
      </c>
      <c r="AH11">
        <v>7.1824352175328195E-10</v>
      </c>
      <c r="AI11">
        <v>1.021774734649968E-9</v>
      </c>
      <c r="AJ11">
        <v>6.50261624632601E-10</v>
      </c>
      <c r="AK11">
        <v>8.2987934612202574E-10</v>
      </c>
      <c r="AL11">
        <v>6.9095981722324276E-10</v>
      </c>
      <c r="AM11">
        <v>9.7721135058423725E-10</v>
      </c>
      <c r="AN11">
        <v>4.917887741539565E-10</v>
      </c>
      <c r="AO11">
        <v>9.0536426198846745E-10</v>
      </c>
      <c r="AP11">
        <v>1.332354237883581E-9</v>
      </c>
      <c r="AQ11">
        <v>1.2402717350946986E-9</v>
      </c>
      <c r="AR11">
        <v>6.6549502632853943E-10</v>
      </c>
      <c r="AS11">
        <v>1.0572435505390191E-9</v>
      </c>
      <c r="AT11">
        <v>1.6552114081557115E-9</v>
      </c>
      <c r="AU11">
        <v>1.8609760131530902E-9</v>
      </c>
      <c r="AV11">
        <v>1.7209196632322223E-9</v>
      </c>
      <c r="AW11">
        <v>1.0440564266828335E-9</v>
      </c>
      <c r="AX11">
        <v>3.3126964583555929E-10</v>
      </c>
      <c r="AY11">
        <v>2.2531792657724033E-9</v>
      </c>
      <c r="AZ11">
        <v>1.1030574377290431E-8</v>
      </c>
      <c r="BA11">
        <v>1.926866159593135E-8</v>
      </c>
      <c r="BB11">
        <v>9.1923347845790403E-9</v>
      </c>
      <c r="BC11">
        <v>1.3763719478587108E-8</v>
      </c>
      <c r="BE11">
        <v>9.1104836709889215E-10</v>
      </c>
      <c r="BF11">
        <v>1.4653622974675219E-9</v>
      </c>
      <c r="BG11">
        <v>1.5854105973996947E-9</v>
      </c>
      <c r="BH11">
        <v>1.3769176219493115E-9</v>
      </c>
      <c r="BI11">
        <v>2.3939177083065229E-9</v>
      </c>
      <c r="BJ11">
        <v>3.8160808069348161E-9</v>
      </c>
      <c r="BK11">
        <v>3.2981451492729049E-9</v>
      </c>
      <c r="BL11">
        <v>4.562972218444639E-9</v>
      </c>
      <c r="BM11">
        <v>3.6617005121356776E-9</v>
      </c>
      <c r="BN11">
        <v>4.1493967306101287E-10</v>
      </c>
      <c r="BO11">
        <v>1.3482697321927707E-10</v>
      </c>
      <c r="BP11">
        <v>4.5768414349140746E-10</v>
      </c>
      <c r="BQ11">
        <v>6.8163788484214594E-10</v>
      </c>
      <c r="BR11">
        <v>5.2157348493258272E-10</v>
      </c>
      <c r="BS11">
        <v>7.0187329903525842E-10</v>
      </c>
      <c r="BT11">
        <v>4.9701815085554746E-10</v>
      </c>
      <c r="BU11">
        <v>2.4282497031734888E-10</v>
      </c>
      <c r="BV11">
        <v>5.6158958490997352E-10</v>
      </c>
      <c r="BW11">
        <v>1.7825353626292275E-10</v>
      </c>
      <c r="BX11">
        <v>4.3449299464087423E-10</v>
      </c>
      <c r="BY11">
        <v>2.419155134996809E-10</v>
      </c>
      <c r="BZ11">
        <v>2.135859336293235E-9</v>
      </c>
      <c r="CA11">
        <v>2.1724649732043713E-9</v>
      </c>
      <c r="CB11">
        <v>2.2697768526948442E-9</v>
      </c>
      <c r="CC11">
        <v>7.4007048537731327E-10</v>
      </c>
      <c r="CD11">
        <v>7.8122340637678907E-10</v>
      </c>
      <c r="CE11">
        <v>6.3957550702500226E-10</v>
      </c>
      <c r="CF11">
        <v>3.2056079180751887E-9</v>
      </c>
      <c r="CG11">
        <v>3.8140345290950628E-9</v>
      </c>
      <c r="CH11">
        <v>2.7779358495668249E-9</v>
      </c>
      <c r="CI11">
        <v>4.9792760767321539E-11</v>
      </c>
      <c r="CJ11">
        <v>0</v>
      </c>
      <c r="CK11">
        <v>1.7256943115249793E-10</v>
      </c>
      <c r="CL11">
        <v>5.8498536154448218E-9</v>
      </c>
      <c r="CM11">
        <v>5.9137429568859965E-9</v>
      </c>
      <c r="CN11">
        <v>5.0590809124825179E-9</v>
      </c>
      <c r="CO11">
        <v>3.8870184387129183E-9</v>
      </c>
      <c r="CP11">
        <v>3.6928494081408046E-9</v>
      </c>
      <c r="CQ11">
        <v>3.5696180093467957E-9</v>
      </c>
      <c r="CR11">
        <v>4.7353142853927208E-9</v>
      </c>
      <c r="CS11">
        <v>6.7652219024276371E-9</v>
      </c>
      <c r="CT11">
        <v>4.3146905072212825E-9</v>
      </c>
      <c r="CU11">
        <v>4.0675456170200105E-10</v>
      </c>
      <c r="CV11">
        <v>1.089074539157398E-10</v>
      </c>
      <c r="CW11">
        <v>3.6487407524839086E-9</v>
      </c>
      <c r="CX11">
        <v>1.4205715491973743E-9</v>
      </c>
      <c r="CY11">
        <v>1.1945715300068829E-9</v>
      </c>
      <c r="CZ11">
        <v>2.7656581825283068E-9</v>
      </c>
      <c r="DA11">
        <v>2.700859384269464E-9</v>
      </c>
      <c r="DB11">
        <v>2.963237676166674E-9</v>
      </c>
      <c r="DC11">
        <v>1.60314500534422E-9</v>
      </c>
      <c r="DD11">
        <v>1.9742033869527531E-9</v>
      </c>
      <c r="DE11">
        <v>1.7277405893647321E-9</v>
      </c>
      <c r="DF11">
        <v>6.6162983485345059E-10</v>
      </c>
      <c r="DG11">
        <v>8.9399605176761786E-10</v>
      </c>
      <c r="DH11">
        <v>8.9126768131461392E-10</v>
      </c>
      <c r="DI11" s="23">
        <v>6.1409699999999997E-9</v>
      </c>
      <c r="DJ11" s="23">
        <v>7.1678400000000003E-9</v>
      </c>
      <c r="DK11" s="23">
        <v>1.0693899999999999E-8</v>
      </c>
      <c r="DL11" s="23">
        <v>9.9114499999999997E-9</v>
      </c>
      <c r="DM11" s="23">
        <v>8.1228699999999993E-9</v>
      </c>
      <c r="DN11" s="23">
        <v>8.5126900000000003E-9</v>
      </c>
      <c r="DO11" s="23">
        <v>7.2018599999999998E-9</v>
      </c>
      <c r="DP11" s="23">
        <v>4.9104799999999998E-9</v>
      </c>
      <c r="DQ11" s="23">
        <v>8.4700200000000005E-9</v>
      </c>
      <c r="DR11" s="23">
        <v>7.9657000000000003E-9</v>
      </c>
      <c r="DS11" s="23">
        <v>1.08582E-8</v>
      </c>
      <c r="DT11" s="23">
        <v>1.21176E-8</v>
      </c>
      <c r="DU11" s="23">
        <v>1.4627700000000001E-8</v>
      </c>
      <c r="DV11" s="23">
        <v>4.67675E-9</v>
      </c>
      <c r="DW11" s="23">
        <v>7.3867099999999996E-9</v>
      </c>
      <c r="DX11" s="23">
        <v>6.4769100000000001E-9</v>
      </c>
      <c r="DY11">
        <v>3.8105076741440371E-10</v>
      </c>
      <c r="DZ11" s="23">
        <v>3.4858300000000003E-10</v>
      </c>
      <c r="EA11" s="23">
        <v>1.1707499999999999E-9</v>
      </c>
      <c r="EB11">
        <v>4.3536009445100358E-10</v>
      </c>
      <c r="EC11">
        <v>1.4856847697756789E-9</v>
      </c>
      <c r="ED11">
        <v>8.435655253837071E-10</v>
      </c>
      <c r="EE11">
        <v>2.3437131050767413E-9</v>
      </c>
      <c r="EF11">
        <v>1.5988783943329398E-9</v>
      </c>
      <c r="EG11">
        <v>1.367030696576151E-9</v>
      </c>
      <c r="EH11" s="23">
        <v>3.5808699999999999E-9</v>
      </c>
      <c r="EI11" s="23">
        <v>3.3391400000000001E-9</v>
      </c>
      <c r="EJ11" s="23">
        <v>3.9812600000000004E-9</v>
      </c>
      <c r="EK11" s="23">
        <v>3.9812600000000004E-9</v>
      </c>
      <c r="EL11" s="23">
        <v>3.8202499999999999E-9</v>
      </c>
      <c r="EM11" s="23">
        <v>3.20927E-9</v>
      </c>
      <c r="EN11" s="23">
        <v>1.88445E-9</v>
      </c>
      <c r="EO11" s="23">
        <v>1.4983799999999999E-9</v>
      </c>
      <c r="EP11" s="23">
        <v>2.1278E-9</v>
      </c>
      <c r="EQ11" s="23">
        <v>5.8119799999999996E-9</v>
      </c>
      <c r="ER11" s="23">
        <v>7.2427700000000002E-9</v>
      </c>
      <c r="ES11">
        <v>4.5013282172373087E-9</v>
      </c>
      <c r="ET11">
        <v>1.4338842975206611E-9</v>
      </c>
      <c r="EU11">
        <v>1.6624852420306966E-9</v>
      </c>
      <c r="EV11">
        <v>2.3320543093270369E-9</v>
      </c>
      <c r="EW11">
        <v>4.7587072018890199E-9</v>
      </c>
      <c r="EX11">
        <v>4.7529515938606844E-9</v>
      </c>
      <c r="EY11">
        <v>5.1918536009445095E-10</v>
      </c>
      <c r="EZ11">
        <v>5.9799291617473438E-10</v>
      </c>
      <c r="FA11">
        <v>1.5215466351829986E-9</v>
      </c>
      <c r="FB11">
        <v>1.084710743801653E-10</v>
      </c>
      <c r="FC11">
        <v>3.10655253837072E-10</v>
      </c>
      <c r="FD11">
        <v>4.5380755608028338E-10</v>
      </c>
      <c r="FE11">
        <v>1.2913223140495868E-10</v>
      </c>
      <c r="FF11">
        <v>2.427685950413223E-10</v>
      </c>
      <c r="FG11">
        <v>2.1694214876033059E-10</v>
      </c>
      <c r="FH11">
        <v>6.5363046044864222E-10</v>
      </c>
      <c r="FI11">
        <v>8.5920897284533632E-10</v>
      </c>
      <c r="FJ11">
        <v>5.4943919716646983E-10</v>
      </c>
      <c r="FK11">
        <v>3.9318181818181822E-9</v>
      </c>
      <c r="FL11">
        <v>1.2052833530106256E-9</v>
      </c>
      <c r="FM11">
        <v>1.5616883116883115E-9</v>
      </c>
      <c r="FN11">
        <v>2.5649350649350651E-10</v>
      </c>
      <c r="FO11">
        <v>5.2243211334120419E-10</v>
      </c>
      <c r="FP11">
        <v>3.243801652892562E-10</v>
      </c>
      <c r="FR11">
        <v>9.9601534828807549E-10</v>
      </c>
      <c r="FS11">
        <v>3.0312868949232583E-10</v>
      </c>
      <c r="FT11">
        <v>1.3295454545454545E-9</v>
      </c>
      <c r="FU11">
        <v>2.1582054309327043E-9</v>
      </c>
      <c r="FV11">
        <v>3.1174734356552541E-9</v>
      </c>
      <c r="FW11">
        <v>2.9566115702479341E-9</v>
      </c>
      <c r="FX11">
        <v>4.2798110979929159E-10</v>
      </c>
      <c r="FY11">
        <v>4.059917355371901E-10</v>
      </c>
      <c r="FZ11">
        <v>1.5152007083825264E-9</v>
      </c>
      <c r="GA11">
        <v>1.0799881936245573E-9</v>
      </c>
      <c r="GB11">
        <v>1.6999704840613931E-9</v>
      </c>
      <c r="GC11">
        <v>1.9009740259740258E-9</v>
      </c>
      <c r="GD11">
        <v>1.7953069657615115E-9</v>
      </c>
      <c r="GE11">
        <v>1.5079693034238489E-9</v>
      </c>
      <c r="GF11">
        <v>1.9970484061393148E-9</v>
      </c>
      <c r="GG11">
        <v>3.5584415584415585E-9</v>
      </c>
      <c r="GH11">
        <v>3.3350059031877212E-9</v>
      </c>
      <c r="GI11">
        <v>6.6292798110979928E-10</v>
      </c>
      <c r="GJ11">
        <v>6.0507674144037773E-9</v>
      </c>
      <c r="GK11">
        <v>9.3394332939787498E-9</v>
      </c>
      <c r="GL11">
        <v>1.2341351829988193E-8</v>
      </c>
      <c r="GM11">
        <v>1.0208382526564345E-8</v>
      </c>
      <c r="GN11">
        <v>1.2062868949232587E-8</v>
      </c>
      <c r="GO11">
        <v>1.2206316410861864E-8</v>
      </c>
      <c r="GP11">
        <v>3.9822904368358909E-9</v>
      </c>
      <c r="GQ11">
        <v>4.6707497048406135E-9</v>
      </c>
      <c r="GR11">
        <v>6.8559622195985828E-9</v>
      </c>
      <c r="GS11">
        <v>1.0411747343565523E-8</v>
      </c>
      <c r="GT11">
        <v>5.4337367178276262E-9</v>
      </c>
      <c r="GU11">
        <v>5.0473730814639903E-9</v>
      </c>
      <c r="GV11">
        <v>3.3400236127508855E-9</v>
      </c>
      <c r="GW11">
        <v>3.4834710743801655E-9</v>
      </c>
      <c r="GX11">
        <v>3.9949822904368361E-10</v>
      </c>
      <c r="GY11">
        <v>5.4338842975206611E-10</v>
      </c>
      <c r="GZ11">
        <v>5.4589728453364813E-10</v>
      </c>
      <c r="HA11">
        <v>1.4118949232585597E-9</v>
      </c>
      <c r="HB11">
        <v>1.4654663518299882E-9</v>
      </c>
      <c r="HC11">
        <v>1.5904663518299879E-9</v>
      </c>
      <c r="HD11">
        <v>2.2845336481700119E-9</v>
      </c>
      <c r="HE11">
        <v>2.4847992916174734E-9</v>
      </c>
      <c r="HF11">
        <v>3.3832644628099174E-9</v>
      </c>
      <c r="HG11">
        <v>4.6314935064935063E-9</v>
      </c>
      <c r="HH11">
        <v>5.4433293978748517E-9</v>
      </c>
      <c r="HI11">
        <v>6.3699822904368362E-9</v>
      </c>
      <c r="HJ11">
        <v>2.5618358913813461E-9</v>
      </c>
      <c r="HK11">
        <v>4.9788961038961037E-9</v>
      </c>
      <c r="HL11">
        <v>1.0021103896103896E-8</v>
      </c>
      <c r="HM11">
        <v>1.0278925619834711E-8</v>
      </c>
      <c r="HN11">
        <v>9.6266233766233745E-9</v>
      </c>
      <c r="HO11">
        <v>3.8088842975206609E-9</v>
      </c>
      <c r="HP11">
        <v>5.7790731995277446E-9</v>
      </c>
      <c r="HQ11">
        <v>1.3998966942148759E-8</v>
      </c>
      <c r="HR11">
        <v>6.9874557260920894E-9</v>
      </c>
      <c r="HS11">
        <v>9.6601239669421503E-9</v>
      </c>
      <c r="HT11">
        <v>5.638577331759149E-9</v>
      </c>
      <c r="HU11">
        <v>1.1163665879574971E-8</v>
      </c>
      <c r="HV11">
        <v>1.1467827626918535E-8</v>
      </c>
      <c r="HW11">
        <v>1.1252656434474618E-8</v>
      </c>
      <c r="HX11">
        <v>7.5261216056670604E-9</v>
      </c>
      <c r="HY11">
        <v>2.2001180637544273E-9</v>
      </c>
      <c r="HZ11">
        <v>5.3081463990554894E-9</v>
      </c>
      <c r="IA11">
        <v>3.5435360094451001E-9</v>
      </c>
      <c r="IB11">
        <v>3.5667060212514755E-9</v>
      </c>
      <c r="IC11">
        <v>2.8279220779220777E-9</v>
      </c>
      <c r="ID11">
        <v>4.8307260920897288E-9</v>
      </c>
      <c r="IE11">
        <v>7.3041617473435664E-9</v>
      </c>
      <c r="IF11">
        <v>4.7390791027154667E-9</v>
      </c>
      <c r="IG11">
        <v>3.3968417945690669E-9</v>
      </c>
      <c r="IH11">
        <v>3.6663223140495867E-9</v>
      </c>
      <c r="II11">
        <v>3.8044569067296343E-9</v>
      </c>
      <c r="IJ11">
        <v>5.7526564344746156E-10</v>
      </c>
      <c r="IK11">
        <v>8.3766233766233761E-10</v>
      </c>
      <c r="IL11">
        <v>9.7638724911452169E-10</v>
      </c>
      <c r="IM11">
        <v>1.8881345926800471E-9</v>
      </c>
      <c r="IN11">
        <v>2.0959268004722552E-9</v>
      </c>
      <c r="IO11">
        <v>2.3701298701298703E-9</v>
      </c>
      <c r="IP11">
        <v>1.7340613931523023E-9</v>
      </c>
      <c r="IQ11">
        <v>1.7516233766233765E-9</v>
      </c>
      <c r="IR11">
        <v>1.5572609208972844E-9</v>
      </c>
      <c r="IS11">
        <v>1.8748524203069659E-9</v>
      </c>
      <c r="IT11">
        <v>5.9533648170011814E-10</v>
      </c>
      <c r="IU11">
        <v>2.6180637544273905E-10</v>
      </c>
      <c r="IV11">
        <v>3.5596221959858325E-10</v>
      </c>
      <c r="IW11">
        <v>1.7650531286894925E-10</v>
      </c>
      <c r="IX11">
        <v>1.6573199527744982E-10</v>
      </c>
      <c r="IY11">
        <v>2.6948051948051954E-10</v>
      </c>
      <c r="IZ11">
        <v>5.7925029515938624E-10</v>
      </c>
      <c r="JA11">
        <v>4.9747884691066515E-9</v>
      </c>
      <c r="JB11">
        <v>2.571576151121606E-9</v>
      </c>
      <c r="JC11">
        <v>1.2353650137741048E-9</v>
      </c>
      <c r="JD11">
        <v>1.5073966942148761E-8</v>
      </c>
      <c r="JE11">
        <v>9.0463892168437651E-9</v>
      </c>
      <c r="JF11">
        <v>9.6385330578512397E-9</v>
      </c>
      <c r="JG11">
        <v>8.2767611176702089E-11</v>
      </c>
      <c r="JH11">
        <v>0</v>
      </c>
      <c r="JI11">
        <v>1.084710743801653E-10</v>
      </c>
      <c r="JJ11">
        <v>1.5141676505312869E-10</v>
      </c>
      <c r="JK11">
        <v>1.5510625737898466E-10</v>
      </c>
      <c r="JL11">
        <v>2.1118654073199527E-10</v>
      </c>
      <c r="JM11">
        <v>1.6971664698937424E-11</v>
      </c>
      <c r="JN11">
        <v>2.1700118063754431E-9</v>
      </c>
      <c r="JO11">
        <v>1.9849468713105074E-10</v>
      </c>
      <c r="JP11">
        <v>1.5613931523022431E-9</v>
      </c>
      <c r="JQ11">
        <v>3.1508264462809919E-10</v>
      </c>
      <c r="JR11">
        <v>3.8345631641086182E-9</v>
      </c>
      <c r="JS11">
        <v>2.7039551357733173E-9</v>
      </c>
      <c r="JT11">
        <v>1.2042502951593861E-10</v>
      </c>
      <c r="JU11">
        <v>8.2201889020070836E-11</v>
      </c>
      <c r="JV11">
        <v>1.3975796930342383E-10</v>
      </c>
      <c r="JW11">
        <v>5.0855962219598576E-10</v>
      </c>
      <c r="JY11">
        <v>1.766086186540732E-9</v>
      </c>
      <c r="JZ11">
        <v>6.6440377804014173E-10</v>
      </c>
      <c r="KA11">
        <v>9.9468713105076747E-11</v>
      </c>
      <c r="KB11" s="42">
        <v>1.4182408500590318E-10</v>
      </c>
      <c r="KC11">
        <v>4.0909090909090899E-9</v>
      </c>
      <c r="KD11">
        <v>4.7533943329397874E-9</v>
      </c>
      <c r="KE11">
        <v>3.2600354191263282E-10</v>
      </c>
      <c r="KF11">
        <v>3.5463400236127508E-10</v>
      </c>
      <c r="KI11" s="42">
        <v>2.8423848878394331E-10</v>
      </c>
      <c r="KJ11" s="42">
        <v>3.3500590318772136E-11</v>
      </c>
      <c r="KK11" s="42">
        <v>6.2352420306965767E-10</v>
      </c>
      <c r="KL11">
        <v>2.0439787485242031E-10</v>
      </c>
      <c r="KM11">
        <v>2.1561393152302242E-10</v>
      </c>
      <c r="KN11">
        <v>1.1852125147579692E-9</v>
      </c>
      <c r="KO11">
        <v>1.6790141676505311E-9</v>
      </c>
      <c r="KP11" s="42">
        <v>1.5348288075560804E-10</v>
      </c>
      <c r="KQ11">
        <v>2.8940377804014168E-10</v>
      </c>
      <c r="KR11" s="42">
        <v>7.6416765053128687E-10</v>
      </c>
      <c r="KS11">
        <v>5.3291027154663515E-10</v>
      </c>
      <c r="KT11">
        <v>3.0575560802833526E-9</v>
      </c>
      <c r="KU11">
        <v>9.2916174734356557E-10</v>
      </c>
      <c r="KV11">
        <v>9.8435655253837061E-11</v>
      </c>
      <c r="KW11">
        <v>2.5531286894923261E-10</v>
      </c>
      <c r="KX11">
        <v>1.0463400236127509E-10</v>
      </c>
    </row>
    <row r="12" spans="1:310" x14ac:dyDescent="0.35">
      <c r="A12">
        <v>2.0808371988243228E-9</v>
      </c>
      <c r="B12">
        <v>3.5614328979877838E-9</v>
      </c>
      <c r="C12">
        <v>2.7472416819705301E-9</v>
      </c>
      <c r="D12">
        <v>8.8603830461302296E-10</v>
      </c>
      <c r="E12">
        <v>2.7335998297055109E-9</v>
      </c>
      <c r="F12">
        <v>7.2551917629462569E-10</v>
      </c>
      <c r="G12">
        <v>1.2050302834100646E-9</v>
      </c>
      <c r="H12">
        <v>3.904298118248609E-9</v>
      </c>
      <c r="I12">
        <v>1.6677164393986461E-9</v>
      </c>
      <c r="K12">
        <v>1.1791107641065275E-8</v>
      </c>
      <c r="L12">
        <v>7.8984050972419308E-9</v>
      </c>
      <c r="M12">
        <v>5.4340044855661403E-10</v>
      </c>
      <c r="N12">
        <v>1.5651751832065822E-9</v>
      </c>
      <c r="O12">
        <v>3.5432437616344246E-9</v>
      </c>
      <c r="P12">
        <v>1.731605780839821E-9</v>
      </c>
      <c r="Q12">
        <v>2.0801551062110718E-9</v>
      </c>
      <c r="R12">
        <v>1.1934347089847981E-9</v>
      </c>
      <c r="S12">
        <v>4.9363042420973428E-9</v>
      </c>
      <c r="T12">
        <v>3.2315274373787259E-9</v>
      </c>
      <c r="U12">
        <v>3.7710626944602519E-9</v>
      </c>
      <c r="V12">
        <v>1.359410578209203E-9</v>
      </c>
      <c r="W12">
        <v>1.6108753882943975E-9</v>
      </c>
      <c r="X12">
        <v>7.1031596003240612E-10</v>
      </c>
      <c r="Y12">
        <v>2.5692155099120242E-11</v>
      </c>
      <c r="Z12">
        <v>5.2066402811491483E-11</v>
      </c>
      <c r="AA12">
        <v>0</v>
      </c>
      <c r="AB12">
        <v>2.1736017942264563E-10</v>
      </c>
      <c r="AC12">
        <v>4.1039238897267292E-10</v>
      </c>
      <c r="AD12">
        <v>6.6663184735062443E-10</v>
      </c>
      <c r="AE12">
        <v>4.5700205087815661E-10</v>
      </c>
      <c r="AF12">
        <v>8.0737028988474326E-10</v>
      </c>
      <c r="AG12">
        <v>3.0785113278060898E-10</v>
      </c>
      <c r="AH12">
        <v>9.4219726310402038E-10</v>
      </c>
      <c r="AI12">
        <v>1.2439095623653705E-9</v>
      </c>
      <c r="AJ12">
        <v>8.9399605176761786E-10</v>
      </c>
      <c r="AK12">
        <v>1.2302677101003509E-9</v>
      </c>
      <c r="AL12">
        <v>1.0697485817819535E-9</v>
      </c>
      <c r="AM12">
        <v>1.2755131867793326E-9</v>
      </c>
      <c r="AN12">
        <v>7.1164995982518918E-10</v>
      </c>
      <c r="AO12">
        <v>1.2209457777192542E-9</v>
      </c>
      <c r="AP12">
        <v>1.7216017558454735E-9</v>
      </c>
      <c r="AQ12">
        <v>1.4278472037387179E-9</v>
      </c>
      <c r="AR12">
        <v>8.2192159896743084E-10</v>
      </c>
      <c r="AS12">
        <v>1.60541864738839E-9</v>
      </c>
      <c r="AT12">
        <v>2.6935837297281202E-9</v>
      </c>
      <c r="AU12">
        <v>2.8813865625765564E-9</v>
      </c>
      <c r="AV12">
        <v>2.6235555547676861E-9</v>
      </c>
      <c r="AW12">
        <v>1.4812777917767115E-9</v>
      </c>
      <c r="AX12">
        <v>3.5718916513909651E-10</v>
      </c>
      <c r="AY12">
        <v>4.0313947085177086E-9</v>
      </c>
      <c r="AZ12">
        <v>1.1402314851512214E-8</v>
      </c>
      <c r="BA12">
        <v>1.9256156564688415E-8</v>
      </c>
      <c r="BB12">
        <v>1.1239749445354064E-8</v>
      </c>
      <c r="BC12">
        <v>1.531525280952867E-8</v>
      </c>
      <c r="BE12">
        <v>1.2696017174644907E-9</v>
      </c>
      <c r="BF12">
        <v>2.01376475852131E-9</v>
      </c>
      <c r="BG12">
        <v>2.2158915362480168E-9</v>
      </c>
      <c r="BH12">
        <v>1.8371027716893058E-9</v>
      </c>
      <c r="BI12">
        <v>3.0164409000002505E-9</v>
      </c>
      <c r="BJ12">
        <v>4.6696060303162091E-9</v>
      </c>
      <c r="BK12">
        <v>4.5611533048093037E-9</v>
      </c>
      <c r="BL12">
        <v>5.9526222358413024E-9</v>
      </c>
      <c r="BM12">
        <v>4.8803726478107617E-9</v>
      </c>
      <c r="BN12">
        <v>3.6219117763627034E-10</v>
      </c>
      <c r="BO12">
        <v>1.571086652521424E-10</v>
      </c>
      <c r="BP12">
        <v>4.7791955768451999E-10</v>
      </c>
      <c r="BQ12">
        <v>7.4348094844356837E-10</v>
      </c>
      <c r="BR12">
        <v>7.8849906091813281E-10</v>
      </c>
      <c r="BS12">
        <v>8.9763387903828957E-10</v>
      </c>
      <c r="BT12">
        <v>6.9209663824532776E-10</v>
      </c>
      <c r="BU12">
        <v>2.4396179133943383E-10</v>
      </c>
      <c r="BV12">
        <v>8.5784514326531579E-10</v>
      </c>
      <c r="BW12">
        <v>2.8215897768148868E-10</v>
      </c>
      <c r="BX12">
        <v>5.8591755478259175E-10</v>
      </c>
      <c r="BY12">
        <v>4.101650247682559E-10</v>
      </c>
      <c r="BZ12">
        <v>2.3920987946711868E-9</v>
      </c>
      <c r="CA12">
        <v>2.5128291872166102E-9</v>
      </c>
      <c r="CB12">
        <v>2.7972618069422689E-9</v>
      </c>
      <c r="CC12">
        <v>1.0144990801086241E-9</v>
      </c>
      <c r="CD12">
        <v>1.0783884215497994E-9</v>
      </c>
      <c r="CE12">
        <v>8.4011073532079054E-10</v>
      </c>
      <c r="CF12">
        <v>3.8333604864705076E-9</v>
      </c>
      <c r="CG12">
        <v>4.7016643831390046E-9</v>
      </c>
      <c r="CH12">
        <v>3.3747668861614323E-9</v>
      </c>
      <c r="CI12">
        <v>2.9329982369792139E-11</v>
      </c>
      <c r="CJ12">
        <v>2.9784710778626129E-11</v>
      </c>
      <c r="CK12">
        <v>7.7985922115028723E-11</v>
      </c>
      <c r="CL12">
        <v>7.0278275585292634E-9</v>
      </c>
      <c r="CM12">
        <v>7.2674694299847742E-9</v>
      </c>
      <c r="CN12">
        <v>6.2800266902017727E-9</v>
      </c>
      <c r="CO12">
        <v>4.7244008035807046E-9</v>
      </c>
      <c r="CP12">
        <v>4.5588796627651333E-9</v>
      </c>
      <c r="CQ12">
        <v>4.0898273090528757E-9</v>
      </c>
      <c r="CR12">
        <v>5.6247630530719979E-9</v>
      </c>
      <c r="CS12">
        <v>9.203930359004307E-9</v>
      </c>
      <c r="CT12">
        <v>5.5429119394818803E-9</v>
      </c>
      <c r="CU12">
        <v>4.3540245145854216E-10</v>
      </c>
      <c r="CV12">
        <v>3.1308050948219979E-10</v>
      </c>
      <c r="CW12">
        <v>4.4986281485946301E-9</v>
      </c>
      <c r="CX12">
        <v>1.8905333597272998E-9</v>
      </c>
      <c r="CY12">
        <v>1.6215615059019963E-9</v>
      </c>
      <c r="CZ12">
        <v>3.4445676969174489E-9</v>
      </c>
      <c r="DA12">
        <v>3.2076541959149424E-9</v>
      </c>
      <c r="DB12">
        <v>3.5380143849328336E-9</v>
      </c>
      <c r="DC12">
        <v>2.1485917317405865E-9</v>
      </c>
      <c r="DD12">
        <v>2.5228332122109579E-9</v>
      </c>
      <c r="DE12">
        <v>2.2331712157837083E-9</v>
      </c>
      <c r="DF12">
        <v>9.4970028184978114E-10</v>
      </c>
      <c r="DG12">
        <v>1.2182174072662502E-9</v>
      </c>
      <c r="DH12">
        <v>1.2470926612272084E-9</v>
      </c>
      <c r="DI12" s="23">
        <v>6.7975999999999998E-9</v>
      </c>
      <c r="DJ12" s="23">
        <v>7.7623499999999994E-9</v>
      </c>
      <c r="DK12" s="23">
        <v>1.24991E-8</v>
      </c>
      <c r="DL12" s="23">
        <v>1.18753E-8</v>
      </c>
      <c r="DM12" s="23">
        <v>9.9640799999999998E-9</v>
      </c>
      <c r="DN12" s="23">
        <v>1.0256399999999999E-8</v>
      </c>
      <c r="DO12" s="23">
        <v>8.86106E-9</v>
      </c>
      <c r="DP12" s="23">
        <v>7.4170900000000001E-9</v>
      </c>
      <c r="DQ12" s="23">
        <v>1.16474E-8</v>
      </c>
      <c r="DR12" s="23">
        <v>1.06986E-8</v>
      </c>
      <c r="DS12" s="23">
        <v>1.1811099999999999E-8</v>
      </c>
      <c r="DT12" s="23">
        <v>1.3461800000000001E-8</v>
      </c>
      <c r="DU12" s="23">
        <v>1.5938399999999999E-8</v>
      </c>
      <c r="DV12" s="23">
        <v>7.1505500000000003E-9</v>
      </c>
      <c r="DW12" s="23">
        <v>1.01812E-8</v>
      </c>
      <c r="DX12" s="23">
        <v>8.9804199999999999E-9</v>
      </c>
      <c r="DY12">
        <v>4.3122786304604484E-10</v>
      </c>
      <c r="DZ12" s="23">
        <v>4.0200700000000002E-10</v>
      </c>
      <c r="EA12" s="23">
        <v>1.5104799999999999E-9</v>
      </c>
      <c r="EB12">
        <v>5.0265643447461628E-10</v>
      </c>
      <c r="EC12">
        <v>1.740112160566706E-9</v>
      </c>
      <c r="ED12">
        <v>1.0470779220779221E-9</v>
      </c>
      <c r="EE12">
        <v>2.8789846517119245E-9</v>
      </c>
      <c r="EF12">
        <v>1.9883412042502949E-9</v>
      </c>
      <c r="EG12">
        <v>1.6618949232585597E-9</v>
      </c>
      <c r="EH12" s="23">
        <v>3.94185E-9</v>
      </c>
      <c r="EI12" s="23">
        <v>3.9567599999999999E-9</v>
      </c>
      <c r="EJ12" s="23">
        <v>5.1682399999999999E-9</v>
      </c>
      <c r="EK12" s="23">
        <v>5.1682399999999999E-9</v>
      </c>
      <c r="EL12" s="23">
        <v>4.9281299999999996E-9</v>
      </c>
      <c r="EM12" s="23">
        <v>3.9241400000000001E-9</v>
      </c>
      <c r="EN12" s="23">
        <v>3.7809900000000002E-9</v>
      </c>
      <c r="EO12" s="23">
        <v>3.2677100000000001E-9</v>
      </c>
      <c r="EP12" s="23">
        <v>4.2203399999999999E-9</v>
      </c>
      <c r="EQ12" s="23">
        <v>8.0174099999999999E-9</v>
      </c>
      <c r="ER12" s="23">
        <v>9.4698899999999994E-9</v>
      </c>
      <c r="ES12">
        <v>4.7231404958677692E-9</v>
      </c>
      <c r="ET12">
        <v>1.7491145218417944E-9</v>
      </c>
      <c r="EU12">
        <v>1.9448051948051951E-9</v>
      </c>
      <c r="EV12">
        <v>3.2778925619834711E-9</v>
      </c>
      <c r="EW12">
        <v>6.290289256198348E-9</v>
      </c>
      <c r="EX12">
        <v>6.6393152302243205E-9</v>
      </c>
      <c r="EY12">
        <v>6.6071428571428571E-10</v>
      </c>
      <c r="EZ12">
        <v>7.5531286894923248E-10</v>
      </c>
      <c r="FA12">
        <v>1.9157319952774499E-9</v>
      </c>
      <c r="FB12">
        <v>1.7857142857142858E-10</v>
      </c>
      <c r="FC12">
        <v>3.2733175914994095E-10</v>
      </c>
      <c r="FD12">
        <v>5.8087367178276271E-10</v>
      </c>
      <c r="FE12">
        <v>1.5274498229043684E-10</v>
      </c>
      <c r="FF12">
        <v>2.8615702479338843E-10</v>
      </c>
      <c r="FG12">
        <v>2.6859504132231404E-10</v>
      </c>
      <c r="FH12">
        <v>8.8680637544273906E-10</v>
      </c>
      <c r="FI12">
        <v>1.0528335301062573E-9</v>
      </c>
      <c r="FJ12">
        <v>6.8196576151121608E-10</v>
      </c>
      <c r="FK12">
        <v>5.3965466351829988E-9</v>
      </c>
      <c r="FL12">
        <v>1.6345926800472256E-9</v>
      </c>
      <c r="FM12">
        <v>2.1306080283353007E-9</v>
      </c>
      <c r="FN12">
        <v>3.5256788665879578E-10</v>
      </c>
      <c r="FO12">
        <v>6.6130460448642271E-10</v>
      </c>
      <c r="FP12">
        <v>3.4636953955135769E-10</v>
      </c>
      <c r="FR12">
        <v>1.1286894923258561E-9</v>
      </c>
      <c r="FS12">
        <v>3.9846517119244389E-10</v>
      </c>
      <c r="FT12">
        <v>1.8041617473435655E-9</v>
      </c>
      <c r="FU12">
        <v>2.7414403778040142E-9</v>
      </c>
      <c r="FV12">
        <v>3.4377213695395513E-9</v>
      </c>
      <c r="FW12">
        <v>3.0323199527744979E-9</v>
      </c>
      <c r="FX12">
        <v>4.9217827626918532E-10</v>
      </c>
      <c r="FY12">
        <v>4.5144628099173553E-10</v>
      </c>
      <c r="FZ12">
        <v>1.8099173553719008E-9</v>
      </c>
      <c r="GA12">
        <v>1.2634297520661154E-9</v>
      </c>
      <c r="GB12">
        <v>2.0749704840613931E-9</v>
      </c>
      <c r="GC12">
        <v>2.1723730814639902E-9</v>
      </c>
      <c r="GD12">
        <v>2.1208677685950413E-9</v>
      </c>
      <c r="GE12">
        <v>1.8273317591499407E-9</v>
      </c>
      <c r="GF12">
        <v>2.5392561983471068E-9</v>
      </c>
      <c r="GG12">
        <v>4.2790731995277444E-9</v>
      </c>
      <c r="GH12">
        <v>3.7601829988193625E-9</v>
      </c>
      <c r="GI12">
        <v>7.8822314049586771E-10</v>
      </c>
      <c r="GJ12">
        <v>7.7141381345926798E-9</v>
      </c>
      <c r="GK12">
        <v>1.106095041322314E-8</v>
      </c>
      <c r="GL12">
        <v>1.4649940968122783E-8</v>
      </c>
      <c r="GM12">
        <v>1.1766676505312868E-8</v>
      </c>
      <c r="GN12">
        <v>1.5834710743801653E-8</v>
      </c>
      <c r="GO12">
        <v>1.4634740259740259E-8</v>
      </c>
      <c r="GP12">
        <v>4.7694805194805192E-9</v>
      </c>
      <c r="GQ12">
        <v>5.5432408500590328E-9</v>
      </c>
      <c r="GR12">
        <v>8.5779220779220771E-9</v>
      </c>
      <c r="GS12">
        <v>1.2753099173553719E-8</v>
      </c>
      <c r="GT12">
        <v>7.0497343565525385E-9</v>
      </c>
      <c r="GU12">
        <v>6.0044273907910273E-9</v>
      </c>
      <c r="GV12">
        <v>3.9422963400236129E-9</v>
      </c>
      <c r="GW12">
        <v>4.1461038961038962E-9</v>
      </c>
      <c r="GX12">
        <v>4.4908500590318773E-10</v>
      </c>
      <c r="GY12">
        <v>6.2072018890200709E-10</v>
      </c>
      <c r="GZ12">
        <v>5.320247933884297E-10</v>
      </c>
      <c r="HA12">
        <v>1.7520661157024793E-9</v>
      </c>
      <c r="HB12">
        <v>1.7700708382526563E-9</v>
      </c>
      <c r="HC12">
        <v>1.9580873671782763E-9</v>
      </c>
      <c r="HD12">
        <v>2.9077626918536006E-9</v>
      </c>
      <c r="HE12">
        <v>3.2551652892561983E-9</v>
      </c>
      <c r="HF12">
        <v>4.189492325855962E-9</v>
      </c>
      <c r="HG12">
        <v>5.7724321133412031E-9</v>
      </c>
      <c r="HH12">
        <v>6.8401711924439197E-9</v>
      </c>
      <c r="HI12">
        <v>7.9619244391971671E-9</v>
      </c>
      <c r="HJ12">
        <v>3.2836481700118062E-9</v>
      </c>
      <c r="HK12">
        <v>6.0948937426210156E-9</v>
      </c>
      <c r="HL12">
        <v>1.2168388429752067E-8</v>
      </c>
      <c r="HM12">
        <v>1.2431227863046044E-8</v>
      </c>
      <c r="HN12">
        <v>1.205194805194805E-8</v>
      </c>
      <c r="HO12">
        <v>4.6737012987012984E-9</v>
      </c>
      <c r="HP12">
        <v>6.8661452184179457E-9</v>
      </c>
      <c r="HQ12">
        <v>1.7102420306965757E-8</v>
      </c>
      <c r="HR12">
        <v>8.3401711924439191E-9</v>
      </c>
      <c r="HS12">
        <v>1.1207497048406138E-8</v>
      </c>
      <c r="HT12">
        <v>6.8389905548996459E-9</v>
      </c>
      <c r="HU12">
        <v>1.3566558441558442E-8</v>
      </c>
      <c r="HV12">
        <v>1.4082201889020071E-8</v>
      </c>
      <c r="HW12">
        <v>1.3823199527744981E-8</v>
      </c>
      <c r="HX12">
        <v>8.6217532467532476E-9</v>
      </c>
      <c r="HY12">
        <v>2.8688016528925616E-9</v>
      </c>
      <c r="HZ12">
        <v>6.2932408500590321E-9</v>
      </c>
      <c r="IA12">
        <v>4.3324970484061387E-9</v>
      </c>
      <c r="IB12">
        <v>4.3817886658795744E-9</v>
      </c>
      <c r="IC12">
        <v>3.6189492325855961E-9</v>
      </c>
      <c r="ID12">
        <v>5.7470484061393153E-9</v>
      </c>
      <c r="IE12">
        <v>8.4979338842975211E-9</v>
      </c>
      <c r="IF12">
        <v>5.6403482880755609E-9</v>
      </c>
      <c r="IG12">
        <v>4.0163813459267999E-9</v>
      </c>
      <c r="IH12">
        <v>4.3029811097992914E-9</v>
      </c>
      <c r="II12">
        <v>4.6018299881936247E-9</v>
      </c>
      <c r="IJ12">
        <v>6.4964580873671785E-10</v>
      </c>
      <c r="IK12">
        <v>9.4952774498229039E-10</v>
      </c>
      <c r="IL12">
        <v>1.1328217237308146E-9</v>
      </c>
      <c r="IM12">
        <v>2.3075560802833534E-9</v>
      </c>
      <c r="IN12">
        <v>2.4362455726092089E-9</v>
      </c>
      <c r="IO12">
        <v>2.8358913813459268E-9</v>
      </c>
      <c r="IP12">
        <v>2.1188016528925615E-9</v>
      </c>
      <c r="IQ12">
        <v>2.0894332939787489E-9</v>
      </c>
      <c r="IR12">
        <v>1.7892561983471071E-9</v>
      </c>
      <c r="IS12">
        <v>2.19082054309327E-9</v>
      </c>
      <c r="IT12">
        <v>9.0185950413223149E-10</v>
      </c>
      <c r="IU12">
        <v>2.4040731995277451E-10</v>
      </c>
      <c r="IV12">
        <v>4.083530106257379E-10</v>
      </c>
      <c r="IW12">
        <v>2.1694214876033059E-10</v>
      </c>
      <c r="IX12">
        <v>2.2240259740259741E-10</v>
      </c>
      <c r="IY12">
        <v>3.4858323494687131E-10</v>
      </c>
      <c r="IZ12">
        <v>1.2807334710743805E-8</v>
      </c>
      <c r="JA12">
        <v>2.0389118457300276E-8</v>
      </c>
      <c r="JB12">
        <v>3.0845385674931132E-9</v>
      </c>
      <c r="JC12">
        <v>1.6844992129083039E-9</v>
      </c>
      <c r="JD12">
        <v>1.5733367768595043E-8</v>
      </c>
      <c r="JE12">
        <v>9.9380165289256206E-9</v>
      </c>
      <c r="JF12">
        <v>1.0466735537190082E-8</v>
      </c>
      <c r="JG12">
        <v>4.3167060212514759E-11</v>
      </c>
      <c r="JH12">
        <v>1.1953955135773316E-11</v>
      </c>
      <c r="JI12">
        <v>8.7514757969303428E-11</v>
      </c>
      <c r="JJ12">
        <v>1.4079102715466348E-10</v>
      </c>
      <c r="JK12">
        <v>1.6809327036599764E-10</v>
      </c>
      <c r="JL12">
        <v>2.0188902007083826E-10</v>
      </c>
      <c r="JM12">
        <v>3.4090909090909098E-11</v>
      </c>
      <c r="JN12">
        <v>4.843565525383707E-10</v>
      </c>
      <c r="JO12">
        <v>3.1198347107438012E-10</v>
      </c>
      <c r="JP12">
        <v>2.0259740259740261E-9</v>
      </c>
      <c r="JQ12">
        <v>4.7919126328217234E-10</v>
      </c>
      <c r="JR12">
        <v>3.7961924439197169E-9</v>
      </c>
      <c r="JS12">
        <v>2.7411452184179455E-9</v>
      </c>
      <c r="JT12">
        <v>4.6340023612750885E-11</v>
      </c>
      <c r="JU12">
        <v>4.4273907910271551E-11</v>
      </c>
      <c r="JV12">
        <v>1.7665289256198348E-10</v>
      </c>
      <c r="JW12">
        <v>5.510625737898466E-10</v>
      </c>
      <c r="JY12">
        <v>2.792060212514758E-9</v>
      </c>
      <c r="JZ12">
        <v>7.2520661157024783E-10</v>
      </c>
      <c r="KA12">
        <v>1.9878984651711924E-10</v>
      </c>
      <c r="KB12" s="42">
        <v>2.5885478158205425E-10</v>
      </c>
      <c r="KC12">
        <v>6.2896989374262099E-9</v>
      </c>
      <c r="KD12">
        <v>5.1425619834710738E-9</v>
      </c>
      <c r="KE12">
        <v>3.925619834710744E-10</v>
      </c>
      <c r="KF12">
        <v>5.0988783943329389E-10</v>
      </c>
      <c r="KI12" s="42">
        <v>2.6697166469893736E-10</v>
      </c>
      <c r="KJ12" s="42">
        <v>1.4905548996458084E-10</v>
      </c>
      <c r="KK12" s="42">
        <v>8.3795749704840616E-10</v>
      </c>
      <c r="KL12">
        <v>9.9468713105076747E-11</v>
      </c>
      <c r="KM12">
        <v>2.3627508854781581E-10</v>
      </c>
      <c r="KN12">
        <v>1.4558736717827627E-9</v>
      </c>
      <c r="KO12">
        <v>1.3795749704840614E-9</v>
      </c>
      <c r="KP12" s="42">
        <v>1.1880165289256199E-10</v>
      </c>
      <c r="KQ12">
        <v>2.9279811097992915E-10</v>
      </c>
      <c r="KR12" s="42">
        <v>9.0835301062573788E-10</v>
      </c>
      <c r="KS12">
        <v>6.624852420306965E-10</v>
      </c>
      <c r="KT12">
        <v>2.0126918536009444E-9</v>
      </c>
      <c r="KU12">
        <v>1.4694510035419128E-9</v>
      </c>
      <c r="KV12">
        <v>2.2136953955135773E-10</v>
      </c>
      <c r="KW12">
        <v>1.2877804014167652E-9</v>
      </c>
      <c r="KX12">
        <v>1.1481700118063754E-10</v>
      </c>
    </row>
    <row r="13" spans="1:310" x14ac:dyDescent="0.35">
      <c r="A13">
        <v>2.7886219671744235E-9</v>
      </c>
      <c r="B13">
        <v>4.2780848703101462E-9</v>
      </c>
      <c r="C13">
        <v>3.5775757565013897E-9</v>
      </c>
      <c r="D13">
        <v>1.0256399261250568E-9</v>
      </c>
      <c r="E13">
        <v>2.2190746351098549E-9</v>
      </c>
      <c r="F13">
        <v>7.9122743137113675E-10</v>
      </c>
      <c r="G13">
        <v>1.5474407752620566E-9</v>
      </c>
      <c r="H13">
        <v>4.810571837054745E-9</v>
      </c>
      <c r="I13">
        <v>2.088794945978918E-9</v>
      </c>
      <c r="K13">
        <v>1.6932267031342328E-8</v>
      </c>
      <c r="L13">
        <v>8.9840691733330736E-9</v>
      </c>
      <c r="M13">
        <v>9.1991557107115493E-10</v>
      </c>
      <c r="N13">
        <v>2.0853844829126628E-9</v>
      </c>
      <c r="O13">
        <v>4.2012357692172028E-9</v>
      </c>
      <c r="P13">
        <v>2.8409157341903315E-9</v>
      </c>
      <c r="Q13">
        <v>3.257901685091097E-9</v>
      </c>
      <c r="R13">
        <v>2.0260424255598277E-9</v>
      </c>
      <c r="S13">
        <v>6.1995397618381579E-9</v>
      </c>
      <c r="T13">
        <v>4.5986683985381069E-9</v>
      </c>
      <c r="U13">
        <v>5.0981875556422409E-9</v>
      </c>
      <c r="V13">
        <v>1.8009518631870042E-9</v>
      </c>
      <c r="W13">
        <v>1.8084548819327649E-9</v>
      </c>
      <c r="X13">
        <v>8.6263840129624624E-10</v>
      </c>
      <c r="Y13">
        <v>2.2963784646116325E-11</v>
      </c>
      <c r="Z13">
        <v>1.0458753403181693E-10</v>
      </c>
      <c r="AA13">
        <v>2.9557346574209134E-12</v>
      </c>
      <c r="AB13">
        <v>3.4036421401223903E-10</v>
      </c>
      <c r="AC13">
        <v>5.3817107185502327E-10</v>
      </c>
      <c r="AD13">
        <v>8.87629854043942E-10</v>
      </c>
      <c r="AE13">
        <v>6.457143405442611E-10</v>
      </c>
      <c r="AF13">
        <v>1.0556520011081E-9</v>
      </c>
      <c r="AG13">
        <v>4.3085516737020231E-10</v>
      </c>
      <c r="AH13">
        <v>1.2427727413432855E-9</v>
      </c>
      <c r="AI13">
        <v>1.5378914786765432E-9</v>
      </c>
      <c r="AJ13">
        <v>1.1777465788800254E-9</v>
      </c>
      <c r="AK13">
        <v>1.7211470274366397E-9</v>
      </c>
      <c r="AL13">
        <v>1.4862798042738856E-9</v>
      </c>
      <c r="AM13">
        <v>1.8009518631870042E-9</v>
      </c>
      <c r="AN13">
        <v>9.5697593639112498E-10</v>
      </c>
      <c r="AO13">
        <v>1.7995876779605024E-9</v>
      </c>
      <c r="AP13">
        <v>2.1422255340169112E-9</v>
      </c>
      <c r="AQ13">
        <v>1.6583945070175494E-9</v>
      </c>
      <c r="AR13">
        <v>1.122269713002279E-9</v>
      </c>
      <c r="AS13">
        <v>2.252951901567987E-9</v>
      </c>
      <c r="AW13">
        <v>1.678175192801828E-9</v>
      </c>
      <c r="AX13">
        <v>3.8924751796189257E-10</v>
      </c>
      <c r="AY13">
        <v>6.1120045431376139E-9</v>
      </c>
      <c r="AZ13">
        <v>1.1647413463873733E-8</v>
      </c>
      <c r="BA13">
        <v>1.8282128312966017E-8</v>
      </c>
      <c r="BB13">
        <v>1.3176210374373596E-8</v>
      </c>
      <c r="BC13">
        <v>1.6320429957256198E-8</v>
      </c>
      <c r="BE13">
        <v>1.6138311229518186E-9</v>
      </c>
      <c r="BF13">
        <v>2.6017285911436549E-9</v>
      </c>
      <c r="BG13">
        <v>2.9405012557249748E-9</v>
      </c>
      <c r="BH13">
        <v>2.3161591503959111E-9</v>
      </c>
      <c r="BI13">
        <v>3.5618876263966176E-9</v>
      </c>
      <c r="BJ13">
        <v>5.4278656520468816E-9</v>
      </c>
      <c r="BK13">
        <v>5.9012379256430613E-9</v>
      </c>
      <c r="BL13">
        <v>7.3936565634362053E-9</v>
      </c>
      <c r="BM13">
        <v>6.2322802072742048E-9</v>
      </c>
      <c r="BN13">
        <v>3.8197186342054878E-10</v>
      </c>
      <c r="BO13">
        <v>2.6351511291929525E-10</v>
      </c>
      <c r="BP13">
        <v>5.8659964739584282E-10</v>
      </c>
      <c r="BQ13">
        <v>1.122724441411113E-9</v>
      </c>
      <c r="BR13">
        <v>9.2423549095507781E-10</v>
      </c>
      <c r="BS13">
        <v>1.0338250374840687E-9</v>
      </c>
      <c r="BT13">
        <v>8.4966003190630397E-10</v>
      </c>
      <c r="BU13">
        <v>3.8424550546471873E-10</v>
      </c>
      <c r="BV13">
        <v>1.0406459636165785E-9</v>
      </c>
      <c r="BW13">
        <v>3.1489942311753575E-10</v>
      </c>
      <c r="BX13">
        <v>7.2074452800186887E-10</v>
      </c>
      <c r="BY13">
        <v>4.9770024346879842E-10</v>
      </c>
      <c r="BZ13">
        <v>2.694038458136954E-9</v>
      </c>
      <c r="CA13">
        <v>2.8413704625991653E-9</v>
      </c>
      <c r="CB13">
        <v>3.1360344715235888E-9</v>
      </c>
      <c r="CC13">
        <v>1.1897968817141262E-9</v>
      </c>
      <c r="CD13">
        <v>1.3196218424362291E-9</v>
      </c>
      <c r="CE13">
        <v>1.0863461687043942E-9</v>
      </c>
      <c r="CF13">
        <v>4.5461472673177818E-9</v>
      </c>
      <c r="CG13">
        <v>5.4490105230576618E-9</v>
      </c>
      <c r="CH13">
        <v>4.1257508533507614E-9</v>
      </c>
      <c r="CI13">
        <v>0</v>
      </c>
      <c r="CJ13">
        <v>0</v>
      </c>
      <c r="CK13">
        <v>1.7643462262758681E-10</v>
      </c>
      <c r="CL13">
        <v>7.9759362909481271E-9</v>
      </c>
      <c r="CM13">
        <v>8.3319886350651385E-9</v>
      </c>
      <c r="CN13">
        <v>7.2445056453386595E-9</v>
      </c>
      <c r="CO13">
        <v>5.4924370861013077E-9</v>
      </c>
      <c r="CP13">
        <v>5.1482076806139801E-9</v>
      </c>
      <c r="CQ13">
        <v>4.9945094784280918E-9</v>
      </c>
      <c r="CR13">
        <v>6.7131554996161454E-9</v>
      </c>
      <c r="CS13">
        <v>1.3229413598207174E-8</v>
      </c>
      <c r="CT13">
        <v>7.7401596109677049E-9</v>
      </c>
      <c r="CU13">
        <v>7.6007853536600872E-10</v>
      </c>
      <c r="CV13">
        <v>4.8405839120377872E-10</v>
      </c>
      <c r="CW13">
        <v>5.3121372719986324E-9</v>
      </c>
      <c r="CX13">
        <v>2.3839136833121748E-9</v>
      </c>
      <c r="CY13">
        <v>2.1122134590338681E-9</v>
      </c>
      <c r="CZ13">
        <v>3.9552277000380159E-9</v>
      </c>
      <c r="DA13">
        <v>3.7505999160627223E-9</v>
      </c>
      <c r="DB13">
        <v>4.0113866585290133E-9</v>
      </c>
      <c r="DC13">
        <v>2.6451551541873004E-9</v>
      </c>
      <c r="DD13">
        <v>3.0453161539612087E-9</v>
      </c>
      <c r="DE13">
        <v>2.7079076746063903E-9</v>
      </c>
      <c r="DF13">
        <v>1.258915599856892E-9</v>
      </c>
      <c r="DG13">
        <v>1.4499015315671666E-9</v>
      </c>
      <c r="DH13">
        <v>1.6083743820458106E-9</v>
      </c>
      <c r="DI13" s="23">
        <v>7.4307299999999996E-9</v>
      </c>
      <c r="DJ13" s="23">
        <v>8.3921100000000003E-9</v>
      </c>
      <c r="DK13" s="23">
        <v>1.44991E-8</v>
      </c>
      <c r="DL13" s="23">
        <v>1.39147E-8</v>
      </c>
      <c r="DM13" s="23">
        <v>1.2012800000000001E-8</v>
      </c>
      <c r="DN13" s="23">
        <v>1.22457E-8</v>
      </c>
      <c r="DO13" s="23">
        <v>1.0661E-8</v>
      </c>
      <c r="DP13" s="23">
        <v>1.00963E-8</v>
      </c>
      <c r="DQ13" s="23">
        <v>1.45899E-8</v>
      </c>
      <c r="DR13" s="23">
        <v>1.36142E-8</v>
      </c>
      <c r="DS13" s="23">
        <v>1.27678E-8</v>
      </c>
      <c r="DT13" s="23">
        <v>1.48222E-8</v>
      </c>
      <c r="DU13" s="23">
        <v>1.7040400000000001E-8</v>
      </c>
      <c r="DV13" s="23">
        <v>8.5002700000000001E-9</v>
      </c>
      <c r="DW13" s="23">
        <v>1.17268E-8</v>
      </c>
      <c r="DX13" s="23">
        <v>1.04423E-8</v>
      </c>
      <c r="DY13">
        <v>5.0841204250295154E-10</v>
      </c>
      <c r="DZ13" s="23">
        <v>6.1998199999999998E-10</v>
      </c>
      <c r="EA13" s="23">
        <v>1.9470200000000002E-9</v>
      </c>
      <c r="EB13">
        <v>6.2839433293978738E-10</v>
      </c>
      <c r="EC13">
        <v>2.0900236127508854E-9</v>
      </c>
      <c r="ED13">
        <v>1.3174439197166468E-9</v>
      </c>
      <c r="EE13">
        <v>3.4071723730814636E-9</v>
      </c>
      <c r="EF13">
        <v>2.3060802833530105E-9</v>
      </c>
      <c r="EG13">
        <v>1.9306375442739079E-9</v>
      </c>
      <c r="EH13" s="23">
        <v>4.7333200000000004E-9</v>
      </c>
      <c r="EI13" s="23">
        <v>4.8212799999999997E-9</v>
      </c>
      <c r="EJ13" s="23">
        <v>6.1847699999999999E-9</v>
      </c>
      <c r="EK13" s="23">
        <v>6.1847699999999999E-9</v>
      </c>
      <c r="EL13" s="23">
        <v>5.6865399999999997E-9</v>
      </c>
      <c r="EM13" s="23">
        <v>4.5529799999999997E-9</v>
      </c>
      <c r="EN13" s="23">
        <v>4.2626900000000003E-9</v>
      </c>
      <c r="EO13" s="23">
        <v>3.84253E-9</v>
      </c>
      <c r="EP13" s="23">
        <v>4.7105999999999998E-9</v>
      </c>
      <c r="EQ13" s="23">
        <v>9.6868399999999996E-9</v>
      </c>
      <c r="ER13" s="23">
        <v>1.0474599999999999E-8</v>
      </c>
      <c r="ES13">
        <v>4.8860684769775678E-9</v>
      </c>
      <c r="ET13">
        <v>2.0417650531286896E-9</v>
      </c>
      <c r="EU13">
        <v>2.3364817001180634E-9</v>
      </c>
      <c r="EV13">
        <v>4.3899055489964583E-9</v>
      </c>
      <c r="EW13">
        <v>7.9383116883116879E-9</v>
      </c>
      <c r="EX13">
        <v>8.7545749704840614E-9</v>
      </c>
      <c r="EY13">
        <v>8.4961629279811091E-10</v>
      </c>
      <c r="EZ13">
        <v>9.2724321133412024E-10</v>
      </c>
      <c r="FA13">
        <v>2.274793388429752E-9</v>
      </c>
      <c r="FB13">
        <v>1.6838842975206614E-10</v>
      </c>
      <c r="FC13">
        <v>4.2724321133412042E-10</v>
      </c>
      <c r="FD13">
        <v>2.2801062573789845E-9</v>
      </c>
      <c r="FE13">
        <v>2.1782762691853599E-10</v>
      </c>
      <c r="FF13">
        <v>3.4695985832349469E-10</v>
      </c>
      <c r="FG13">
        <v>3.6466942148760331E-10</v>
      </c>
      <c r="FH13">
        <v>1.0677390791027153E-9</v>
      </c>
      <c r="FI13">
        <v>1.323051948051948E-9</v>
      </c>
      <c r="FJ13">
        <v>8.5507674144037773E-10</v>
      </c>
      <c r="FL13">
        <v>2.0219893742621013E-9</v>
      </c>
      <c r="FM13">
        <v>1.9397874852420304E-9</v>
      </c>
      <c r="FN13">
        <v>4.6974616292798105E-10</v>
      </c>
      <c r="FO13">
        <v>8.4548406139315232E-10</v>
      </c>
      <c r="FP13">
        <v>4.4524793388429749E-10</v>
      </c>
      <c r="FR13">
        <v>1.2271251475796931E-9</v>
      </c>
      <c r="FS13">
        <v>3.5950413223140495E-10</v>
      </c>
      <c r="FT13">
        <v>2.5439787485242032E-9</v>
      </c>
      <c r="FU13">
        <v>3.4701889020070835E-9</v>
      </c>
      <c r="FV13">
        <v>4.22181227863046E-9</v>
      </c>
      <c r="FW13">
        <v>4.6244096812278627E-9</v>
      </c>
      <c r="FX13">
        <v>5.6847697756788662E-10</v>
      </c>
      <c r="FY13">
        <v>5.3276269185360093E-10</v>
      </c>
      <c r="FZ13">
        <v>2.247048406139315E-9</v>
      </c>
      <c r="GA13">
        <v>1.5211038961038958E-9</v>
      </c>
      <c r="GB13">
        <v>2.4577922077922076E-9</v>
      </c>
      <c r="GC13">
        <v>2.5162337662337658E-9</v>
      </c>
      <c r="GD13">
        <v>2.4452479338842976E-9</v>
      </c>
      <c r="GE13">
        <v>2.0968122786304604E-9</v>
      </c>
      <c r="GF13">
        <v>3.1214580873671781E-9</v>
      </c>
      <c r="GG13">
        <v>5.1686835891381341E-9</v>
      </c>
      <c r="GH13">
        <v>4.3643742621015345E-9</v>
      </c>
      <c r="GI13">
        <v>9.3816410861865418E-10</v>
      </c>
      <c r="GJ13">
        <v>9.3385478158205405E-9</v>
      </c>
      <c r="GK13">
        <v>1.2820100354191264E-8</v>
      </c>
      <c r="GL13">
        <v>1.6887987012987011E-8</v>
      </c>
      <c r="GM13">
        <v>1.3612160566706021E-8</v>
      </c>
      <c r="GN13">
        <v>1.6161452184179456E-8</v>
      </c>
      <c r="GO13">
        <v>1.7084710743801651E-8</v>
      </c>
      <c r="GP13">
        <v>5.6214580873671785E-9</v>
      </c>
      <c r="GQ13">
        <v>6.4583825265643447E-9</v>
      </c>
      <c r="GR13">
        <v>1.0379279811097991E-8</v>
      </c>
      <c r="GS13">
        <v>1.5042798110979927E-8</v>
      </c>
      <c r="GT13">
        <v>8.7241735537190081E-9</v>
      </c>
      <c r="GU13">
        <v>7.0500295159386071E-9</v>
      </c>
      <c r="GV13">
        <v>4.6723730814639911E-9</v>
      </c>
      <c r="GW13">
        <v>4.8227567886658792E-9</v>
      </c>
      <c r="GX13">
        <v>5.1534828807556081E-10</v>
      </c>
      <c r="GY13">
        <v>6.803423848878394E-10</v>
      </c>
      <c r="GZ13">
        <v>6.1821133412042497E-10</v>
      </c>
      <c r="HA13">
        <v>2.2843860684769776E-9</v>
      </c>
      <c r="HB13">
        <v>2.1100944510035416E-9</v>
      </c>
      <c r="HC13">
        <v>2.2789256198347107E-9</v>
      </c>
      <c r="HD13">
        <v>3.6006493506493506E-9</v>
      </c>
      <c r="HE13">
        <v>3.9874557260920898E-9</v>
      </c>
      <c r="HF13">
        <v>5.2126623376623381E-9</v>
      </c>
      <c r="HG13">
        <v>6.874409681227863E-9</v>
      </c>
      <c r="HH13">
        <v>8.2018890200708384E-9</v>
      </c>
      <c r="HI13">
        <v>9.7542798110979935E-9</v>
      </c>
      <c r="HJ13">
        <v>4.0760035419126319E-9</v>
      </c>
      <c r="HK13">
        <v>7.3192148760330579E-9</v>
      </c>
      <c r="HL13">
        <v>1.4315672963400235E-8</v>
      </c>
      <c r="HM13">
        <v>1.4955873671782761E-8</v>
      </c>
      <c r="HN13">
        <v>1.4538370720188901E-8</v>
      </c>
      <c r="HO13">
        <v>5.6685360094451009E-9</v>
      </c>
      <c r="HP13">
        <v>7.9157319952774507E-9</v>
      </c>
      <c r="HQ13">
        <v>1.9528482880755608E-8</v>
      </c>
      <c r="HR13">
        <v>9.6545159386068475E-9</v>
      </c>
      <c r="HS13">
        <v>1.2686245572609209E-8</v>
      </c>
      <c r="HT13">
        <v>8.1272136953955132E-9</v>
      </c>
      <c r="HU13">
        <v>1.589300472255018E-8</v>
      </c>
      <c r="HV13">
        <v>1.6565082644628101E-8</v>
      </c>
      <c r="HW13">
        <v>1.6527597402597402E-8</v>
      </c>
      <c r="HX13">
        <v>9.7564935064935067E-9</v>
      </c>
      <c r="HY13">
        <v>3.5014757969303424E-9</v>
      </c>
      <c r="HZ13">
        <v>7.3468122786304598E-9</v>
      </c>
      <c r="IA13">
        <v>5.1289846517119248E-9</v>
      </c>
      <c r="IB13">
        <v>5.2628394332939789E-9</v>
      </c>
      <c r="IC13">
        <v>4.2274203069657619E-9</v>
      </c>
      <c r="ID13">
        <v>6.6649940968122786E-9</v>
      </c>
      <c r="IE13">
        <v>1.0747933884297521E-8</v>
      </c>
      <c r="IF13">
        <v>6.6620425029515945E-9</v>
      </c>
      <c r="IG13">
        <v>4.7176800472255016E-9</v>
      </c>
      <c r="IH13">
        <v>4.9721074380165295E-9</v>
      </c>
      <c r="II13">
        <v>5.4431818181818174E-9</v>
      </c>
      <c r="IJ13">
        <v>8.8680637544273906E-10</v>
      </c>
      <c r="IK13">
        <v>1.1878689492325855E-9</v>
      </c>
      <c r="IL13">
        <v>1.2981109799291615E-9</v>
      </c>
      <c r="IM13">
        <v>2.6815230224321131E-9</v>
      </c>
      <c r="IN13">
        <v>2.7936835891381343E-9</v>
      </c>
      <c r="IO13">
        <v>3.2135478158205431E-9</v>
      </c>
      <c r="IP13">
        <v>2.4431818181818182E-9</v>
      </c>
      <c r="IQ13">
        <v>2.4893742621015347E-9</v>
      </c>
      <c r="IR13">
        <v>2.2015938606847702E-9</v>
      </c>
      <c r="IS13">
        <v>2.5543093270366E-9</v>
      </c>
      <c r="IT13">
        <v>1.0137249114521841E-9</v>
      </c>
      <c r="IU13">
        <v>3.1345926800472246E-10</v>
      </c>
      <c r="IV13">
        <v>4.1543683589138133E-10</v>
      </c>
      <c r="IW13">
        <v>2.1266233766233765E-10</v>
      </c>
      <c r="IX13">
        <v>2.6210153482880755E-10</v>
      </c>
      <c r="IY13">
        <v>3.9684179456906726E-10</v>
      </c>
      <c r="IZ13">
        <v>2.3646571231798509E-8</v>
      </c>
      <c r="JA13">
        <v>2.7905844155844158E-8</v>
      </c>
      <c r="JB13">
        <v>3.5751180637544272E-9</v>
      </c>
      <c r="JC13">
        <v>2.0786599763872492E-9</v>
      </c>
      <c r="JD13">
        <v>1.5290289256198346E-8</v>
      </c>
      <c r="JE13">
        <v>1.0629673356946086E-8</v>
      </c>
      <c r="JF13">
        <v>1.0582128099173553E-8</v>
      </c>
      <c r="JG13">
        <v>9.4205037386855572E-11</v>
      </c>
      <c r="JH13">
        <v>9.1056670602125134E-11</v>
      </c>
      <c r="JI13">
        <v>6.9805194805194805E-11</v>
      </c>
      <c r="JJ13">
        <v>1.0168240850059032E-10</v>
      </c>
      <c r="JK13">
        <v>1.7237308146399056E-10</v>
      </c>
      <c r="JL13">
        <v>1.146694214876033E-10</v>
      </c>
      <c r="JM13">
        <v>3.2319952774498232E-11</v>
      </c>
      <c r="JN13">
        <v>1.0258264462809919E-9</v>
      </c>
      <c r="JO13">
        <v>4.2798110979929159E-10</v>
      </c>
      <c r="JP13">
        <v>2.5315820543093267E-9</v>
      </c>
      <c r="JQ13">
        <v>6.458087367178275E-10</v>
      </c>
      <c r="JR13">
        <v>3.3392857142857146E-9</v>
      </c>
      <c r="JS13">
        <v>2.8164108618654076E-9</v>
      </c>
      <c r="JT13">
        <v>3.2319952774498232E-11</v>
      </c>
      <c r="JU13">
        <v>9.9468713105076747E-11</v>
      </c>
      <c r="JV13">
        <v>1.6189492325855963E-10</v>
      </c>
      <c r="JW13">
        <v>5.373376623376623E-10</v>
      </c>
      <c r="JY13">
        <v>2.9557260920897286E-9</v>
      </c>
      <c r="JZ13">
        <v>8.1626328217237312E-10</v>
      </c>
      <c r="KA13">
        <v>2.4498229043683592E-10</v>
      </c>
      <c r="KB13" s="42">
        <v>2.7715466351829992E-10</v>
      </c>
      <c r="KC13">
        <v>6.361717827626918E-9</v>
      </c>
      <c r="KD13">
        <v>5.1881641086186538E-9</v>
      </c>
      <c r="KE13">
        <v>4.4878984651711923E-10</v>
      </c>
      <c r="KF13">
        <v>5.9445100354191258E-10</v>
      </c>
      <c r="KI13" s="8">
        <v>1.8534681227863046E-7</v>
      </c>
      <c r="KJ13" s="42">
        <v>2.3612750885478159E-12</v>
      </c>
      <c r="KK13" s="42">
        <v>6.6020513577331767E-8</v>
      </c>
      <c r="KL13">
        <v>1.494982290436836E-10</v>
      </c>
      <c r="KM13">
        <v>1.7443919716646988E-10</v>
      </c>
      <c r="KN13">
        <v>1.5916469893742619E-9</v>
      </c>
      <c r="KO13">
        <v>2.2131050767414403E-9</v>
      </c>
      <c r="KP13" s="42">
        <v>6.5672963400236124E-11</v>
      </c>
      <c r="KQ13">
        <v>3.8474025974025973E-10</v>
      </c>
      <c r="KR13" s="42">
        <v>1.0275974025974026E-9</v>
      </c>
      <c r="KS13">
        <v>8.6806375442739071E-10</v>
      </c>
      <c r="KT13">
        <v>1.6528925619834711E-9</v>
      </c>
      <c r="KU13">
        <v>1.1399055489964581E-9</v>
      </c>
      <c r="KV13">
        <v>1.2101534828807554E-10</v>
      </c>
      <c r="KW13">
        <v>1.5010330578512397E-9</v>
      </c>
      <c r="KX13">
        <v>1.8993506493506491E-10</v>
      </c>
    </row>
    <row r="14" spans="1:310" x14ac:dyDescent="0.35">
      <c r="A14">
        <v>3.3968212139898809E-9</v>
      </c>
      <c r="B14">
        <v>4.9781392557100688E-9</v>
      </c>
      <c r="C14">
        <v>4.3387911128894844E-9</v>
      </c>
      <c r="D14">
        <v>1.0997606567649967E-9</v>
      </c>
      <c r="E14">
        <v>1.8962174648377246E-9</v>
      </c>
      <c r="F14">
        <v>9.7721135058423725E-10</v>
      </c>
      <c r="G14">
        <v>1.9632899051407374E-9</v>
      </c>
      <c r="H14">
        <v>5.9267027165377652E-9</v>
      </c>
      <c r="I14">
        <v>2.5260163110727956E-9</v>
      </c>
      <c r="K14">
        <v>2.2344217189080023E-8</v>
      </c>
      <c r="M14">
        <v>1.4419437844125718E-9</v>
      </c>
      <c r="N14">
        <v>2.8584227779304401E-9</v>
      </c>
      <c r="O14">
        <v>4.6841573393988968E-9</v>
      </c>
      <c r="P14">
        <v>5.7391272478937452E-9</v>
      </c>
      <c r="Q14">
        <v>7.1562883340248641E-9</v>
      </c>
      <c r="R14">
        <v>4.5973042133116049E-9</v>
      </c>
      <c r="S14">
        <v>7.1403728397156753E-9</v>
      </c>
      <c r="T14">
        <v>6.010600107967636E-9</v>
      </c>
      <c r="U14">
        <v>6.1984029408160731E-9</v>
      </c>
      <c r="V14">
        <v>2.1501832811715055E-9</v>
      </c>
      <c r="W14">
        <v>2.0274066107863296E-9</v>
      </c>
      <c r="X14">
        <v>1.0676928616437123E-9</v>
      </c>
      <c r="Y14">
        <v>8.0259564159198647E-11</v>
      </c>
      <c r="Z14">
        <v>1.0140443516997901E-10</v>
      </c>
      <c r="AA14">
        <v>0</v>
      </c>
      <c r="AB14">
        <v>3.6446481968044029E-10</v>
      </c>
      <c r="AC14">
        <v>7.5621334389091968E-10</v>
      </c>
      <c r="AD14">
        <v>1.1004427493782477E-9</v>
      </c>
      <c r="AE14">
        <v>7.8872642512254983E-10</v>
      </c>
      <c r="AF14">
        <v>1.4037465980705168E-9</v>
      </c>
      <c r="AG14">
        <v>5.6545477638506246E-10</v>
      </c>
      <c r="AH14">
        <v>1.737289885950246E-9</v>
      </c>
      <c r="AI14">
        <v>2.1613241271879388E-9</v>
      </c>
      <c r="AJ14">
        <v>1.6215615059019963E-9</v>
      </c>
      <c r="AK14">
        <v>2.4855454826865711E-9</v>
      </c>
      <c r="AL14">
        <v>1.9464649540138797E-9</v>
      </c>
      <c r="AM14">
        <v>2.4302959810132417E-9</v>
      </c>
      <c r="AN14">
        <v>1.2918834094973562E-9</v>
      </c>
      <c r="AO14">
        <v>2.3961913503506925E-9</v>
      </c>
      <c r="AP14">
        <v>2.6537949939551458E-9</v>
      </c>
      <c r="AQ14">
        <v>1.9589699852568145E-9</v>
      </c>
      <c r="AR14">
        <v>1.4123864378383624E-9</v>
      </c>
      <c r="AS14">
        <v>6.182714810711299E-9</v>
      </c>
      <c r="AW14">
        <v>1.7995876779605024E-9</v>
      </c>
      <c r="AX14">
        <v>4.5950305712674352E-10</v>
      </c>
      <c r="AY14">
        <v>7.9009061034905175E-9</v>
      </c>
      <c r="AZ14">
        <v>1.149939936679827E-8</v>
      </c>
      <c r="BA14">
        <v>1.7124162419870265E-8</v>
      </c>
      <c r="BB14">
        <v>1.5203616985159925E-8</v>
      </c>
      <c r="BC14">
        <v>1.6848142275708038E-8</v>
      </c>
      <c r="BE14">
        <v>2.1749659794529584E-9</v>
      </c>
      <c r="BF14">
        <v>3.3020103407479935E-9</v>
      </c>
      <c r="BG14">
        <v>3.6887568524612993E-9</v>
      </c>
      <c r="BH14">
        <v>2.8554670432730192E-9</v>
      </c>
      <c r="BI14">
        <v>4.2428434186255126E-9</v>
      </c>
      <c r="BJ14">
        <v>6.1506564578885035E-9</v>
      </c>
      <c r="BK14">
        <v>7.3884271867346139E-9</v>
      </c>
      <c r="BL14">
        <v>8.9256365727979074E-9</v>
      </c>
      <c r="BM14">
        <v>7.6996887825814783E-9</v>
      </c>
      <c r="BN14">
        <v>4.6950708212109125E-10</v>
      </c>
      <c r="BO14">
        <v>3.1194368846011489E-10</v>
      </c>
      <c r="BP14">
        <v>6.5844673599161261E-10</v>
      </c>
      <c r="BQ14">
        <v>1.2700564458733247E-9</v>
      </c>
      <c r="BR14">
        <v>1.0890745391573981E-9</v>
      </c>
      <c r="BS14">
        <v>1.2020745487526437E-9</v>
      </c>
      <c r="BT14">
        <v>1.1702435601342645E-9</v>
      </c>
      <c r="BU14">
        <v>6.0365196272711731E-10</v>
      </c>
      <c r="BV14">
        <v>1.2070765612498177E-9</v>
      </c>
      <c r="BW14">
        <v>4.7541855143593307E-10</v>
      </c>
      <c r="BX14">
        <v>9.7539243694890129E-10</v>
      </c>
      <c r="BY14">
        <v>7.2074452800186887E-10</v>
      </c>
      <c r="BZ14">
        <v>2.9304972307306267E-9</v>
      </c>
      <c r="CA14">
        <v>3.1328513726617507E-9</v>
      </c>
      <c r="CB14">
        <v>3.3863624605866986E-9</v>
      </c>
      <c r="CC14">
        <v>1.4539940872466723E-9</v>
      </c>
      <c r="CD14">
        <v>1.5542617013945664E-9</v>
      </c>
      <c r="CE14">
        <v>1.3389477998116739E-9</v>
      </c>
      <c r="CF14">
        <v>5.1136483215425963E-9</v>
      </c>
      <c r="CG14">
        <v>5.9578516125428938E-9</v>
      </c>
      <c r="CH14">
        <v>4.7628253541271763E-9</v>
      </c>
      <c r="CI14">
        <v>1.3869216469436594E-11</v>
      </c>
      <c r="CJ14">
        <v>0</v>
      </c>
      <c r="CK14">
        <v>1.4483099821362474E-10</v>
      </c>
      <c r="CL14">
        <v>8.8901677569088559E-9</v>
      </c>
      <c r="CM14">
        <v>9.2932844913401855E-9</v>
      </c>
      <c r="CN14">
        <v>8.1932964703707705E-9</v>
      </c>
      <c r="CO14">
        <v>6.5146665491601101E-9</v>
      </c>
      <c r="CP14">
        <v>6.094042770988671E-9</v>
      </c>
      <c r="CQ14">
        <v>5.6781936411099915E-9</v>
      </c>
      <c r="CR14">
        <v>7.7071918013272401E-9</v>
      </c>
      <c r="CT14">
        <v>1.1817254524573229E-8</v>
      </c>
      <c r="CU14">
        <v>7.5780489332183872E-10</v>
      </c>
      <c r="CV14">
        <v>5.693199678601513E-10</v>
      </c>
      <c r="CW14">
        <v>6.3318657288088481E-9</v>
      </c>
      <c r="CX14">
        <v>3.0212155482930072E-9</v>
      </c>
      <c r="CY14">
        <v>2.694720550750205E-9</v>
      </c>
      <c r="CZ14">
        <v>4.4554289497554013E-9</v>
      </c>
      <c r="DA14">
        <v>4.2814953333764014E-9</v>
      </c>
      <c r="DB14">
        <v>4.448835387827308E-9</v>
      </c>
      <c r="DC14">
        <v>3.1458111323135201E-9</v>
      </c>
      <c r="DD14">
        <v>3.5518836014022699E-9</v>
      </c>
      <c r="DE14">
        <v>3.2397125487377379E-9</v>
      </c>
      <c r="DF14">
        <v>1.6356580865758498E-9</v>
      </c>
      <c r="DG14">
        <v>1.6845413905255038E-9</v>
      </c>
      <c r="DH14">
        <v>1.8893965387052146E-9</v>
      </c>
      <c r="DI14" s="23">
        <v>8.0317300000000003E-9</v>
      </c>
      <c r="DJ14" s="23">
        <v>9.0941100000000006E-9</v>
      </c>
      <c r="DK14" s="23">
        <v>1.6280699999999999E-8</v>
      </c>
      <c r="DL14" s="23">
        <v>1.5921500000000001E-8</v>
      </c>
      <c r="DM14" s="23">
        <v>1.40849E-8</v>
      </c>
      <c r="DN14" s="23">
        <v>1.43997E-8</v>
      </c>
      <c r="DO14" s="23">
        <v>1.26458E-8</v>
      </c>
      <c r="DP14" s="23">
        <v>1.2778800000000001E-8</v>
      </c>
      <c r="DQ14" s="23">
        <v>1.85066E-8</v>
      </c>
      <c r="DR14" s="23">
        <v>1.6233699999999999E-8</v>
      </c>
      <c r="DS14" s="23">
        <v>1.3700500000000001E-8</v>
      </c>
      <c r="DT14" s="23">
        <v>1.6515700000000001E-8</v>
      </c>
      <c r="DU14" s="23">
        <v>1.8271100000000001E-8</v>
      </c>
      <c r="DV14" s="23">
        <v>1.1424500000000001E-8</v>
      </c>
      <c r="DW14" s="23">
        <v>1.5416999999999998E-8</v>
      </c>
      <c r="DX14" s="23">
        <v>1.3528800000000001E-8</v>
      </c>
      <c r="DY14">
        <v>5.4766824085005903E-10</v>
      </c>
      <c r="DZ14" s="23">
        <v>8.0667099999999997E-10</v>
      </c>
      <c r="EA14" s="23">
        <v>2.6478699999999999E-9</v>
      </c>
      <c r="EB14">
        <v>8.3205430932703667E-10</v>
      </c>
      <c r="EC14">
        <v>2.3097697756788666E-9</v>
      </c>
      <c r="ED14">
        <v>1.5683293978748524E-9</v>
      </c>
      <c r="EE14">
        <v>3.8394332939787485E-9</v>
      </c>
      <c r="EF14">
        <v>2.6738488783943334E-9</v>
      </c>
      <c r="EG14">
        <v>2.1940672963400232E-9</v>
      </c>
      <c r="EH14" s="23">
        <v>7.4969000000000004E-9</v>
      </c>
      <c r="EI14" s="23">
        <v>6.5208099999999999E-9</v>
      </c>
      <c r="EJ14" s="23">
        <v>7.6711900000000007E-9</v>
      </c>
      <c r="EK14" s="23">
        <v>7.6711900000000007E-9</v>
      </c>
      <c r="EL14" s="23">
        <v>7.2672699999999999E-9</v>
      </c>
      <c r="EM14" s="23">
        <v>5.4905499999999998E-9</v>
      </c>
      <c r="EN14" s="23">
        <v>4.6633699999999998E-9</v>
      </c>
      <c r="EO14" s="23">
        <v>4.4877499999999999E-9</v>
      </c>
      <c r="EP14" s="23">
        <v>5.3581800000000002E-9</v>
      </c>
      <c r="EQ14" s="23">
        <v>1.0764200000000001E-8</v>
      </c>
      <c r="ER14" s="23">
        <v>1.10359E-8</v>
      </c>
      <c r="ES14">
        <v>5.0782172373081458E-9</v>
      </c>
      <c r="ET14">
        <v>2.4349173553719008E-9</v>
      </c>
      <c r="EU14">
        <v>2.7820247933884291E-9</v>
      </c>
      <c r="EV14">
        <v>5.6371015348288073E-9</v>
      </c>
      <c r="EW14">
        <v>9.6505312868949223E-9</v>
      </c>
      <c r="EX14">
        <v>1.0875147579693032E-8</v>
      </c>
      <c r="EY14">
        <v>9.7018890200708365E-10</v>
      </c>
      <c r="EZ14">
        <v>1.1055194805194805E-9</v>
      </c>
      <c r="FA14">
        <v>2.7432113341204249E-9</v>
      </c>
      <c r="FB14">
        <v>2.7169421487603306E-10</v>
      </c>
      <c r="FC14">
        <v>4.8775088547815817E-10</v>
      </c>
      <c r="FE14">
        <v>3.0121015348288071E-10</v>
      </c>
      <c r="FF14">
        <v>3.3353010625737899E-10</v>
      </c>
      <c r="FG14">
        <v>4.3358913813459268E-10</v>
      </c>
      <c r="FH14">
        <v>1.3282172373081464E-9</v>
      </c>
      <c r="FI14">
        <v>1.5675914994096811E-9</v>
      </c>
      <c r="FJ14">
        <v>1.0531286894923258E-9</v>
      </c>
      <c r="FL14">
        <v>2.5154958677685945E-9</v>
      </c>
      <c r="FM14">
        <v>2.1357733175914989E-9</v>
      </c>
      <c r="FN14">
        <v>5.9356552538370713E-10</v>
      </c>
      <c r="FO14">
        <v>9.8479929161747341E-10</v>
      </c>
      <c r="FP14">
        <v>5.5327626918536007E-10</v>
      </c>
      <c r="FR14">
        <v>1.4206021251475799E-9</v>
      </c>
      <c r="FS14">
        <v>3.8252656434474611E-10</v>
      </c>
      <c r="FT14">
        <v>3.2697756788665881E-9</v>
      </c>
      <c r="FU14">
        <v>5.146103896103896E-9</v>
      </c>
      <c r="FV14">
        <v>5.5526859504132232E-9</v>
      </c>
      <c r="FW14">
        <v>4.4372786304604494E-9</v>
      </c>
      <c r="FX14">
        <v>6.3355962219598575E-10</v>
      </c>
      <c r="FY14">
        <v>6.0507674144037787E-10</v>
      </c>
      <c r="FZ14">
        <v>2.5606552538370719E-9</v>
      </c>
      <c r="GA14">
        <v>1.7454250295159385E-9</v>
      </c>
      <c r="GB14">
        <v>2.8078512396694215E-9</v>
      </c>
      <c r="GC14">
        <v>2.8047520661157023E-9</v>
      </c>
      <c r="GD14">
        <v>2.8189197166469895E-9</v>
      </c>
      <c r="GE14">
        <v>2.3623081463990554E-9</v>
      </c>
      <c r="GF14">
        <v>3.7377508854781579E-9</v>
      </c>
      <c r="GG14">
        <v>5.9260625737898456E-9</v>
      </c>
      <c r="GH14">
        <v>4.7601829988193632E-9</v>
      </c>
      <c r="GI14">
        <v>1.093417945690673E-9</v>
      </c>
      <c r="GJ14">
        <v>1.1057260920897284E-8</v>
      </c>
      <c r="GK14">
        <v>1.4487898465171193E-8</v>
      </c>
      <c r="GL14">
        <v>1.9198199527744981E-8</v>
      </c>
      <c r="GM14">
        <v>1.4539403778040141E-8</v>
      </c>
      <c r="GN14">
        <v>1.61956906729634E-8</v>
      </c>
      <c r="GO14">
        <v>1.9357880755608028E-8</v>
      </c>
      <c r="GP14">
        <v>6.3974321133412046E-9</v>
      </c>
      <c r="GQ14">
        <v>7.4009740259740258E-9</v>
      </c>
      <c r="GR14">
        <v>1.2102567886658796E-8</v>
      </c>
      <c r="GS14">
        <v>1.7520956316410859E-8</v>
      </c>
      <c r="GT14">
        <v>1.0420306965761512E-8</v>
      </c>
      <c r="GU14">
        <v>8.0624262101534831E-9</v>
      </c>
      <c r="GV14">
        <v>5.4595631641086186E-9</v>
      </c>
      <c r="GW14">
        <v>5.6131936245572611E-9</v>
      </c>
      <c r="GX14">
        <v>5.7792207792207791E-10</v>
      </c>
      <c r="GY14">
        <v>8.1641086186540734E-10</v>
      </c>
      <c r="GZ14">
        <v>6.8875442739079101E-10</v>
      </c>
      <c r="HA14">
        <v>4.1028630460448638E-9</v>
      </c>
      <c r="HB14">
        <v>2.4073199527744981E-9</v>
      </c>
      <c r="HC14">
        <v>2.6872786304604486E-9</v>
      </c>
      <c r="HD14">
        <v>4.3634887839433285E-9</v>
      </c>
      <c r="HE14">
        <v>4.783943329397875E-9</v>
      </c>
      <c r="HF14">
        <v>6.1688311688311683E-9</v>
      </c>
      <c r="HG14">
        <v>8.1037485242030684E-9</v>
      </c>
      <c r="HH14">
        <v>9.5926800472255006E-9</v>
      </c>
      <c r="HI14">
        <v>1.1694362455726091E-8</v>
      </c>
      <c r="HJ14">
        <v>4.8041617473435647E-9</v>
      </c>
      <c r="HK14">
        <v>8.5243506493506492E-9</v>
      </c>
      <c r="HL14">
        <v>1.6360389610389608E-8</v>
      </c>
      <c r="HM14">
        <v>1.8157762691853599E-8</v>
      </c>
      <c r="HN14">
        <v>1.7566410861865409E-8</v>
      </c>
      <c r="HO14">
        <v>6.7405548996458089E-9</v>
      </c>
      <c r="HP14">
        <v>9.0460448642266816E-9</v>
      </c>
      <c r="HQ14">
        <v>2.1269628099173554E-8</v>
      </c>
      <c r="HR14">
        <v>1.110064935064935E-8</v>
      </c>
      <c r="HS14">
        <v>1.4177981109799293E-8</v>
      </c>
      <c r="HT14">
        <v>9.3952184179456909E-9</v>
      </c>
      <c r="HU14">
        <v>1.8410419126328216E-8</v>
      </c>
      <c r="HV14">
        <v>1.8990702479338842E-8</v>
      </c>
      <c r="HW14">
        <v>1.908485832349469E-8</v>
      </c>
      <c r="HX14">
        <v>1.0852125147579692E-8</v>
      </c>
      <c r="HY14">
        <v>4.3462219598583238E-9</v>
      </c>
      <c r="HZ14">
        <v>8.431375442739079E-9</v>
      </c>
      <c r="IA14">
        <v>5.9476092089728451E-9</v>
      </c>
      <c r="IB14">
        <v>6.182408500590319E-9</v>
      </c>
      <c r="IC14">
        <v>4.9622195985832354E-9</v>
      </c>
      <c r="ID14">
        <v>7.6691263282172363E-9</v>
      </c>
      <c r="IE14">
        <v>1.2614226682408501E-8</v>
      </c>
      <c r="IF14">
        <v>7.6859504132231397E-9</v>
      </c>
      <c r="IG14">
        <v>5.403040141676505E-9</v>
      </c>
      <c r="IH14">
        <v>5.5326151121605662E-9</v>
      </c>
      <c r="II14">
        <v>6.2154663518299885E-9</v>
      </c>
      <c r="IJ14">
        <v>9.7963400236127504E-10</v>
      </c>
      <c r="IK14">
        <v>1.4279811097992917E-9</v>
      </c>
      <c r="IL14">
        <v>1.4439197166469894E-9</v>
      </c>
      <c r="IM14">
        <v>3.0453069657615109E-9</v>
      </c>
      <c r="IN14">
        <v>3.0956316410861864E-9</v>
      </c>
      <c r="IO14">
        <v>3.6320838252656434E-9</v>
      </c>
      <c r="IP14">
        <v>2.8199527744982294E-9</v>
      </c>
      <c r="IQ14">
        <v>2.83913813459268E-9</v>
      </c>
      <c r="IR14">
        <v>2.5709858323494691E-9</v>
      </c>
      <c r="IS14">
        <v>2.8606847697756786E-9</v>
      </c>
      <c r="IT14">
        <v>1.306965761511216E-9</v>
      </c>
      <c r="IU14">
        <v>3.6068476977567884E-10</v>
      </c>
      <c r="IV14">
        <v>5.2877804014167646E-10</v>
      </c>
      <c r="IW14">
        <v>1.5274498229043684E-10</v>
      </c>
      <c r="IX14">
        <v>2.7066115702479338E-10</v>
      </c>
      <c r="IY14">
        <v>4.9365407319952777E-10</v>
      </c>
      <c r="IZ14">
        <v>2.7970533254624168E-8</v>
      </c>
      <c r="JA14">
        <v>3.1614029909484462E-8</v>
      </c>
      <c r="JB14">
        <v>4.1722009051554507E-9</v>
      </c>
      <c r="JC14">
        <v>2.5186934277843371E-9</v>
      </c>
      <c r="JD14">
        <v>1.4382747933884297E-8</v>
      </c>
      <c r="JE14">
        <v>1.0666568280204647E-8</v>
      </c>
      <c r="JF14">
        <v>1.1090599173553718E-8</v>
      </c>
      <c r="JG14">
        <v>8.8916765053128714E-11</v>
      </c>
      <c r="JH14">
        <v>0</v>
      </c>
      <c r="JI14">
        <v>9.5336481700118053E-11</v>
      </c>
      <c r="JJ14">
        <v>1.123081463990555E-10</v>
      </c>
      <c r="JK14">
        <v>1.1393152302243211E-10</v>
      </c>
      <c r="JL14">
        <v>1.8742621015348286E-10</v>
      </c>
      <c r="JM14">
        <v>4.3388429752066114E-11</v>
      </c>
      <c r="JN14">
        <v>7.1886068476977567E-10</v>
      </c>
      <c r="JO14">
        <v>4.5306965761511215E-10</v>
      </c>
      <c r="JP14">
        <v>2.6155548996458087E-9</v>
      </c>
      <c r="JQ14">
        <v>6.5097402597402597E-10</v>
      </c>
      <c r="JR14">
        <v>5.053128689492325E-9</v>
      </c>
      <c r="JS14">
        <v>2.5358618654073198E-9</v>
      </c>
      <c r="JT14">
        <v>8.0283353010625752E-11</v>
      </c>
      <c r="JU14">
        <v>7.2461629279811101E-11</v>
      </c>
      <c r="JV14">
        <v>1.7222550177095631E-10</v>
      </c>
      <c r="JW14">
        <v>4.896694214876033E-10</v>
      </c>
      <c r="JY14">
        <v>3.1449232585596221E-9</v>
      </c>
      <c r="JZ14">
        <v>8.0726092089728461E-10</v>
      </c>
      <c r="KA14">
        <v>2.6003541912632825E-10</v>
      </c>
      <c r="KB14" s="42">
        <v>3.0489964580873673E-10</v>
      </c>
      <c r="KC14">
        <v>5.5523907910271553E-9</v>
      </c>
      <c r="KD14">
        <v>5.6204250295159382E-9</v>
      </c>
      <c r="KE14">
        <v>5.2995867768595025E-10</v>
      </c>
      <c r="KF14">
        <v>7.5870720188901995E-10</v>
      </c>
      <c r="KJ14" s="42">
        <v>1.154073199527745E-10</v>
      </c>
      <c r="KL14">
        <v>2.3170011806375442E-10</v>
      </c>
      <c r="KM14">
        <v>2.3479929161747341E-10</v>
      </c>
      <c r="KN14">
        <v>1.8891676505312866E-9</v>
      </c>
      <c r="KO14">
        <v>2.2864521841794573E-9</v>
      </c>
      <c r="KP14" s="42">
        <v>7.9250295159386052E-11</v>
      </c>
      <c r="KQ14">
        <v>3.0903187721369537E-10</v>
      </c>
      <c r="KR14" s="42">
        <v>1.2435064935064935E-9</v>
      </c>
      <c r="KS14">
        <v>9.7564935064935067E-10</v>
      </c>
      <c r="KT14">
        <v>1.5386658795749707E-9</v>
      </c>
      <c r="KU14">
        <v>1.1903778040141676E-9</v>
      </c>
      <c r="KV14">
        <v>3.1124557260920894E-10</v>
      </c>
      <c r="KW14">
        <v>1.3494687131050767E-9</v>
      </c>
      <c r="KX14">
        <v>3.1419716646989369E-10</v>
      </c>
    </row>
    <row r="15" spans="1:310" x14ac:dyDescent="0.35">
      <c r="A15">
        <v>3.9904691517226494E-9</v>
      </c>
      <c r="B15">
        <v>5.6620507825963848E-9</v>
      </c>
      <c r="C15">
        <v>5.155483335155324E-9</v>
      </c>
      <c r="D15">
        <v>1.2793783782544214E-9</v>
      </c>
      <c r="E15">
        <v>1.678629921210662E-9</v>
      </c>
      <c r="F15">
        <v>1.1888874248964581E-9</v>
      </c>
      <c r="G15">
        <v>2.2333985799881255E-9</v>
      </c>
      <c r="H15">
        <v>7.5835056741243957E-9</v>
      </c>
      <c r="I15">
        <v>3.0016622267131461E-9</v>
      </c>
      <c r="K15">
        <v>2.84450808862012E-8</v>
      </c>
      <c r="M15">
        <v>1.8023160484135059E-9</v>
      </c>
      <c r="N15">
        <v>3.679434920080203E-9</v>
      </c>
      <c r="O15">
        <v>5.9567147915208082E-9</v>
      </c>
      <c r="S15">
        <v>7.8981777330375153E-9</v>
      </c>
      <c r="T15">
        <v>7.5173426906390506E-9</v>
      </c>
      <c r="U15">
        <v>7.0835317886114274E-9</v>
      </c>
      <c r="V15">
        <v>4.5631995826490562E-9</v>
      </c>
      <c r="W15">
        <v>2.4268855179469865E-9</v>
      </c>
      <c r="X15">
        <v>1.2727473219911784E-9</v>
      </c>
      <c r="Y15">
        <v>7.2756545413437864E-11</v>
      </c>
      <c r="Z15">
        <v>7.5257551662024796E-11</v>
      </c>
      <c r="AA15">
        <v>0</v>
      </c>
      <c r="AB15">
        <v>5.2771231845184155E-10</v>
      </c>
      <c r="AC15">
        <v>8.6125560633157069E-10</v>
      </c>
      <c r="AD15">
        <v>1.3153019225523064E-9</v>
      </c>
      <c r="AE15">
        <v>1.0649739334891969E-9</v>
      </c>
      <c r="AF15">
        <v>1.7086419961937051E-9</v>
      </c>
      <c r="AG15">
        <v>6.8163788484214594E-10</v>
      </c>
      <c r="AH15">
        <v>2.241583691347137E-9</v>
      </c>
      <c r="AI15">
        <v>2.6551591791816481E-9</v>
      </c>
      <c r="AJ15">
        <v>2.2024770481874143E-9</v>
      </c>
      <c r="AK15">
        <v>3.2497165737320855E-9</v>
      </c>
      <c r="AL15">
        <v>2.6142336223865893E-9</v>
      </c>
      <c r="AM15">
        <v>3.2651773396324409E-9</v>
      </c>
      <c r="AN15">
        <v>1.7156902865306316E-9</v>
      </c>
      <c r="AO15">
        <v>3.1139801436951405E-9</v>
      </c>
      <c r="AP15">
        <v>3.296098871433152E-9</v>
      </c>
      <c r="AQ15">
        <v>2.2470404322531446E-9</v>
      </c>
      <c r="AR15">
        <v>1.7725313376348798E-9</v>
      </c>
      <c r="AW15">
        <v>2.009899567046221E-9</v>
      </c>
      <c r="AX15">
        <v>5.5590547979954862E-10</v>
      </c>
      <c r="AY15">
        <v>9.4069665935486815E-9</v>
      </c>
      <c r="AZ15">
        <v>1.1431417469677591E-8</v>
      </c>
      <c r="BA15">
        <v>1.7010935046070607E-8</v>
      </c>
      <c r="BB15">
        <v>1.7194190594830703E-8</v>
      </c>
      <c r="BC15">
        <v>1.7891061881368788E-8</v>
      </c>
      <c r="BE15">
        <v>2.7540626081030397E-9</v>
      </c>
      <c r="BF15">
        <v>4.1111995442680729E-9</v>
      </c>
      <c r="BG15">
        <v>4.6052619604662002E-9</v>
      </c>
      <c r="BH15">
        <v>3.5323302798224092E-9</v>
      </c>
      <c r="BI15">
        <v>5.0256583744332205E-9</v>
      </c>
      <c r="BJ15">
        <v>7.0050911380875642E-9</v>
      </c>
      <c r="BK15">
        <v>8.8865299296381852E-9</v>
      </c>
      <c r="BL15">
        <v>1.0431242334447237E-8</v>
      </c>
      <c r="BM15">
        <v>9.1038901090608303E-9</v>
      </c>
      <c r="BN15">
        <v>5.1839038607074484E-10</v>
      </c>
      <c r="BO15">
        <v>4.0175254920482726E-10</v>
      </c>
      <c r="BP15">
        <v>8.0646083306707518E-10</v>
      </c>
      <c r="BQ15">
        <v>1.395334122507088E-9</v>
      </c>
      <c r="BR15">
        <v>1.3018874344917037E-9</v>
      </c>
      <c r="BS15">
        <v>1.3716882452477205E-9</v>
      </c>
      <c r="BT15">
        <v>1.3075715396021287E-9</v>
      </c>
      <c r="BU15">
        <v>5.8091554228541802E-10</v>
      </c>
      <c r="BV15">
        <v>1.4585413713350123E-9</v>
      </c>
      <c r="BW15">
        <v>5.6954733206456832E-10</v>
      </c>
      <c r="BX15">
        <v>1.2152616726088294E-9</v>
      </c>
      <c r="BY15">
        <v>8.5011476031513801E-10</v>
      </c>
      <c r="BZ15">
        <v>3.164909725484547E-9</v>
      </c>
      <c r="CA15">
        <v>3.4145556219344059E-9</v>
      </c>
      <c r="CB15">
        <v>3.6191834059097002E-9</v>
      </c>
      <c r="CC15">
        <v>1.6861329399564224E-9</v>
      </c>
      <c r="CD15">
        <v>1.7009116132435274E-9</v>
      </c>
      <c r="CE15">
        <v>1.5433482195825505E-9</v>
      </c>
      <c r="CF15">
        <v>5.7366262416451593E-9</v>
      </c>
      <c r="CG15">
        <v>6.4412279111334212E-9</v>
      </c>
      <c r="CH15">
        <v>5.2646181532754807E-9</v>
      </c>
      <c r="CI15">
        <v>8.6625761882874468E-11</v>
      </c>
      <c r="CJ15">
        <v>0</v>
      </c>
      <c r="CK15">
        <v>1.0913481812015678E-10</v>
      </c>
      <c r="CL15">
        <v>9.5822643951541834E-9</v>
      </c>
      <c r="CM15">
        <v>1.0146809714721577E-8</v>
      </c>
      <c r="CN15">
        <v>8.9201798318918998E-9</v>
      </c>
      <c r="CO15">
        <v>7.0548838988548863E-9</v>
      </c>
      <c r="CP15">
        <v>6.6413084110203755E-9</v>
      </c>
      <c r="CQ15">
        <v>6.1993123976337408E-9</v>
      </c>
      <c r="CR15">
        <v>9.0836546948677161E-9</v>
      </c>
      <c r="CU15">
        <v>9.1559565118723215E-10</v>
      </c>
      <c r="CV15">
        <v>6.9755337915133554E-10</v>
      </c>
      <c r="CW15">
        <v>7.5282561724510659E-9</v>
      </c>
      <c r="CX15">
        <v>3.4759439571269939E-9</v>
      </c>
      <c r="CY15">
        <v>3.2817749265548818E-9</v>
      </c>
      <c r="CZ15">
        <v>4.9583585699257914E-9</v>
      </c>
      <c r="DA15">
        <v>4.6764269564487187E-9</v>
      </c>
      <c r="DB15">
        <v>4.959040662539042E-9</v>
      </c>
      <c r="DC15">
        <v>3.6328252581747194E-9</v>
      </c>
      <c r="DD15">
        <v>4.1157468283564129E-9</v>
      </c>
      <c r="DE15">
        <v>3.6723866297432763E-9</v>
      </c>
      <c r="DF15">
        <v>1.937143021632783E-9</v>
      </c>
      <c r="DG15">
        <v>2.0110363880683058E-9</v>
      </c>
      <c r="DH15">
        <v>2.2916038163188758E-9</v>
      </c>
      <c r="DY15">
        <v>7.0321723730814634E-10</v>
      </c>
      <c r="EB15">
        <v>9.5395513577331753E-10</v>
      </c>
      <c r="EC15">
        <v>2.5830873671782761E-9</v>
      </c>
      <c r="ED15">
        <v>1.7452774498229044E-9</v>
      </c>
      <c r="EE15">
        <v>4.2089728453364817E-9</v>
      </c>
      <c r="EF15">
        <v>2.9994096812278631E-9</v>
      </c>
      <c r="EG15">
        <v>2.4703364817001176E-9</v>
      </c>
      <c r="ES15">
        <v>5.2325855962219599E-9</v>
      </c>
      <c r="ET15">
        <v>2.7412927981109799E-9</v>
      </c>
      <c r="EU15">
        <v>3.0909090909090908E-9</v>
      </c>
      <c r="EV15">
        <v>6.8528630460448653E-9</v>
      </c>
      <c r="EW15">
        <v>1.1122048406139314E-8</v>
      </c>
      <c r="EX15">
        <v>1.3479191263282173E-8</v>
      </c>
      <c r="EY15">
        <v>1.093417945690673E-9</v>
      </c>
      <c r="EZ15">
        <v>1.3134592680047225E-9</v>
      </c>
      <c r="FA15">
        <v>3.2197461629279812E-9</v>
      </c>
      <c r="FC15">
        <v>6.338547815820543E-10</v>
      </c>
      <c r="FE15">
        <v>3.091794569067296E-10</v>
      </c>
      <c r="FF15">
        <v>3.7603305785123967E-10</v>
      </c>
      <c r="FG15">
        <v>4.884887839433294E-10</v>
      </c>
      <c r="FH15">
        <v>1.7340613931523023E-9</v>
      </c>
      <c r="FI15">
        <v>1.8872491145218416E-9</v>
      </c>
      <c r="FJ15">
        <v>1.1953955135773317E-9</v>
      </c>
      <c r="FL15">
        <v>3.0144628099173554E-9</v>
      </c>
      <c r="FM15">
        <v>4.3915289256198342E-9</v>
      </c>
      <c r="FN15">
        <v>9.9335891381345924E-10</v>
      </c>
      <c r="FO15">
        <v>1.133854781582054E-9</v>
      </c>
      <c r="FP15">
        <v>6.7178276269185367E-10</v>
      </c>
      <c r="FR15">
        <v>1.5615407319952774E-9</v>
      </c>
      <c r="FS15">
        <v>4.1174734356552537E-10</v>
      </c>
      <c r="FT15">
        <v>4.2674144037780399E-9</v>
      </c>
      <c r="FU15">
        <v>7.8605371900826452E-9</v>
      </c>
      <c r="FV15">
        <v>8.7101534828807569E-9</v>
      </c>
      <c r="FX15">
        <v>7.3081463990554897E-10</v>
      </c>
      <c r="FY15">
        <v>6.7606257378984659E-10</v>
      </c>
      <c r="FZ15">
        <v>2.9324085005903188E-9</v>
      </c>
      <c r="GA15">
        <v>2.0061983471074378E-9</v>
      </c>
      <c r="GB15">
        <v>3.2390791027154661E-9</v>
      </c>
      <c r="GC15">
        <v>3.1610094451003539E-9</v>
      </c>
      <c r="GD15">
        <v>3.2541322314049584E-9</v>
      </c>
      <c r="GE15">
        <v>2.7023317591499413E-9</v>
      </c>
      <c r="GF15">
        <v>4.3302833530106263E-9</v>
      </c>
      <c r="GG15">
        <v>6.7528040141676498E-9</v>
      </c>
      <c r="GH15">
        <v>5.2827626918535999E-9</v>
      </c>
      <c r="GI15">
        <v>1.2737603305785125E-9</v>
      </c>
      <c r="GJ15">
        <v>1.2692296340023611E-8</v>
      </c>
      <c r="GK15">
        <v>1.6168831168831166E-8</v>
      </c>
      <c r="GL15">
        <v>2.1633264462809916E-8</v>
      </c>
      <c r="GM15">
        <v>1.5692148760330579E-8</v>
      </c>
      <c r="GN15">
        <v>1.6951298701298702E-8</v>
      </c>
      <c r="GO15">
        <v>2.1411304604486419E-8</v>
      </c>
      <c r="GP15">
        <v>7.3031286894923261E-9</v>
      </c>
      <c r="GQ15">
        <v>8.3164108618654072E-9</v>
      </c>
      <c r="GR15">
        <v>1.3928423848878394E-8</v>
      </c>
      <c r="GS15">
        <v>1.9855814639905548E-8</v>
      </c>
      <c r="GT15">
        <v>1.2211776859504131E-8</v>
      </c>
      <c r="GU15">
        <v>9.1444805194805187E-9</v>
      </c>
      <c r="GV15">
        <v>6.2892561983471077E-9</v>
      </c>
      <c r="GW15">
        <v>6.3595041322314047E-9</v>
      </c>
      <c r="GX15">
        <v>6.7930932703659983E-10</v>
      </c>
      <c r="GY15">
        <v>8.6127508854781577E-10</v>
      </c>
      <c r="GZ15">
        <v>7.4380165289256195E-10</v>
      </c>
      <c r="HA15">
        <v>4.2666765053128691E-9</v>
      </c>
      <c r="HB15">
        <v>2.7396694214876031E-9</v>
      </c>
      <c r="HC15">
        <v>3.1030106257378983E-9</v>
      </c>
      <c r="HD15">
        <v>5.1406434474616292E-9</v>
      </c>
      <c r="HE15">
        <v>5.7340613931523027E-9</v>
      </c>
      <c r="HF15">
        <v>7.1446280991735533E-9</v>
      </c>
      <c r="HG15">
        <v>9.2030696576151137E-9</v>
      </c>
      <c r="HH15">
        <v>1.1121605667060212E-8</v>
      </c>
      <c r="HI15">
        <v>1.3446576151121605E-8</v>
      </c>
      <c r="HJ15">
        <v>5.5405844155844157E-9</v>
      </c>
      <c r="HK15">
        <v>9.6016824085005913E-9</v>
      </c>
      <c r="HL15">
        <v>1.8481847697756788E-8</v>
      </c>
      <c r="HM15">
        <v>2.3574232585596222E-8</v>
      </c>
      <c r="HN15">
        <v>2.1173553719008263E-8</v>
      </c>
      <c r="HO15">
        <v>7.8580283353010633E-9</v>
      </c>
      <c r="HP15">
        <v>1.0117473435655251E-8</v>
      </c>
      <c r="HQ15">
        <v>2.2851387249114522E-8</v>
      </c>
      <c r="HR15">
        <v>1.2491587957497048E-8</v>
      </c>
      <c r="HS15">
        <v>1.5592680047225501E-8</v>
      </c>
      <c r="HT15">
        <v>1.063474025974026E-8</v>
      </c>
      <c r="HU15">
        <v>2.0749262101534829E-8</v>
      </c>
      <c r="HV15">
        <v>2.1418536009445098E-8</v>
      </c>
      <c r="HW15">
        <v>2.1621162927981108E-8</v>
      </c>
      <c r="HX15">
        <v>1.199512987012987E-8</v>
      </c>
      <c r="HY15">
        <v>5.1534828807556083E-9</v>
      </c>
      <c r="HZ15">
        <v>9.6036009445100342E-9</v>
      </c>
      <c r="IA15">
        <v>6.7408500590318767E-9</v>
      </c>
      <c r="IB15">
        <v>7.1155548996458081E-9</v>
      </c>
      <c r="IC15">
        <v>5.9428866587957491E-9</v>
      </c>
      <c r="ID15">
        <v>8.7097107438016523E-9</v>
      </c>
      <c r="IE15">
        <v>1.4167355371900828E-8</v>
      </c>
      <c r="IF15">
        <v>8.648760330578513E-9</v>
      </c>
      <c r="IG15">
        <v>6.0132821723730812E-9</v>
      </c>
      <c r="IH15">
        <v>6.0594746162927976E-9</v>
      </c>
      <c r="II15">
        <v>7.1822609208972845E-9</v>
      </c>
      <c r="IJ15">
        <v>1.0606552538370719E-9</v>
      </c>
      <c r="IK15">
        <v>1.5401416765053129E-9</v>
      </c>
      <c r="IL15">
        <v>1.6438902007083824E-9</v>
      </c>
      <c r="IM15">
        <v>3.451889020070838E-9</v>
      </c>
      <c r="IN15">
        <v>3.4594155844155846E-9</v>
      </c>
      <c r="IO15">
        <v>4.0057556080283357E-9</v>
      </c>
      <c r="IP15">
        <v>3.208382526564345E-9</v>
      </c>
      <c r="IQ15">
        <v>3.2440968122786304E-9</v>
      </c>
      <c r="IR15">
        <v>2.9951298701298696E-9</v>
      </c>
      <c r="IS15">
        <v>3.3792798110979926E-9</v>
      </c>
      <c r="IT15">
        <v>1.516824085005903E-9</v>
      </c>
      <c r="IU15">
        <v>3.7204840613931525E-10</v>
      </c>
      <c r="IV15">
        <v>6.3016528925619838E-10</v>
      </c>
      <c r="IW15">
        <v>1.9023022432113341E-10</v>
      </c>
      <c r="IX15">
        <v>3.2113341204250301E-10</v>
      </c>
      <c r="IY15">
        <v>5.4840613931523026E-10</v>
      </c>
      <c r="IZ15">
        <v>2.8947018890200708E-8</v>
      </c>
      <c r="JA15">
        <v>3.2596541715859896E-8</v>
      </c>
      <c r="JB15">
        <v>4.6690525383707204E-9</v>
      </c>
      <c r="JC15">
        <v>3.0830627705627707E-9</v>
      </c>
      <c r="JD15">
        <v>1.3903099173553718E-8</v>
      </c>
      <c r="JE15">
        <v>1.0996039944903581E-8</v>
      </c>
      <c r="JF15">
        <v>1.166900826446281E-8</v>
      </c>
      <c r="JG15">
        <v>1.0170700511609603E-10</v>
      </c>
      <c r="JH15">
        <v>4.9144037780401418E-11</v>
      </c>
      <c r="JI15">
        <v>9.9173553719008247E-11</v>
      </c>
      <c r="JJ15">
        <v>1.1983471074380164E-10</v>
      </c>
      <c r="JK15">
        <v>1.7370129870129868E-10</v>
      </c>
      <c r="JL15">
        <v>1.1909681227863047E-10</v>
      </c>
      <c r="JM15">
        <v>7.0838252656434469E-12</v>
      </c>
      <c r="JN15">
        <v>6.8668831168831167E-10</v>
      </c>
      <c r="JO15">
        <v>5.8028335301062571E-10</v>
      </c>
      <c r="JP15">
        <v>2.7402597402597404E-9</v>
      </c>
      <c r="JQ15">
        <v>7.3125737898465154E-10</v>
      </c>
      <c r="JR15">
        <v>8.3562573789846525E-9</v>
      </c>
      <c r="JS15">
        <v>2.7095631641086184E-9</v>
      </c>
      <c r="JT15">
        <v>1.0242030696576152E-10</v>
      </c>
      <c r="JU15">
        <v>6.9657615112160568E-11</v>
      </c>
      <c r="JV15">
        <v>1.0094451003541913E-10</v>
      </c>
      <c r="JW15">
        <v>4.8140495867768591E-10</v>
      </c>
      <c r="JY15">
        <v>3.3748524203069657E-9</v>
      </c>
      <c r="JZ15">
        <v>9.0525383707201896E-10</v>
      </c>
      <c r="KA15">
        <v>3.5861865407319955E-10</v>
      </c>
      <c r="KB15" s="42">
        <v>3.8178866587957494E-10</v>
      </c>
      <c r="KD15">
        <v>7.0813164108618656E-9</v>
      </c>
      <c r="KE15">
        <v>6.481700118063755E-10</v>
      </c>
      <c r="KF15">
        <v>7.5265643447461624E-10</v>
      </c>
      <c r="KJ15" s="42">
        <v>1.3370720188902007E-10</v>
      </c>
      <c r="KL15">
        <v>9.6369539551357726E-11</v>
      </c>
      <c r="KM15">
        <v>2.2122195985832348E-10</v>
      </c>
      <c r="KN15">
        <v>2.0491440377804011E-9</v>
      </c>
      <c r="KO15">
        <v>2.0036894923258562E-9</v>
      </c>
      <c r="KP15" s="42">
        <v>2.1708972845336482E-10</v>
      </c>
      <c r="KQ15">
        <v>2.5295159386068476E-10</v>
      </c>
      <c r="KR15" s="42">
        <v>2.9557260920897286E-9</v>
      </c>
      <c r="KS15">
        <v>1.1221959858323496E-9</v>
      </c>
      <c r="KT15">
        <v>1.6517119244391971E-9</v>
      </c>
      <c r="KU15">
        <v>1.1915584415584412E-9</v>
      </c>
      <c r="KV15">
        <v>1.7606257378984649E-9</v>
      </c>
      <c r="KW15">
        <v>1.4098288075560804E-9</v>
      </c>
      <c r="KX15">
        <v>3.220188902007084E-10</v>
      </c>
    </row>
    <row r="16" spans="1:310" x14ac:dyDescent="0.35">
      <c r="A16">
        <v>4.6073082383059526E-9</v>
      </c>
      <c r="B16">
        <v>6.2468315163568916E-9</v>
      </c>
      <c r="C16">
        <v>5.9774049341227541E-9</v>
      </c>
      <c r="D16">
        <v>1.5383462070853766E-9</v>
      </c>
      <c r="E16">
        <v>1.7254669473205623E-9</v>
      </c>
      <c r="F16">
        <v>1.298931699834283E-9</v>
      </c>
      <c r="G16">
        <v>2.5708070593429434E-9</v>
      </c>
      <c r="H16">
        <v>1.051354817644619E-8</v>
      </c>
      <c r="I16">
        <v>3.635098900218889E-9</v>
      </c>
      <c r="K16">
        <v>3.3473922359496262E-8</v>
      </c>
      <c r="M16">
        <v>2.2986521066558025E-9</v>
      </c>
      <c r="N16">
        <v>4.5836623610465858E-9</v>
      </c>
      <c r="S16">
        <v>8.6512079780665973E-9</v>
      </c>
      <c r="T16">
        <v>8.295382998154003E-9</v>
      </c>
      <c r="U16">
        <v>7.9597934324345179E-9</v>
      </c>
      <c r="W16">
        <v>2.8372779069196596E-9</v>
      </c>
      <c r="X16">
        <v>1.4573093887838689E-9</v>
      </c>
      <c r="Y16">
        <v>1.1777465788800255E-10</v>
      </c>
      <c r="Z16">
        <v>1.0504226244065093E-10</v>
      </c>
      <c r="AA16">
        <v>0</v>
      </c>
      <c r="AB16">
        <v>6.5890146440044665E-10</v>
      </c>
      <c r="AC16">
        <v>1.1770644862667745E-9</v>
      </c>
      <c r="AD16">
        <v>1.5237948980026892E-9</v>
      </c>
      <c r="AE16">
        <v>1.1875232396699562E-9</v>
      </c>
      <c r="AG16">
        <v>9.7584716535773533E-10</v>
      </c>
      <c r="AH16">
        <v>2.9589177562827511E-9</v>
      </c>
      <c r="AI16">
        <v>3.4077346958018955E-9</v>
      </c>
      <c r="AJ16">
        <v>2.9084429029021785E-9</v>
      </c>
      <c r="AK16">
        <v>4.1248413965330929E-9</v>
      </c>
      <c r="AL16">
        <v>3.36430813275825E-9</v>
      </c>
      <c r="AM16">
        <v>4.2760385924703929E-9</v>
      </c>
      <c r="AN16">
        <v>2.1265374039121387E-9</v>
      </c>
      <c r="AO16">
        <v>3.9427226687950815E-9</v>
      </c>
      <c r="AP16">
        <v>3.9293081807344786E-9</v>
      </c>
      <c r="AQ16">
        <v>2.5996823133039017E-9</v>
      </c>
      <c r="AR16">
        <v>2.1545032010554288E-9</v>
      </c>
      <c r="AW16">
        <v>2.2993341992690534E-9</v>
      </c>
      <c r="AX16">
        <v>7.0755740414568322E-10</v>
      </c>
      <c r="AY16">
        <v>1.2088500020442699E-8</v>
      </c>
      <c r="AZ16">
        <v>1.222332699366198E-8</v>
      </c>
      <c r="BA16">
        <v>1.6694216709317735E-8</v>
      </c>
      <c r="BB16">
        <v>1.9166120339739287E-8</v>
      </c>
      <c r="BC16">
        <v>1.9481019762856822E-8</v>
      </c>
      <c r="BE16">
        <v>3.4241049185199197E-9</v>
      </c>
      <c r="BF16">
        <v>4.9897348301353364E-9</v>
      </c>
      <c r="BG16">
        <v>5.4753847707700333E-9</v>
      </c>
      <c r="BH16">
        <v>4.198507398764199E-9</v>
      </c>
      <c r="BI16">
        <v>5.8398495904504742E-9</v>
      </c>
      <c r="BJ16">
        <v>7.7874513654864387E-9</v>
      </c>
      <c r="BK16">
        <v>1.0467847971358373E-8</v>
      </c>
      <c r="BL16">
        <v>1.1945260571659996E-8</v>
      </c>
      <c r="BM16">
        <v>1.0445566279325508E-8</v>
      </c>
      <c r="BN16">
        <v>5.9683103659460751E-10</v>
      </c>
      <c r="BO16">
        <v>4.6177669917091337E-10</v>
      </c>
      <c r="BP16">
        <v>9.4219726310402038E-10</v>
      </c>
      <c r="BQ16">
        <v>1.6265635183991706E-9</v>
      </c>
      <c r="BR16">
        <v>1.460587649174765E-9</v>
      </c>
      <c r="BS16">
        <v>1.5078794036934996E-9</v>
      </c>
      <c r="BT16">
        <v>1.6715816308737351E-9</v>
      </c>
      <c r="BU16">
        <v>7.2483708368137473E-10</v>
      </c>
      <c r="BV16">
        <v>1.634521265553765E-9</v>
      </c>
      <c r="BW16">
        <v>6.6458556951087145E-10</v>
      </c>
      <c r="BX16">
        <v>1.3328089662924148E-9</v>
      </c>
      <c r="BY16">
        <v>9.2196184891090791E-10</v>
      </c>
      <c r="BZ16">
        <v>3.3909097446750382E-9</v>
      </c>
      <c r="CA16">
        <v>3.6914852229143035E-9</v>
      </c>
      <c r="CB16">
        <v>3.8610989194093802E-9</v>
      </c>
      <c r="CC16">
        <v>2.0067164681843833E-9</v>
      </c>
      <c r="CD16">
        <v>1.9250927187986824E-9</v>
      </c>
      <c r="CE16">
        <v>1.8341470370318851E-9</v>
      </c>
      <c r="CF16">
        <v>6.2534250782849849E-9</v>
      </c>
      <c r="CG16">
        <v>7.0266907375071794E-9</v>
      </c>
      <c r="CH16">
        <v>5.9066946665490698E-9</v>
      </c>
      <c r="CI16">
        <v>-5.6841051104248334E-12</v>
      </c>
      <c r="CJ16">
        <v>0</v>
      </c>
      <c r="CK16">
        <v>1.4301208457828881E-10</v>
      </c>
      <c r="CL16">
        <v>1.0300962645316301E-8</v>
      </c>
      <c r="CM16">
        <v>1.0824582408088635E-8</v>
      </c>
      <c r="CN16">
        <v>9.6677533360149724E-9</v>
      </c>
      <c r="CO16">
        <v>7.8533869847673666E-9</v>
      </c>
      <c r="CP16">
        <v>7.3681917725415031E-9</v>
      </c>
      <c r="CQ16">
        <v>6.8573044052165186E-9</v>
      </c>
      <c r="CR16">
        <v>1.0564932486644428E-8</v>
      </c>
      <c r="CU16">
        <v>1.0501952602020921E-9</v>
      </c>
      <c r="CV16">
        <v>8.4511274781796417E-10</v>
      </c>
      <c r="CW16">
        <v>9.3005601458815286E-9</v>
      </c>
      <c r="CX16">
        <v>4.2510285299845241E-9</v>
      </c>
      <c r="CY16">
        <v>3.9961532568330751E-9</v>
      </c>
      <c r="CZ16">
        <v>5.3278254021034049E-9</v>
      </c>
      <c r="DA16">
        <v>5.1784471198014395E-9</v>
      </c>
      <c r="DB16">
        <v>5.3592016623129498E-9</v>
      </c>
      <c r="DC16">
        <v>4.1048333465443968E-9</v>
      </c>
      <c r="DD16">
        <v>4.6279983809078993E-9</v>
      </c>
      <c r="DE16">
        <v>4.1382558845936958E-9</v>
      </c>
      <c r="DF16">
        <v>2.348899595831958E-9</v>
      </c>
      <c r="DG16">
        <v>2.2970605572248834E-9</v>
      </c>
      <c r="DH16">
        <v>2.5637587690060171E-9</v>
      </c>
      <c r="DY16">
        <v>7.6889020070838257E-10</v>
      </c>
      <c r="EB16">
        <v>1.1096517119244392E-9</v>
      </c>
      <c r="EC16">
        <v>2.9096812278630456E-9</v>
      </c>
      <c r="ED16">
        <v>1.9750590318772136E-9</v>
      </c>
      <c r="EE16">
        <v>4.6720779220779225E-9</v>
      </c>
      <c r="EF16">
        <v>3.3866587957497045E-9</v>
      </c>
      <c r="EG16">
        <v>2.7768595041322313E-9</v>
      </c>
      <c r="ES16">
        <v>5.4393447461629273E-9</v>
      </c>
      <c r="ET16">
        <v>3.085891381345927E-9</v>
      </c>
      <c r="EU16">
        <v>3.5537190082644629E-9</v>
      </c>
      <c r="EV16">
        <v>8.1959858323494686E-9</v>
      </c>
      <c r="EW16">
        <v>1.26301652892562E-8</v>
      </c>
      <c r="EX16">
        <v>1.6828364817001179E-8</v>
      </c>
      <c r="EY16">
        <v>1.2767119244391972E-9</v>
      </c>
      <c r="EZ16">
        <v>1.547077922077922E-9</v>
      </c>
      <c r="FA16">
        <v>3.7988488783943332E-9</v>
      </c>
      <c r="FE16">
        <v>3.1168831168831172E-10</v>
      </c>
      <c r="FF16">
        <v>4.6074380165289249E-10</v>
      </c>
      <c r="FG16">
        <v>6.2234356552538367E-10</v>
      </c>
      <c r="FH16">
        <v>2.2362750885478161E-9</v>
      </c>
      <c r="FI16">
        <v>2.2922077922077924E-9</v>
      </c>
      <c r="FJ16">
        <v>1.4273907910271546E-9</v>
      </c>
      <c r="FL16">
        <v>3.7296340023612748E-9</v>
      </c>
      <c r="FM16">
        <v>3.2479338842975208E-9</v>
      </c>
      <c r="FN16">
        <v>1.3370720188902006E-9</v>
      </c>
      <c r="FO16">
        <v>1.3286599763872489E-9</v>
      </c>
      <c r="FP16">
        <v>7.8143447461629277E-10</v>
      </c>
      <c r="FR16">
        <v>1.8434179456906729E-9</v>
      </c>
      <c r="FS16">
        <v>5.2789256198347111E-10</v>
      </c>
      <c r="FT16">
        <v>5.625885478158205E-9</v>
      </c>
      <c r="FU16">
        <v>8.0333530106257387E-9</v>
      </c>
      <c r="FV16">
        <v>1.4319214876033055E-8</v>
      </c>
      <c r="FX16">
        <v>8.3603896103896104E-10</v>
      </c>
      <c r="FY16">
        <v>7.4247343565525393E-10</v>
      </c>
      <c r="FZ16">
        <v>3.2979634002361273E-9</v>
      </c>
      <c r="GA16">
        <v>2.2820247933884296E-9</v>
      </c>
      <c r="GB16">
        <v>3.6688311688311686E-9</v>
      </c>
      <c r="GC16">
        <v>3.4642857142857145E-9</v>
      </c>
      <c r="GD16">
        <v>3.5906139315230229E-9</v>
      </c>
      <c r="GE16">
        <v>3.0056080283353007E-9</v>
      </c>
      <c r="GF16">
        <v>4.9403778040141673E-9</v>
      </c>
      <c r="GG16">
        <v>7.1582054309327032E-9</v>
      </c>
      <c r="GH16">
        <v>6.0094451003541911E-9</v>
      </c>
      <c r="GI16">
        <v>1.4762396694214875E-9</v>
      </c>
      <c r="GJ16">
        <v>1.4371458087367177E-8</v>
      </c>
      <c r="GK16">
        <v>1.8018595041322314E-8</v>
      </c>
      <c r="GL16">
        <v>2.4300029515938603E-8</v>
      </c>
      <c r="GM16">
        <v>1.6803128689492323E-8</v>
      </c>
      <c r="GN16">
        <v>1.7987750885478156E-8</v>
      </c>
      <c r="GO16">
        <v>2.3378689492325854E-8</v>
      </c>
      <c r="GP16">
        <v>8.2175324675324672E-9</v>
      </c>
      <c r="GQ16">
        <v>9.3063754427390786E-9</v>
      </c>
      <c r="GR16">
        <v>1.5800177095631637E-8</v>
      </c>
      <c r="GS16">
        <v>2.2208677685950409E-8</v>
      </c>
      <c r="GT16">
        <v>1.4026564344746164E-8</v>
      </c>
      <c r="GU16">
        <v>1.0200855962219599E-8</v>
      </c>
      <c r="GV16">
        <v>7.11806375442739E-9</v>
      </c>
      <c r="GW16">
        <v>7.1366587957497037E-9</v>
      </c>
      <c r="GX16">
        <v>7.0853010625737893E-10</v>
      </c>
      <c r="GY16">
        <v>9.2311097992916165E-10</v>
      </c>
      <c r="GZ16">
        <v>8.5197756788665871E-10</v>
      </c>
      <c r="HA16">
        <v>3.7392266824085004E-9</v>
      </c>
      <c r="HB16">
        <v>3.0585891381345925E-9</v>
      </c>
      <c r="HC16">
        <v>3.3786894923258557E-9</v>
      </c>
      <c r="HD16">
        <v>5.9787485242030692E-9</v>
      </c>
      <c r="HE16">
        <v>6.5672963400236124E-9</v>
      </c>
      <c r="HF16">
        <v>7.8775088547815813E-9</v>
      </c>
      <c r="HG16">
        <v>1.0305489964580872E-8</v>
      </c>
      <c r="HH16">
        <v>1.2690377804014168E-8</v>
      </c>
      <c r="HI16">
        <v>1.5211776859504133E-8</v>
      </c>
      <c r="HJ16">
        <v>6.3786894923258557E-9</v>
      </c>
      <c r="HK16">
        <v>1.0852567886658795E-8</v>
      </c>
      <c r="HL16">
        <v>2.0355814639905546E-8</v>
      </c>
      <c r="HN16">
        <v>2.680165289256198E-8</v>
      </c>
      <c r="HO16">
        <v>9.0029515938606844E-9</v>
      </c>
      <c r="HP16">
        <v>1.1236127508854783E-8</v>
      </c>
      <c r="HQ16">
        <v>2.4123966942148759E-8</v>
      </c>
      <c r="HR16">
        <v>1.3788518299881934E-8</v>
      </c>
      <c r="HS16">
        <v>1.6972697756788666E-8</v>
      </c>
      <c r="HT16">
        <v>1.1819067296340023E-8</v>
      </c>
      <c r="HU16">
        <v>2.312145808736718E-8</v>
      </c>
      <c r="HV16">
        <v>2.3852125147579693E-8</v>
      </c>
      <c r="HW16">
        <v>2.4144037780401414E-8</v>
      </c>
      <c r="HX16">
        <v>1.3114374262101533E-8</v>
      </c>
      <c r="HY16">
        <v>6.0457497048406143E-9</v>
      </c>
      <c r="HZ16">
        <v>1.0787337662337662E-8</v>
      </c>
      <c r="IA16">
        <v>7.6276564344746167E-9</v>
      </c>
      <c r="IB16">
        <v>8.0737898465171197E-9</v>
      </c>
      <c r="IC16">
        <v>6.7542798110979923E-9</v>
      </c>
      <c r="ID16">
        <v>9.8127213695395508E-9</v>
      </c>
      <c r="IE16">
        <v>1.5305489964580872E-8</v>
      </c>
      <c r="IF16">
        <v>9.6571723730814637E-9</v>
      </c>
      <c r="IG16">
        <v>6.6133412042502945E-9</v>
      </c>
      <c r="IH16">
        <v>6.7436540731995264E-9</v>
      </c>
      <c r="II16">
        <v>7.9191263282172385E-9</v>
      </c>
      <c r="IJ16">
        <v>1.2590023612750884E-9</v>
      </c>
      <c r="IK16">
        <v>1.8172963400236126E-9</v>
      </c>
      <c r="IL16">
        <v>1.8168536009445101E-9</v>
      </c>
      <c r="IM16">
        <v>3.872933884297521E-9</v>
      </c>
      <c r="IN16">
        <v>3.7905844155844158E-9</v>
      </c>
      <c r="IO16">
        <v>4.3943329397874848E-9</v>
      </c>
      <c r="IP16">
        <v>3.5699527744982286E-9</v>
      </c>
      <c r="IQ16">
        <v>3.6363636363636364E-9</v>
      </c>
      <c r="IR16">
        <v>3.3133116883116879E-9</v>
      </c>
      <c r="IS16">
        <v>3.8329397874852422E-9</v>
      </c>
      <c r="IT16">
        <v>1.8261511216056669E-9</v>
      </c>
      <c r="IU16">
        <v>4.366883116883117E-10</v>
      </c>
      <c r="IV16">
        <v>7.4837662337662342E-10</v>
      </c>
      <c r="IW16">
        <v>3.3043093270365997E-10</v>
      </c>
      <c r="IX16">
        <v>4.2621015348288069E-10</v>
      </c>
      <c r="IY16">
        <v>6.4079102715466356E-10</v>
      </c>
      <c r="IZ16">
        <v>2.8423233963006694E-8</v>
      </c>
      <c r="JA16">
        <v>3.2526564344746166E-8</v>
      </c>
      <c r="JB16">
        <v>5.3700560802833535E-9</v>
      </c>
      <c r="JC16">
        <v>3.6334120425029519E-9</v>
      </c>
      <c r="JD16">
        <v>1.3055991735537188E-8</v>
      </c>
      <c r="JE16">
        <v>1.0468442542306181E-8</v>
      </c>
      <c r="JF16">
        <v>1.1493388429752067E-8</v>
      </c>
      <c r="JG16">
        <v>1.1498917748917749E-10</v>
      </c>
      <c r="JH16">
        <v>3.837072018890201E-11</v>
      </c>
      <c r="JI16">
        <v>9.7992916174734349E-11</v>
      </c>
      <c r="JJ16">
        <v>1.269185360094451E-10</v>
      </c>
      <c r="JK16">
        <v>1.3444510035419127E-10</v>
      </c>
      <c r="JL16">
        <v>1.9569067296340022E-10</v>
      </c>
      <c r="JM16">
        <v>3.5714285714285714E-11</v>
      </c>
      <c r="JN16">
        <v>8.8547815820543094E-10</v>
      </c>
      <c r="JO16">
        <v>7.4365407319952773E-10</v>
      </c>
      <c r="JP16">
        <v>3.0436835891381345E-9</v>
      </c>
      <c r="JQ16">
        <v>8.6998229043683594E-10</v>
      </c>
      <c r="JR16">
        <v>5.6097992916174733E-9</v>
      </c>
      <c r="JS16">
        <v>3.6139315230224318E-9</v>
      </c>
      <c r="JT16">
        <v>6.5230224321133412E-11</v>
      </c>
      <c r="JU16">
        <v>1.1142266824085005E-10</v>
      </c>
      <c r="JV16">
        <v>1.1939197166469892E-10</v>
      </c>
      <c r="JW16">
        <v>4.5956316410861864E-10</v>
      </c>
      <c r="JY16">
        <v>5.5218417945690669E-9</v>
      </c>
      <c r="JZ16">
        <v>1.0845631641086186E-9</v>
      </c>
      <c r="KA16">
        <v>3.7278630460448648E-10</v>
      </c>
      <c r="KB16" s="42">
        <v>3.869539551357733E-10</v>
      </c>
      <c r="KD16">
        <v>6.9310802833530101E-9</v>
      </c>
      <c r="KE16">
        <v>7.011511216056671E-10</v>
      </c>
      <c r="KF16">
        <v>8.3633412042502959E-10</v>
      </c>
      <c r="KJ16" s="42">
        <v>2.1062278630460449E-8</v>
      </c>
      <c r="KL16">
        <v>1.6587957497048404E-10</v>
      </c>
      <c r="KM16">
        <v>2.7435064935064935E-10</v>
      </c>
      <c r="KN16">
        <v>2.4417060212514758E-9</v>
      </c>
      <c r="KO16">
        <v>2.2656434474616291E-9</v>
      </c>
      <c r="KP16" s="42">
        <v>9.6664698937426214E-11</v>
      </c>
      <c r="KQ16">
        <v>3.3677685950413228E-10</v>
      </c>
      <c r="KR16" s="42">
        <v>3.3077036599763871E-9</v>
      </c>
      <c r="KS16">
        <v>1.5026564344746162E-9</v>
      </c>
      <c r="KT16">
        <v>1.7287485242030698E-9</v>
      </c>
      <c r="KU16">
        <v>1.2272727272727272E-9</v>
      </c>
      <c r="KV16">
        <v>1.315082644628099E-9</v>
      </c>
      <c r="KW16">
        <v>1.6068476977567885E-9</v>
      </c>
      <c r="KX16">
        <v>4.0348288075560803E-10</v>
      </c>
    </row>
    <row r="17" spans="1:310" x14ac:dyDescent="0.35">
      <c r="A17">
        <v>5.0479400664660863E-9</v>
      </c>
      <c r="B17">
        <v>6.9593909329997487E-9</v>
      </c>
      <c r="C17">
        <v>7.2758819055482036E-9</v>
      </c>
      <c r="D17">
        <v>1.731605780839821E-9</v>
      </c>
      <c r="E17">
        <v>1.7968593075074982E-9</v>
      </c>
      <c r="F17">
        <v>1.4292113889652201E-9</v>
      </c>
      <c r="G17">
        <v>2.9711954233212692E-9</v>
      </c>
      <c r="H17">
        <v>1.1949125763135083E-8</v>
      </c>
      <c r="I17">
        <v>4.3003665623430111E-9</v>
      </c>
      <c r="K17">
        <v>3.6346669082304965E-8</v>
      </c>
      <c r="M17">
        <v>3.0716904016735794E-9</v>
      </c>
      <c r="N17">
        <v>5.6584129553257124E-9</v>
      </c>
      <c r="S17">
        <v>9.2512221135230407E-9</v>
      </c>
      <c r="T17">
        <v>9.9214917881443375E-9</v>
      </c>
      <c r="U17">
        <v>8.2578679044251974E-9</v>
      </c>
      <c r="W17">
        <v>3.9638675398058625E-9</v>
      </c>
      <c r="X17">
        <v>1.5998424700693129E-9</v>
      </c>
      <c r="Y17">
        <v>1.3414488060602606E-10</v>
      </c>
      <c r="Z17">
        <v>6.4116705645592107E-11</v>
      </c>
      <c r="AA17">
        <v>3.4104630662549002E-11</v>
      </c>
      <c r="AB17">
        <v>7.9668417227714463E-10</v>
      </c>
      <c r="AC17">
        <v>1.360774763435705E-9</v>
      </c>
      <c r="AD17">
        <v>1.8000424063693363E-9</v>
      </c>
      <c r="AE17">
        <v>1.4494468031583325E-9</v>
      </c>
      <c r="AG17">
        <v>1.2161711294264973E-9</v>
      </c>
      <c r="AH17">
        <v>3.7640144041233252E-9</v>
      </c>
      <c r="AI17">
        <v>4.1616743976486456E-9</v>
      </c>
      <c r="AJ17">
        <v>3.7667427745763282E-9</v>
      </c>
      <c r="AK17">
        <v>5.3501070941362698E-9</v>
      </c>
      <c r="AL17">
        <v>4.3346985572099787E-9</v>
      </c>
      <c r="AM17">
        <v>5.5119904076811688E-9</v>
      </c>
      <c r="AN17">
        <v>2.5326098730008885E-9</v>
      </c>
      <c r="AO17">
        <v>4.8683223449766607E-9</v>
      </c>
      <c r="AP17">
        <v>4.7230366183542027E-9</v>
      </c>
      <c r="AQ17">
        <v>2.8925274085929889E-9</v>
      </c>
      <c r="AR17">
        <v>2.6310585735134466E-9</v>
      </c>
      <c r="AW17">
        <v>2.558302028100009E-9</v>
      </c>
      <c r="AX17">
        <v>8.7580691541425826E-10</v>
      </c>
      <c r="AY17">
        <v>1.6434112059464693E-8</v>
      </c>
      <c r="AZ17">
        <v>1.3409031319696601E-8</v>
      </c>
      <c r="BA17">
        <v>1.6452755924226888E-8</v>
      </c>
      <c r="BB17">
        <v>2.0961842826224701E-8</v>
      </c>
      <c r="BC17">
        <v>2.0846569174585282E-8</v>
      </c>
      <c r="BE17">
        <v>4.0946019573456328E-9</v>
      </c>
      <c r="BF17">
        <v>5.950348593797132E-9</v>
      </c>
      <c r="BG17">
        <v>6.5060267093922635E-9</v>
      </c>
      <c r="BH17">
        <v>4.9367589705061762E-9</v>
      </c>
      <c r="BI17">
        <v>6.7652219024276371E-9</v>
      </c>
      <c r="BJ17">
        <v>8.5998236678683554E-9</v>
      </c>
      <c r="BK17">
        <v>1.1998009067084739E-8</v>
      </c>
      <c r="BL17">
        <v>1.3312174168614961E-8</v>
      </c>
      <c r="BM17">
        <v>1.1697888317254307E-8</v>
      </c>
      <c r="BN17">
        <v>6.7390750189196827E-10</v>
      </c>
      <c r="BO17">
        <v>5.6068012809230554E-10</v>
      </c>
      <c r="BP17">
        <v>1.1109015027814294E-9</v>
      </c>
      <c r="BQ17">
        <v>1.7625273126405325E-9</v>
      </c>
      <c r="BR17">
        <v>1.6799941064371638E-9</v>
      </c>
      <c r="BS17">
        <v>1.6734005445090709E-9</v>
      </c>
      <c r="BT17">
        <v>1.8887144460919632E-9</v>
      </c>
      <c r="BU17">
        <v>8.7557955120984114E-10</v>
      </c>
      <c r="BV17">
        <v>1.7854910972866488E-9</v>
      </c>
      <c r="BW17">
        <v>7.7258356660894332E-10</v>
      </c>
      <c r="BX17">
        <v>1.4724105878044489E-9</v>
      </c>
      <c r="BY17">
        <v>1.0886198107485642E-9</v>
      </c>
      <c r="BZ17">
        <v>3.5066381247232878E-9</v>
      </c>
      <c r="CA17">
        <v>3.955455064242433E-9</v>
      </c>
      <c r="CB17">
        <v>3.967505367076534E-9</v>
      </c>
      <c r="CC17">
        <v>2.2288512958997855E-9</v>
      </c>
      <c r="CD17">
        <v>2.1467728181052512E-9</v>
      </c>
      <c r="CE17">
        <v>2.0124005732948081E-9</v>
      </c>
      <c r="CF17">
        <v>6.7227047962016597E-9</v>
      </c>
      <c r="CG17">
        <v>7.5077933940535363E-9</v>
      </c>
      <c r="CH17">
        <v>6.4028033605869487E-9</v>
      </c>
      <c r="CI17">
        <v>4.638229770106664E-11</v>
      </c>
      <c r="CJ17">
        <v>8.4352119838704518E-11</v>
      </c>
      <c r="CK17">
        <v>1.3710061526344699E-10</v>
      </c>
      <c r="CL17">
        <v>1.1003745401169227E-8</v>
      </c>
      <c r="CM17">
        <v>1.1578522109935386E-8</v>
      </c>
      <c r="CN17">
        <v>1.0215473704455509E-8</v>
      </c>
      <c r="CO17">
        <v>8.5523045491452045E-9</v>
      </c>
      <c r="CP17">
        <v>7.8301958359168315E-9</v>
      </c>
      <c r="CQ17">
        <v>7.4498155219272044E-9</v>
      </c>
      <c r="CR17">
        <v>1.268896888430798E-8</v>
      </c>
      <c r="CU17">
        <v>1.157511164686913E-9</v>
      </c>
      <c r="CV17">
        <v>9.6607050456780457E-10</v>
      </c>
      <c r="CX17">
        <v>5.0965960062113219E-9</v>
      </c>
      <c r="CY17">
        <v>4.8258052387506833E-9</v>
      </c>
      <c r="CZ17">
        <v>5.6881976661043392E-9</v>
      </c>
      <c r="DA17">
        <v>5.6008898116082139E-9</v>
      </c>
      <c r="DB17">
        <v>5.899191647803308E-9</v>
      </c>
      <c r="DC17">
        <v>4.6798374195149739E-9</v>
      </c>
      <c r="DD17">
        <v>5.0199742693227957E-9</v>
      </c>
      <c r="DE17">
        <v>4.5654732246932266E-9</v>
      </c>
      <c r="DF17">
        <v>2.5996823133039017E-9</v>
      </c>
      <c r="DG17">
        <v>2.650384530888891E-9</v>
      </c>
      <c r="DH17">
        <v>2.9816541767244503E-9</v>
      </c>
      <c r="DY17">
        <v>8.2600354191263275E-10</v>
      </c>
      <c r="EB17">
        <v>1.2905844155844155E-9</v>
      </c>
      <c r="EC17">
        <v>3.1350354191263279E-9</v>
      </c>
      <c r="ED17">
        <v>2.2039551357733173E-9</v>
      </c>
      <c r="EE17">
        <v>5.1213105076741439E-9</v>
      </c>
      <c r="EF17">
        <v>3.7528040141676502E-9</v>
      </c>
      <c r="EG17">
        <v>3.1291322314049586E-9</v>
      </c>
      <c r="ES17">
        <v>5.5782172373081462E-9</v>
      </c>
      <c r="ET17">
        <v>3.4769775678866588E-9</v>
      </c>
      <c r="EU17">
        <v>3.9054014167650533E-9</v>
      </c>
      <c r="EV17">
        <v>9.3631936245572616E-9</v>
      </c>
      <c r="EW17">
        <v>1.3984799291617474E-8</v>
      </c>
      <c r="EX17">
        <v>2.240909090909091E-8</v>
      </c>
      <c r="EY17">
        <v>1.5448642266824085E-9</v>
      </c>
      <c r="EZ17">
        <v>1.8701298701298703E-9</v>
      </c>
      <c r="FA17">
        <v>4.6766528925619825E-9</v>
      </c>
      <c r="FE17">
        <v>3.3161157024793386E-10</v>
      </c>
      <c r="FF17">
        <v>4.6192443919716649E-10</v>
      </c>
      <c r="FG17">
        <v>6.4315230224321126E-10</v>
      </c>
      <c r="FH17">
        <v>2.9605962219598589E-9</v>
      </c>
      <c r="FI17">
        <v>2.7026269185360092E-9</v>
      </c>
      <c r="FJ17">
        <v>1.6589433293978746E-9</v>
      </c>
      <c r="FL17">
        <v>4.6558441558441555E-9</v>
      </c>
      <c r="FM17">
        <v>3.2041027154663524E-9</v>
      </c>
      <c r="FN17">
        <v>1.4400826446280991E-9</v>
      </c>
      <c r="FO17">
        <v>1.552538370720189E-9</v>
      </c>
      <c r="FP17">
        <v>8.8872491145218408E-10</v>
      </c>
      <c r="FR17">
        <v>2.0069362455726094E-9</v>
      </c>
      <c r="FS17">
        <v>5.6877213695395507E-10</v>
      </c>
      <c r="FT17">
        <v>9.0081168831168826E-9</v>
      </c>
      <c r="FU17">
        <v>8.9030401416765058E-9</v>
      </c>
      <c r="FV17">
        <v>1.6547520661157026E-8</v>
      </c>
      <c r="FX17">
        <v>8.8783943329397863E-10</v>
      </c>
      <c r="FY17">
        <v>8.2423258559622185E-10</v>
      </c>
      <c r="FZ17">
        <v>3.706463990554899E-9</v>
      </c>
      <c r="GA17">
        <v>2.5537190082644627E-9</v>
      </c>
      <c r="GB17">
        <v>4.0991735537190073E-9</v>
      </c>
      <c r="GC17">
        <v>3.7401121605667063E-9</v>
      </c>
      <c r="GD17">
        <v>3.996900826446281E-9</v>
      </c>
      <c r="GE17">
        <v>3.2711038961038962E-9</v>
      </c>
      <c r="GF17">
        <v>5.5963695395513569E-9</v>
      </c>
      <c r="GG17">
        <v>7.7786304604486429E-9</v>
      </c>
      <c r="GH17">
        <v>6.5197756788665878E-9</v>
      </c>
      <c r="GI17">
        <v>1.7857142857142858E-9</v>
      </c>
      <c r="GJ17">
        <v>1.6023317591499408E-8</v>
      </c>
      <c r="GK17">
        <v>2.0255755608028338E-8</v>
      </c>
      <c r="GL17">
        <v>2.772417355371901E-8</v>
      </c>
      <c r="GM17">
        <v>1.7968417945690673E-8</v>
      </c>
      <c r="GN17">
        <v>1.9308736717827626E-8</v>
      </c>
      <c r="GO17">
        <v>2.5529663518299887E-8</v>
      </c>
      <c r="GP17">
        <v>9.1424144037780414E-9</v>
      </c>
      <c r="GQ17">
        <v>1.0310507674144037E-8</v>
      </c>
      <c r="GR17">
        <v>1.7609651711924441E-8</v>
      </c>
      <c r="GS17">
        <v>2.4959858323494688E-8</v>
      </c>
      <c r="GT17">
        <v>1.5956906729634E-8</v>
      </c>
      <c r="GU17">
        <v>1.1446428571428571E-8</v>
      </c>
      <c r="GV17">
        <v>7.9360979929161747E-9</v>
      </c>
      <c r="GW17">
        <v>7.92724321133412E-9</v>
      </c>
      <c r="GX17">
        <v>7.9589728453364799E-10</v>
      </c>
      <c r="GY17">
        <v>1.0298110979929161E-9</v>
      </c>
      <c r="GZ17">
        <v>9.8155253837072027E-10</v>
      </c>
      <c r="HA17">
        <v>3.6644037780401417E-9</v>
      </c>
      <c r="HB17">
        <v>3.3685064935064933E-9</v>
      </c>
      <c r="HC17">
        <v>3.7299291617473435E-9</v>
      </c>
      <c r="HD17">
        <v>6.9372786304604486E-9</v>
      </c>
      <c r="HE17">
        <v>7.648612750885478E-9</v>
      </c>
      <c r="HF17">
        <v>8.9034828807556088E-9</v>
      </c>
      <c r="HG17">
        <v>1.1429456906729633E-8</v>
      </c>
      <c r="HH17">
        <v>1.4276564344746163E-8</v>
      </c>
      <c r="HI17">
        <v>1.6658648170011802E-8</v>
      </c>
      <c r="HJ17">
        <v>7.1363636363636359E-9</v>
      </c>
      <c r="HK17">
        <v>1.1930637544273906E-8</v>
      </c>
      <c r="HL17">
        <v>2.2391381345926801E-8</v>
      </c>
      <c r="HO17">
        <v>1.014802243211334E-8</v>
      </c>
      <c r="HP17">
        <v>1.2249262101534829E-8</v>
      </c>
      <c r="HQ17">
        <v>2.5475796930342384E-8</v>
      </c>
      <c r="HR17">
        <v>1.516086186540732E-8</v>
      </c>
      <c r="HS17">
        <v>1.8431818181818181E-8</v>
      </c>
      <c r="HT17">
        <v>1.3126475796930342E-8</v>
      </c>
      <c r="HU17">
        <v>2.5562131050767412E-8</v>
      </c>
      <c r="HV17">
        <v>2.618772136953955E-8</v>
      </c>
      <c r="HW17">
        <v>2.6801505312868949E-8</v>
      </c>
      <c r="HX17">
        <v>1.4318329397874853E-8</v>
      </c>
      <c r="HY17">
        <v>7.0109208972845334E-9</v>
      </c>
      <c r="HZ17">
        <v>1.2139462809917357E-8</v>
      </c>
      <c r="IA17">
        <v>8.5215466351829986E-9</v>
      </c>
      <c r="IB17">
        <v>9.0395513577331762E-9</v>
      </c>
      <c r="IC17">
        <v>7.7291912632821713E-9</v>
      </c>
      <c r="ID17">
        <v>1.0913370720188902E-8</v>
      </c>
      <c r="IE17">
        <v>1.6117916174734356E-8</v>
      </c>
      <c r="IF17">
        <v>1.0712514757969304E-8</v>
      </c>
      <c r="IG17">
        <v>7.2864521841794562E-9</v>
      </c>
      <c r="IH17">
        <v>7.2197461629279806E-9</v>
      </c>
      <c r="II17">
        <v>8.728453364817002E-9</v>
      </c>
      <c r="IJ17">
        <v>1.4614817001180636E-9</v>
      </c>
      <c r="IK17">
        <v>1.974763872491145E-9</v>
      </c>
      <c r="IL17">
        <v>2.0878099173553718E-9</v>
      </c>
      <c r="IM17">
        <v>4.2556080283353003E-9</v>
      </c>
      <c r="IN17">
        <v>4.1244096812278641E-9</v>
      </c>
      <c r="IO17">
        <v>4.7885182998819359E-9</v>
      </c>
      <c r="IP17">
        <v>3.9514462809917354E-9</v>
      </c>
      <c r="IQ17">
        <v>4.0125442739079098E-9</v>
      </c>
      <c r="IR17">
        <v>3.7386363636363639E-9</v>
      </c>
      <c r="IS17">
        <v>4.2600354191263285E-9</v>
      </c>
      <c r="IT17">
        <v>2.1914108618654074E-9</v>
      </c>
      <c r="IU17">
        <v>5.2110389610389607E-10</v>
      </c>
      <c r="IV17">
        <v>8.6466942148760345E-10</v>
      </c>
      <c r="IW17">
        <v>3.2246162927981113E-10</v>
      </c>
      <c r="IX17">
        <v>4.6502361275088551E-10</v>
      </c>
      <c r="IY17">
        <v>7.98258559622196E-10</v>
      </c>
      <c r="IZ17">
        <v>2.7665658205430938E-8</v>
      </c>
      <c r="JA17">
        <v>3.2644505116096026E-8</v>
      </c>
      <c r="JB17">
        <v>5.9971467926013388E-9</v>
      </c>
      <c r="JC17">
        <v>4.1975354191263288E-9</v>
      </c>
      <c r="JD17">
        <v>1.2231404958677687E-8</v>
      </c>
      <c r="JE17">
        <v>9.6645021645021654E-9</v>
      </c>
      <c r="JF17">
        <v>1.1350826446280993E-8</v>
      </c>
      <c r="JG17">
        <v>1.4536599763872493E-10</v>
      </c>
      <c r="JH17">
        <v>8.1463990554899637E-11</v>
      </c>
      <c r="JI17">
        <v>9.2237308146399058E-11</v>
      </c>
      <c r="JJ17">
        <v>1.5333530106257379E-10</v>
      </c>
      <c r="JK17">
        <v>1.0758559622195985E-10</v>
      </c>
      <c r="JL17">
        <v>8.6629279811097979E-11</v>
      </c>
      <c r="JM17">
        <v>4.3536009445100352E-11</v>
      </c>
      <c r="JN17">
        <v>8.8237898465171192E-10</v>
      </c>
      <c r="JO17">
        <v>8.2792207792207787E-10</v>
      </c>
      <c r="JP17">
        <v>4.0543093270365998E-9</v>
      </c>
      <c r="JQ17">
        <v>9.222255017709563E-10</v>
      </c>
      <c r="JR17">
        <v>6.9331463990554899E-9</v>
      </c>
      <c r="JS17">
        <v>3.0041322314049587E-9</v>
      </c>
      <c r="JT17">
        <v>8.0726092089728438E-11</v>
      </c>
      <c r="JU17">
        <v>1.0891381345926799E-10</v>
      </c>
      <c r="JV17">
        <v>1.3916765053128689E-10</v>
      </c>
      <c r="JW17">
        <v>5.2774498229043679E-10</v>
      </c>
      <c r="JY17">
        <v>5.6842975206611562E-8</v>
      </c>
      <c r="JZ17">
        <v>1.1027154663518301E-9</v>
      </c>
      <c r="KA17">
        <v>4.2886658795749699E-10</v>
      </c>
      <c r="KB17" s="42">
        <v>4.6723730814639903E-10</v>
      </c>
      <c r="KD17">
        <v>6.8335301062573791E-9</v>
      </c>
      <c r="KE17">
        <v>8.13754427390791E-10</v>
      </c>
      <c r="KF17">
        <v>1.1506788665879577E-9</v>
      </c>
      <c r="KL17">
        <v>2.1059622195985833E-10</v>
      </c>
      <c r="KM17">
        <v>2.8305785123966941E-10</v>
      </c>
      <c r="KN17">
        <v>2.8422373081463992E-9</v>
      </c>
      <c r="KO17">
        <v>2.3510920897284536E-9</v>
      </c>
      <c r="KP17" s="42">
        <v>1.7296340023612751E-10</v>
      </c>
      <c r="KQ17">
        <v>3.2216646989374258E-10</v>
      </c>
      <c r="KR17" s="42">
        <v>3.291027154663518E-9</v>
      </c>
      <c r="KS17">
        <v>1.4083530106257379E-9</v>
      </c>
      <c r="KT17">
        <v>1.8493211334120425E-9</v>
      </c>
      <c r="KU17">
        <v>1.291617473435655E-9</v>
      </c>
      <c r="KV17">
        <v>9.722550177095632E-10</v>
      </c>
      <c r="KW17">
        <v>2.2513282172373084E-9</v>
      </c>
      <c r="KX17">
        <v>4.2561983471074379E-10</v>
      </c>
    </row>
    <row r="18" spans="1:310" x14ac:dyDescent="0.35">
      <c r="A18">
        <v>5.6850145672425003E-9</v>
      </c>
      <c r="D18">
        <v>2.0139921227257267E-9</v>
      </c>
      <c r="E18">
        <v>2.0333180801011711E-9</v>
      </c>
      <c r="F18">
        <v>1.6213341416975794E-9</v>
      </c>
      <c r="G18">
        <v>3.4727608582651562E-9</v>
      </c>
      <c r="H18">
        <v>1.2636220388883237E-8</v>
      </c>
      <c r="I18">
        <v>5.1034169323438323E-9</v>
      </c>
      <c r="M18">
        <v>3.7246803967591847E-9</v>
      </c>
      <c r="N18">
        <v>6.7593104331127952E-9</v>
      </c>
      <c r="S18">
        <v>9.6888982070257534E-9</v>
      </c>
      <c r="T18">
        <v>1.0094970676114504E-8</v>
      </c>
      <c r="U18">
        <v>8.8349182552355261E-9</v>
      </c>
      <c r="X18">
        <v>1.8217346295796198E-9</v>
      </c>
      <c r="Y18">
        <v>1.4733200446221166E-10</v>
      </c>
      <c r="Z18">
        <v>6.275252041909015E-11</v>
      </c>
      <c r="AA18">
        <v>0</v>
      </c>
      <c r="AB18">
        <v>8.7808055745842826E-10</v>
      </c>
      <c r="AC18">
        <v>1.6442979263436955E-9</v>
      </c>
      <c r="AD18">
        <v>2.0574186857693726E-9</v>
      </c>
      <c r="AE18">
        <v>1.5585816212784891E-9</v>
      </c>
      <c r="AG18">
        <v>1.4608150133791821E-9</v>
      </c>
      <c r="AH18">
        <v>4.6107187013722078E-9</v>
      </c>
      <c r="AI18">
        <v>5.09068453689648E-9</v>
      </c>
      <c r="AJ18">
        <v>4.7873806882042116E-9</v>
      </c>
      <c r="AK18">
        <v>6.7079261229145532E-9</v>
      </c>
      <c r="AL18">
        <v>5.6329481644310094E-9</v>
      </c>
      <c r="AM18">
        <v>7.186300409007908E-9</v>
      </c>
      <c r="AN18">
        <v>3.0305374806741039E-9</v>
      </c>
      <c r="AO18">
        <v>5.8957811847370536E-9</v>
      </c>
      <c r="AP18">
        <v>5.5088073088193307E-9</v>
      </c>
      <c r="AQ18">
        <v>3.286549574847639E-9</v>
      </c>
      <c r="AR18">
        <v>3.8826985188289946E-9</v>
      </c>
      <c r="AW18">
        <v>2.8129499370470413E-9</v>
      </c>
      <c r="AX18">
        <v>1.06019928519644E-9</v>
      </c>
      <c r="AY18">
        <v>2.0921599362042894E-8</v>
      </c>
      <c r="AZ18">
        <v>1.3890133976242956E-8</v>
      </c>
      <c r="BA18">
        <v>1.7735772129751982E-8</v>
      </c>
      <c r="BB18">
        <v>2.2731645793406574E-8</v>
      </c>
      <c r="BC18">
        <v>2.1700776490579928E-8</v>
      </c>
      <c r="BE18">
        <v>4.83285352908761E-9</v>
      </c>
      <c r="BF18">
        <v>6.9336987779006277E-9</v>
      </c>
      <c r="BG18">
        <v>7.5473547656220928E-9</v>
      </c>
      <c r="BH18">
        <v>5.8093827870585969E-9</v>
      </c>
      <c r="BI18">
        <v>7.7265177587026841E-9</v>
      </c>
      <c r="BJ18">
        <v>9.4196989889960338E-9</v>
      </c>
      <c r="BK18">
        <v>1.3532717446899444E-8</v>
      </c>
      <c r="BL18">
        <v>1.472842579792841E-8</v>
      </c>
      <c r="BM18">
        <v>1.2974310960851306E-8</v>
      </c>
      <c r="BN18">
        <v>7.1892561436653291E-10</v>
      </c>
      <c r="BO18">
        <v>6.9664392233366756E-10</v>
      </c>
      <c r="BP18">
        <v>1.2098049317028215E-9</v>
      </c>
      <c r="BQ18">
        <v>1.9655635471849074E-9</v>
      </c>
      <c r="BR18">
        <v>1.8937164585891375E-9</v>
      </c>
      <c r="BS18">
        <v>1.8168673574961935E-9</v>
      </c>
      <c r="BT18">
        <v>2.0471872965706078E-9</v>
      </c>
      <c r="BU18">
        <v>1.0297324818045628E-9</v>
      </c>
      <c r="BV18">
        <v>1.9692013744555793E-9</v>
      </c>
      <c r="BW18">
        <v>9.4447090514819038E-10</v>
      </c>
      <c r="BX18">
        <v>1.7056862615362839E-9</v>
      </c>
      <c r="BY18">
        <v>1.2430001055477027E-9</v>
      </c>
      <c r="BZ18">
        <v>3.6751150001962797E-9</v>
      </c>
      <c r="CA18">
        <v>3.9143021432429575E-9</v>
      </c>
      <c r="CB18">
        <v>4.0493564806666507E-9</v>
      </c>
      <c r="CC18">
        <v>2.5141933724431122E-9</v>
      </c>
      <c r="CD18">
        <v>2.2854649827996167E-9</v>
      </c>
      <c r="CE18">
        <v>2.3741370225222447E-9</v>
      </c>
      <c r="CF18">
        <v>7.166974451632464E-9</v>
      </c>
      <c r="CG18">
        <v>7.7858598160555188E-9</v>
      </c>
      <c r="CH18">
        <v>6.997133390932969E-9</v>
      </c>
      <c r="CI18">
        <v>0</v>
      </c>
      <c r="CJ18">
        <v>0</v>
      </c>
      <c r="CK18">
        <v>1.3164387435743914E-10</v>
      </c>
      <c r="CL18">
        <v>1.1786332992772517E-8</v>
      </c>
      <c r="CM18">
        <v>1.2364974893013767E-8</v>
      </c>
      <c r="CN18">
        <v>1.0802528080260188E-8</v>
      </c>
      <c r="CO18">
        <v>9.3260249367762316E-9</v>
      </c>
      <c r="CP18">
        <v>8.3772341117441181E-9</v>
      </c>
      <c r="CQ18">
        <v>8.023455409671278E-9</v>
      </c>
      <c r="CU18">
        <v>1.3816922702420684E-9</v>
      </c>
      <c r="CV18">
        <v>1.1306821885657078E-9</v>
      </c>
      <c r="CX18">
        <v>6.1831695391201341E-9</v>
      </c>
      <c r="CY18">
        <v>6.0992721476902624E-9</v>
      </c>
      <c r="CZ18">
        <v>6.0469783806743544E-9</v>
      </c>
      <c r="DA18">
        <v>5.9778596625315892E-9</v>
      </c>
      <c r="DB18">
        <v>6.1124592715464481E-9</v>
      </c>
      <c r="DC18">
        <v>5.0179279914830424E-9</v>
      </c>
      <c r="DD18">
        <v>5.4999401048470678E-9</v>
      </c>
      <c r="DE18">
        <v>5.0072418738754442E-9</v>
      </c>
      <c r="DF18">
        <v>2.8829781120074755E-9</v>
      </c>
      <c r="DG18">
        <v>2.9459579966309821E-9</v>
      </c>
      <c r="DH18">
        <v>3.1771873925230647E-9</v>
      </c>
      <c r="DY18">
        <v>8.7116292798110973E-10</v>
      </c>
      <c r="EB18">
        <v>1.4192739079102717E-9</v>
      </c>
      <c r="EC18">
        <v>3.3873966942148757E-9</v>
      </c>
      <c r="ED18">
        <v>2.4095336481700118E-9</v>
      </c>
      <c r="EE18">
        <v>5.5652302243211328E-9</v>
      </c>
      <c r="EF18">
        <v>4.0351239669421496E-9</v>
      </c>
      <c r="EG18">
        <v>3.4213400236127508E-9</v>
      </c>
      <c r="ES18">
        <v>5.785271546635183E-9</v>
      </c>
      <c r="ET18">
        <v>3.8335301062573787E-9</v>
      </c>
      <c r="EU18">
        <v>4.2550177095631638E-9</v>
      </c>
      <c r="EV18">
        <v>1.0512101534828808E-8</v>
      </c>
      <c r="EW18">
        <v>1.5120277449822903E-8</v>
      </c>
      <c r="EX18">
        <v>2.8971664698937424E-8</v>
      </c>
      <c r="EY18">
        <v>1.7213695395513575E-9</v>
      </c>
      <c r="EZ18">
        <v>2.2114817001180635E-9</v>
      </c>
      <c r="FA18">
        <v>5.8320543093270368E-9</v>
      </c>
      <c r="FE18">
        <v>3.255608028335301E-10</v>
      </c>
      <c r="FF18">
        <v>6.2322904368358911E-10</v>
      </c>
      <c r="FG18">
        <v>7.2181227863046036E-10</v>
      </c>
      <c r="FH18">
        <v>3.7501475796930348E-9</v>
      </c>
      <c r="FI18">
        <v>3.2347992916174735E-9</v>
      </c>
      <c r="FJ18">
        <v>1.8552243211334121E-9</v>
      </c>
      <c r="FL18">
        <v>5.4117473435655246E-9</v>
      </c>
      <c r="FM18">
        <v>3.4198642266824084E-9</v>
      </c>
      <c r="FN18">
        <v>1.4954250295159385E-9</v>
      </c>
      <c r="FO18">
        <v>1.7770070838252654E-9</v>
      </c>
      <c r="FP18">
        <v>1.0627213695395515E-9</v>
      </c>
      <c r="FR18">
        <v>2.1793093270365999E-9</v>
      </c>
      <c r="FS18">
        <v>6.1275088547815826E-10</v>
      </c>
      <c r="FT18">
        <v>1.574616292798111E-8</v>
      </c>
      <c r="FU18">
        <v>1.0670749704840613E-8</v>
      </c>
      <c r="FX18">
        <v>1.0169716646989374E-9</v>
      </c>
      <c r="FY18">
        <v>9.6310507674144047E-10</v>
      </c>
      <c r="FZ18">
        <v>4.0095926800472258E-9</v>
      </c>
      <c r="GA18">
        <v>2.8363341204250294E-9</v>
      </c>
      <c r="GB18">
        <v>4.6146694214876029E-9</v>
      </c>
      <c r="GC18">
        <v>4.0318772136953952E-9</v>
      </c>
      <c r="GD18">
        <v>4.3770661157024784E-9</v>
      </c>
      <c r="GE18">
        <v>3.5962219598583237E-9</v>
      </c>
      <c r="GF18">
        <v>6.1825560802833533E-9</v>
      </c>
      <c r="GG18">
        <v>8.5067886658795758E-9</v>
      </c>
      <c r="GH18">
        <v>7.1292798110979915E-9</v>
      </c>
      <c r="GI18">
        <v>2.0597697756788669E-9</v>
      </c>
      <c r="GJ18">
        <v>1.7708530106257381E-8</v>
      </c>
      <c r="GM18">
        <v>1.909961629279811E-8</v>
      </c>
      <c r="GN18">
        <v>2.1018152302243212E-8</v>
      </c>
      <c r="GO18">
        <v>2.7652744982290435E-8</v>
      </c>
      <c r="GP18">
        <v>1.0071576151121608E-8</v>
      </c>
      <c r="GQ18">
        <v>1.1298996458087367E-8</v>
      </c>
      <c r="GR18">
        <v>1.9473288075560802E-8</v>
      </c>
      <c r="GT18">
        <v>1.767193034238489E-8</v>
      </c>
      <c r="GU18">
        <v>1.2621310507674144E-8</v>
      </c>
      <c r="GV18">
        <v>8.7603305785123969E-9</v>
      </c>
      <c r="GW18">
        <v>8.7306670602125136E-9</v>
      </c>
      <c r="GX18">
        <v>8.1463990554899655E-10</v>
      </c>
      <c r="GY18">
        <v>1.1044864226682408E-9</v>
      </c>
      <c r="GZ18">
        <v>1.0281877213695395E-9</v>
      </c>
      <c r="HA18">
        <v>3.780401416765053E-9</v>
      </c>
      <c r="HB18">
        <v>3.7513282172373078E-9</v>
      </c>
      <c r="HC18">
        <v>4.1706021251475797E-9</v>
      </c>
      <c r="HD18">
        <v>7.8780991735537186E-9</v>
      </c>
      <c r="HE18">
        <v>8.7364226682408491E-9</v>
      </c>
      <c r="HF18">
        <v>9.9982290436835883E-9</v>
      </c>
      <c r="HG18">
        <v>1.2593122786304604E-8</v>
      </c>
      <c r="HH18">
        <v>1.5834563164108619E-8</v>
      </c>
      <c r="HI18">
        <v>1.7918831168831168E-8</v>
      </c>
      <c r="HJ18">
        <v>7.9281286894923276E-9</v>
      </c>
      <c r="HK18">
        <v>1.3023612750885478E-8</v>
      </c>
      <c r="HL18">
        <v>2.494185360094451E-8</v>
      </c>
      <c r="HO18">
        <v>1.1289551357733176E-8</v>
      </c>
      <c r="HP18">
        <v>1.349719598583235E-8</v>
      </c>
      <c r="HQ18">
        <v>2.6926800472255017E-8</v>
      </c>
      <c r="HR18">
        <v>1.6467384887839432E-8</v>
      </c>
      <c r="HS18">
        <v>1.9819362455726092E-8</v>
      </c>
      <c r="HT18">
        <v>1.4304899645808735E-8</v>
      </c>
      <c r="HU18">
        <v>2.8068919716646987E-8</v>
      </c>
      <c r="HV18">
        <v>2.8301357733175911E-8</v>
      </c>
      <c r="HW18">
        <v>2.9488193624557257E-8</v>
      </c>
      <c r="HX18">
        <v>1.5541469893742619E-8</v>
      </c>
      <c r="HY18">
        <v>7.9867178276269176E-9</v>
      </c>
      <c r="HZ18">
        <v>1.3441410861865407E-8</v>
      </c>
      <c r="IA18">
        <v>9.4806670602125137E-9</v>
      </c>
      <c r="IB18">
        <v>1.0059179456906731E-8</v>
      </c>
      <c r="IC18">
        <v>8.5928276269185359E-9</v>
      </c>
      <c r="ID18">
        <v>1.2026269185360095E-8</v>
      </c>
      <c r="IE18">
        <v>1.6843270365997637E-8</v>
      </c>
      <c r="IF18">
        <v>1.1805194805194805E-8</v>
      </c>
      <c r="IG18">
        <v>8.1061097992916159E-9</v>
      </c>
      <c r="IH18">
        <v>7.963695395513579E-9</v>
      </c>
      <c r="II18">
        <v>9.2266824085005912E-9</v>
      </c>
      <c r="IJ18">
        <v>1.6809327036599764E-9</v>
      </c>
      <c r="IK18">
        <v>2.0407319952774498E-9</v>
      </c>
      <c r="IL18">
        <v>2.2734651711924435E-9</v>
      </c>
      <c r="IM18">
        <v>4.6686835891381346E-9</v>
      </c>
      <c r="IN18">
        <v>4.4172077922077916E-9</v>
      </c>
      <c r="IO18">
        <v>5.0857438016528924E-9</v>
      </c>
      <c r="IP18">
        <v>4.2663813459267996E-9</v>
      </c>
      <c r="IQ18">
        <v>4.4400826446280991E-9</v>
      </c>
      <c r="IR18">
        <v>4.0748229043683581E-9</v>
      </c>
      <c r="IS18">
        <v>4.7402597402597405E-9</v>
      </c>
      <c r="IT18">
        <v>2.5203659976387249E-9</v>
      </c>
      <c r="IU18">
        <v>5.4324085005903189E-10</v>
      </c>
      <c r="IV18">
        <v>1.0287780401416764E-9</v>
      </c>
      <c r="IW18">
        <v>3.1700118063754421E-10</v>
      </c>
      <c r="IX18">
        <v>5.7703659976387256E-10</v>
      </c>
      <c r="IY18">
        <v>9.4701889020070847E-10</v>
      </c>
      <c r="IZ18">
        <v>2.7527179260133807E-8</v>
      </c>
      <c r="JA18">
        <v>3.3709907516725702E-8</v>
      </c>
      <c r="JB18">
        <v>6.7232388823297902E-9</v>
      </c>
      <c r="JC18">
        <v>4.9597845336481706E-9</v>
      </c>
      <c r="JD18">
        <v>1.14E-8</v>
      </c>
      <c r="JE18">
        <v>8.9559966548602923E-9</v>
      </c>
      <c r="JF18">
        <v>1.1178925619834709E-8</v>
      </c>
      <c r="JG18">
        <v>1.1658795749704842E-10</v>
      </c>
      <c r="JH18">
        <v>9.0909090909090897E-11</v>
      </c>
      <c r="JI18">
        <v>4.6635182998819359E-11</v>
      </c>
      <c r="JJ18">
        <v>1.134887839433294E-10</v>
      </c>
      <c r="JK18">
        <v>1.0182998819362457E-10</v>
      </c>
      <c r="JL18">
        <v>1.2278630460448641E-10</v>
      </c>
      <c r="JM18">
        <v>3.7632821723730812E-10</v>
      </c>
      <c r="JO18">
        <v>9.8745572609208965E-10</v>
      </c>
      <c r="JQ18">
        <v>1.0219893742621014E-9</v>
      </c>
      <c r="JR18">
        <v>5.6897874852420309E-9</v>
      </c>
      <c r="JS18">
        <v>2.7632821723730814E-9</v>
      </c>
      <c r="JT18">
        <v>8.8400236127508864E-11</v>
      </c>
      <c r="JU18">
        <v>8.0430932703659976E-11</v>
      </c>
      <c r="JV18">
        <v>1.453659976387249E-10</v>
      </c>
      <c r="JW18">
        <v>6.7608028335301051E-8</v>
      </c>
      <c r="JY18">
        <v>9.2156582054309332E-8</v>
      </c>
      <c r="JZ18">
        <v>1.239521841794569E-9</v>
      </c>
      <c r="KA18">
        <v>5.2774498229043679E-10</v>
      </c>
      <c r="KB18" s="42">
        <v>7.5354191263282169E-10</v>
      </c>
      <c r="KD18">
        <v>7.5154958677685955E-9</v>
      </c>
      <c r="KE18">
        <v>8.9566115702479345E-10</v>
      </c>
      <c r="KF18">
        <v>1.0639020070838251E-9</v>
      </c>
      <c r="KL18">
        <v>2.3848878394332938E-10</v>
      </c>
      <c r="KM18">
        <v>2.8468122786304604E-10</v>
      </c>
      <c r="KN18">
        <v>2.9390495867768599E-9</v>
      </c>
      <c r="KO18">
        <v>2.4673848878394335E-9</v>
      </c>
      <c r="KP18" s="42">
        <v>2.424734356552538E-10</v>
      </c>
      <c r="KQ18">
        <v>3.1242621015348289E-10</v>
      </c>
      <c r="KR18" s="42">
        <v>3.2991440377804015E-9</v>
      </c>
      <c r="KS18">
        <v>2.2142857142857141E-9</v>
      </c>
      <c r="KT18">
        <v>1.7985537190082646E-9</v>
      </c>
      <c r="KU18">
        <v>1.6478748524203066E-9</v>
      </c>
      <c r="KV18">
        <v>1.1081759149940967E-9</v>
      </c>
      <c r="KW18">
        <v>3.1220484061393154E-9</v>
      </c>
      <c r="KX18">
        <v>4.7491145218417942E-10</v>
      </c>
    </row>
    <row r="19" spans="1:310" x14ac:dyDescent="0.35">
      <c r="A19">
        <v>6.1529300999326739E-9</v>
      </c>
      <c r="D19">
        <v>2.4023301838699511E-9</v>
      </c>
      <c r="E19">
        <v>2.3691350100250709E-9</v>
      </c>
      <c r="F19">
        <v>1.8655232972414302E-9</v>
      </c>
      <c r="G19">
        <v>4.0338957147662954E-9</v>
      </c>
      <c r="H19">
        <v>1.439715615209285E-8</v>
      </c>
      <c r="I19">
        <v>6.0635759675967945E-9</v>
      </c>
      <c r="M19">
        <v>4.2855878890559071E-9</v>
      </c>
      <c r="N19">
        <v>7.894539905766843E-9</v>
      </c>
      <c r="S19">
        <v>1.0380540116862248E-8</v>
      </c>
      <c r="T19">
        <v>1.0675658854195505E-8</v>
      </c>
      <c r="U19">
        <v>8.8956244978148636E-9</v>
      </c>
      <c r="X19">
        <v>2.0679044018363488E-9</v>
      </c>
      <c r="Y19">
        <v>1.4460363400920777E-10</v>
      </c>
      <c r="Z19">
        <v>1.500603749152156E-10</v>
      </c>
      <c r="AA19">
        <v>0</v>
      </c>
      <c r="AB19">
        <v>1.0358713153238216E-9</v>
      </c>
      <c r="AC19">
        <v>1.8275534751037922E-9</v>
      </c>
      <c r="AD19">
        <v>2.4273402463558208E-9</v>
      </c>
      <c r="AE19">
        <v>1.938734571063702E-9</v>
      </c>
      <c r="AH19">
        <v>5.7952862063847426E-9</v>
      </c>
      <c r="AI19">
        <v>6.2120447930810915E-9</v>
      </c>
      <c r="AJ19">
        <v>5.8373485842018866E-9</v>
      </c>
      <c r="AK19">
        <v>8.4211154031965999E-9</v>
      </c>
      <c r="AL19">
        <v>7.3124875424593391E-9</v>
      </c>
      <c r="AM19">
        <v>1.1753137818927635E-8</v>
      </c>
      <c r="AN19">
        <v>3.6305516161305498E-9</v>
      </c>
      <c r="AO19">
        <v>7.006227959109649E-9</v>
      </c>
      <c r="AP19">
        <v>6.4148536634210488E-9</v>
      </c>
      <c r="AQ19">
        <v>3.6187286775008656E-9</v>
      </c>
      <c r="AR19">
        <v>6.4728315355473832E-9</v>
      </c>
      <c r="AW19">
        <v>3.1160264215348934E-9</v>
      </c>
      <c r="AX19">
        <v>1.2784689214367534E-9</v>
      </c>
      <c r="AY19">
        <v>2.4996875362013086E-8</v>
      </c>
      <c r="AZ19">
        <v>1.515973569370745E-8</v>
      </c>
      <c r="BA19">
        <v>1.9778866870643082E-8</v>
      </c>
      <c r="BB19">
        <v>2.4533734477615668E-8</v>
      </c>
      <c r="BC19">
        <v>2.2843281617775322E-8</v>
      </c>
      <c r="BE19">
        <v>5.7022942467781926E-9</v>
      </c>
      <c r="BF19">
        <v>7.9366022835839861E-9</v>
      </c>
      <c r="BG19">
        <v>8.6432502309120013E-9</v>
      </c>
      <c r="BH19">
        <v>6.6265297377332699E-9</v>
      </c>
      <c r="BI19">
        <v>8.6957713621323272E-9</v>
      </c>
      <c r="BJ19">
        <v>1.0274361033399511E-8</v>
      </c>
      <c r="BK19">
        <v>1.4853021381948923E-8</v>
      </c>
      <c r="BL19">
        <v>1.6516645265668067E-8</v>
      </c>
      <c r="BM19">
        <v>1.413568731701331E-8</v>
      </c>
      <c r="BN19">
        <v>7.609879921836767E-10</v>
      </c>
      <c r="BO19">
        <v>7.3711475071989241E-10</v>
      </c>
      <c r="BP19">
        <v>1.3857848259215744E-9</v>
      </c>
      <c r="BQ19">
        <v>2.0847023902994118E-9</v>
      </c>
      <c r="BR19">
        <v>1.9214548915280105E-9</v>
      </c>
      <c r="BS19">
        <v>1.8946259154068056E-9</v>
      </c>
      <c r="BT19">
        <v>2.2165736288612678E-9</v>
      </c>
      <c r="BU19">
        <v>1.1518270595764882E-9</v>
      </c>
      <c r="BV19">
        <v>2.2115716163640939E-9</v>
      </c>
      <c r="BW19">
        <v>1.0658833903068646E-9</v>
      </c>
      <c r="BX19">
        <v>1.9105414097159947E-9</v>
      </c>
      <c r="BY19">
        <v>1.3978351287556749E-9</v>
      </c>
      <c r="BZ19">
        <v>3.8147166217083142E-9</v>
      </c>
      <c r="CA19">
        <v>3.9729621079825416E-9</v>
      </c>
      <c r="CB19">
        <v>4.0800506482629451E-9</v>
      </c>
      <c r="CC19">
        <v>2.6906279950706992E-9</v>
      </c>
      <c r="CD19">
        <v>2.6256018326074389E-9</v>
      </c>
      <c r="CE19">
        <v>2.586722553652133E-9</v>
      </c>
      <c r="CF19">
        <v>7.5966927979805806E-9</v>
      </c>
      <c r="CG19">
        <v>8.2610510032870355E-9</v>
      </c>
      <c r="CH19">
        <v>7.3891092793478661E-9</v>
      </c>
      <c r="CI19">
        <v>0</v>
      </c>
      <c r="CJ19">
        <v>7.4802823253190806E-11</v>
      </c>
      <c r="CK19">
        <v>2.2690947600815936E-10</v>
      </c>
      <c r="CM19">
        <v>1.3141878379506634E-8</v>
      </c>
      <c r="CN19">
        <v>1.1302956694181989E-8</v>
      </c>
      <c r="CO19">
        <v>1.0226614550471943E-8</v>
      </c>
      <c r="CP19">
        <v>8.7796687535621964E-9</v>
      </c>
      <c r="CQ19">
        <v>8.4784111827096805E-9</v>
      </c>
      <c r="CU19">
        <v>1.507197311080249E-9</v>
      </c>
      <c r="CV19">
        <v>1.2796057424588384E-9</v>
      </c>
      <c r="CX19">
        <v>7.8913568069050049E-9</v>
      </c>
      <c r="CY19">
        <v>7.5721374639035461E-9</v>
      </c>
      <c r="CZ19">
        <v>6.3693808225376513E-9</v>
      </c>
      <c r="DA19">
        <v>6.2857107953121967E-9</v>
      </c>
      <c r="DB19">
        <v>6.5021615179171749E-9</v>
      </c>
      <c r="DC19">
        <v>5.4756121349744504E-9</v>
      </c>
      <c r="DD19">
        <v>5.915789234725749E-9</v>
      </c>
      <c r="DE19">
        <v>5.4944833639410602E-9</v>
      </c>
      <c r="DF19">
        <v>3.1157990573304763E-9</v>
      </c>
      <c r="DG19">
        <v>3.1799157629760689E-9</v>
      </c>
      <c r="DH19">
        <v>3.412509344094653E-9</v>
      </c>
      <c r="DY19">
        <v>1.0143152302243212E-9</v>
      </c>
      <c r="EB19">
        <v>1.6002066115702481E-9</v>
      </c>
      <c r="EC19">
        <v>3.6596812278630457E-9</v>
      </c>
      <c r="ED19">
        <v>2.6438902007083823E-9</v>
      </c>
      <c r="EE19">
        <v>5.8651121605667055E-9</v>
      </c>
      <c r="EF19">
        <v>4.4735832349468708E-9</v>
      </c>
      <c r="EG19">
        <v>3.700708382526564E-9</v>
      </c>
      <c r="ES19">
        <v>5.9926210153482877E-9</v>
      </c>
      <c r="ET19">
        <v>4.2033648170011797E-9</v>
      </c>
      <c r="EU19">
        <v>4.6766528925619825E-9</v>
      </c>
      <c r="EV19">
        <v>1.1588695395513577E-8</v>
      </c>
      <c r="EW19">
        <v>1.6416765053128688E-8</v>
      </c>
      <c r="EY19">
        <v>1.9377213695395515E-9</v>
      </c>
      <c r="EZ19">
        <v>2.5901711924439197E-9</v>
      </c>
      <c r="FA19">
        <v>6.9524793388429761E-9</v>
      </c>
      <c r="FE19">
        <v>4.4362455726092081E-10</v>
      </c>
      <c r="FF19">
        <v>6.5658205430932701E-10</v>
      </c>
      <c r="FG19">
        <v>8.2290436835891373E-10</v>
      </c>
      <c r="FH19">
        <v>5.1589433293978743E-9</v>
      </c>
      <c r="FI19">
        <v>3.8360389610389606E-9</v>
      </c>
      <c r="FJ19">
        <v>2.1922963400236133E-9</v>
      </c>
      <c r="FL19">
        <v>6.0097402597402598E-9</v>
      </c>
      <c r="FM19">
        <v>3.8196576151121602E-9</v>
      </c>
      <c r="FN19">
        <v>1.6618949232585597E-9</v>
      </c>
      <c r="FP19">
        <v>1.1970188902007082E-9</v>
      </c>
      <c r="FR19">
        <v>2.4355076741440377E-9</v>
      </c>
      <c r="FS19">
        <v>7.8320543093270367E-10</v>
      </c>
      <c r="FU19">
        <v>1.209887839433294E-8</v>
      </c>
      <c r="FX19">
        <v>1.2055785123966943E-9</v>
      </c>
      <c r="FY19">
        <v>1.0796930342384886E-9</v>
      </c>
      <c r="FZ19">
        <v>4.3453364817001186E-9</v>
      </c>
      <c r="GA19">
        <v>3.042798110979929E-9</v>
      </c>
      <c r="GB19">
        <v>4.9366883116883107E-9</v>
      </c>
      <c r="GC19">
        <v>4.3509445100354189E-9</v>
      </c>
      <c r="GD19">
        <v>4.7300767414403777E-9</v>
      </c>
      <c r="GE19">
        <v>3.9042207792207795E-9</v>
      </c>
      <c r="GF19">
        <v>6.7863046044864223E-9</v>
      </c>
      <c r="GG19">
        <v>9.1787190082644628E-9</v>
      </c>
      <c r="GH19">
        <v>7.6444805194805201E-9</v>
      </c>
      <c r="GI19">
        <v>2.5029515938606845E-9</v>
      </c>
      <c r="GJ19">
        <v>1.9669273907910271E-8</v>
      </c>
      <c r="GM19">
        <v>2.0294864226682409E-8</v>
      </c>
      <c r="GO19">
        <v>3.1031582054309326E-8</v>
      </c>
      <c r="GP19">
        <v>1.1066263282172373E-8</v>
      </c>
      <c r="GQ19">
        <v>1.2359799291617472E-8</v>
      </c>
      <c r="GR19">
        <v>2.1435802833530108E-8</v>
      </c>
      <c r="GT19">
        <v>1.9260182998819359E-8</v>
      </c>
      <c r="GU19">
        <v>1.3832349468713106E-8</v>
      </c>
      <c r="GV19">
        <v>9.6388724911452187E-9</v>
      </c>
      <c r="GW19">
        <v>9.4912927981109787E-9</v>
      </c>
      <c r="GX19">
        <v>8.8577331759149939E-10</v>
      </c>
      <c r="GY19">
        <v>1.1567296340023612E-9</v>
      </c>
      <c r="GZ19">
        <v>1.1458087367178277E-9</v>
      </c>
      <c r="HA19">
        <v>3.9725501770956318E-9</v>
      </c>
      <c r="HB19">
        <v>4.0342384887839436E-9</v>
      </c>
      <c r="HC19">
        <v>4.5419126328217224E-9</v>
      </c>
      <c r="HD19">
        <v>8.8847402597402607E-9</v>
      </c>
      <c r="HE19">
        <v>9.9352125147579701E-9</v>
      </c>
      <c r="HF19">
        <v>1.0965613931523021E-8</v>
      </c>
      <c r="HG19">
        <v>1.3684327036599763E-8</v>
      </c>
      <c r="HH19">
        <v>1.749586776859504E-8</v>
      </c>
      <c r="HI19">
        <v>1.9065672963400234E-8</v>
      </c>
      <c r="HJ19">
        <v>8.8175914994096813E-9</v>
      </c>
      <c r="HK19">
        <v>1.428482880755608E-8</v>
      </c>
      <c r="HO19">
        <v>1.2409976387249114E-8</v>
      </c>
      <c r="HP19">
        <v>1.4481404958677684E-8</v>
      </c>
      <c r="HR19">
        <v>1.7852863046044864E-8</v>
      </c>
      <c r="HS19">
        <v>2.1349468713105076E-8</v>
      </c>
      <c r="HT19">
        <v>1.5547077922077924E-8</v>
      </c>
      <c r="HU19">
        <v>3.0732438016528922E-8</v>
      </c>
      <c r="HV19">
        <v>3.0467237308146401E-8</v>
      </c>
      <c r="HW19">
        <v>3.2712514757969306E-8</v>
      </c>
      <c r="HX19">
        <v>1.6917650531286895E-8</v>
      </c>
      <c r="HY19">
        <v>8.954988193624556E-9</v>
      </c>
      <c r="HZ19">
        <v>1.5023317591499409E-8</v>
      </c>
      <c r="IA19">
        <v>1.0359946871310509E-8</v>
      </c>
      <c r="IB19">
        <v>1.1089433293978749E-8</v>
      </c>
      <c r="IC19">
        <v>9.4465761511216072E-9</v>
      </c>
      <c r="ID19">
        <v>1.3145070838252657E-8</v>
      </c>
      <c r="IE19">
        <v>1.7501623376623375E-8</v>
      </c>
      <c r="IF19">
        <v>1.2916765053128689E-8</v>
      </c>
      <c r="IG19">
        <v>8.647874852420307E-9</v>
      </c>
      <c r="IH19">
        <v>8.281434474616293E-9</v>
      </c>
      <c r="II19">
        <v>1.0398907910271548E-8</v>
      </c>
      <c r="IJ19">
        <v>1.7402597402597403E-9</v>
      </c>
      <c r="IK19">
        <v>2.3103600944510039E-9</v>
      </c>
      <c r="IL19">
        <v>2.4595631641086187E-9</v>
      </c>
      <c r="IM19">
        <v>5.0799881936245569E-9</v>
      </c>
      <c r="IN19">
        <v>4.7941263282172379E-9</v>
      </c>
      <c r="IO19">
        <v>5.3975796930342391E-9</v>
      </c>
      <c r="IP19">
        <v>4.8075560802833526E-9</v>
      </c>
      <c r="IQ19">
        <v>4.7327331759149939E-9</v>
      </c>
      <c r="IR19">
        <v>4.5339433293978745E-9</v>
      </c>
      <c r="IS19">
        <v>5.1937721369539549E-9</v>
      </c>
      <c r="IT19">
        <v>3.0069362455726088E-9</v>
      </c>
      <c r="IU19">
        <v>6.2573789846517113E-10</v>
      </c>
      <c r="IV19">
        <v>1.1136363636363635E-9</v>
      </c>
      <c r="IW19">
        <v>3.7160566706021248E-10</v>
      </c>
      <c r="IX19">
        <v>6.5422077922077922E-10</v>
      </c>
      <c r="IY19">
        <v>1.0786599763872492E-9</v>
      </c>
      <c r="IZ19">
        <v>2.7502213695395516E-8</v>
      </c>
      <c r="JA19">
        <v>3.5088178866587967E-8</v>
      </c>
      <c r="JB19">
        <v>7.3584464777646602E-9</v>
      </c>
      <c r="JC19">
        <v>5.5371900826446287E-9</v>
      </c>
      <c r="JD19">
        <v>1.0789669421487603E-8</v>
      </c>
      <c r="JE19">
        <v>8.2133018496654864E-9</v>
      </c>
      <c r="JF19">
        <v>1.1953822314049587E-8</v>
      </c>
      <c r="JG19">
        <v>1.4032369146005511E-10</v>
      </c>
      <c r="JH19">
        <v>4.1322314049586774E-11</v>
      </c>
      <c r="JI19">
        <v>1.4521841794569068E-10</v>
      </c>
      <c r="JJ19">
        <v>1.6809327036599764E-10</v>
      </c>
      <c r="JK19">
        <v>7.4085005903187698E-11</v>
      </c>
      <c r="JL19">
        <v>2.0602125147579691E-10</v>
      </c>
      <c r="JM19">
        <v>1.8624557260920896E-10</v>
      </c>
      <c r="JO19">
        <v>1.0757083825265645E-9</v>
      </c>
      <c r="JQ19">
        <v>1.0857438016528926E-9</v>
      </c>
      <c r="JR19">
        <v>4.2359799291617471E-9</v>
      </c>
      <c r="JS19">
        <v>3.2907319952774494E-9</v>
      </c>
      <c r="JT19">
        <v>1.8831168831168828E-10</v>
      </c>
      <c r="JU19">
        <v>1.8904958677685948E-10</v>
      </c>
      <c r="JV19">
        <v>1.1717827626918537E-10</v>
      </c>
      <c r="JW19">
        <v>2.0796192443919715E-7</v>
      </c>
      <c r="JY19">
        <v>8.7995867768595046E-8</v>
      </c>
      <c r="JZ19">
        <v>1.3840023612750885E-9</v>
      </c>
      <c r="KA19">
        <v>1.0022136953955135E-9</v>
      </c>
      <c r="KB19" s="42">
        <v>6.9023022432113336E-10</v>
      </c>
      <c r="KD19">
        <v>7.5748229043683588E-9</v>
      </c>
      <c r="KE19">
        <v>1.0391086186540731E-9</v>
      </c>
      <c r="KF19">
        <v>1.1571723730814641E-9</v>
      </c>
      <c r="KL19">
        <v>2.1517119244391969E-10</v>
      </c>
      <c r="KM19">
        <v>3.1714876033057849E-10</v>
      </c>
      <c r="KN19">
        <v>5.1824085005903191E-9</v>
      </c>
      <c r="KO19">
        <v>3.0029515938606845E-9</v>
      </c>
      <c r="KP19" s="42">
        <v>2.3597992916174736E-10</v>
      </c>
      <c r="KQ19">
        <v>1.9470188902007083E-9</v>
      </c>
      <c r="KR19" s="42">
        <v>3.5792502951593859E-9</v>
      </c>
      <c r="KS19">
        <v>1.6295749704840613E-9</v>
      </c>
      <c r="KT19">
        <v>1.9964580873671783E-9</v>
      </c>
      <c r="KU19">
        <v>1.3868063754427391E-9</v>
      </c>
      <c r="KV19">
        <v>1.0720188902007083E-9</v>
      </c>
      <c r="KW19">
        <v>4.1252951593860675E-9</v>
      </c>
      <c r="KX19">
        <v>5.9961629279811095E-10</v>
      </c>
    </row>
    <row r="20" spans="1:310" x14ac:dyDescent="0.35">
      <c r="A20">
        <v>6.5503627292535771E-9</v>
      </c>
      <c r="D20">
        <v>2.6592517348611539E-9</v>
      </c>
      <c r="E20">
        <v>2.516921742896116E-9</v>
      </c>
      <c r="F20">
        <v>2.114941829486872E-9</v>
      </c>
      <c r="G20">
        <v>4.6209500905709726E-9</v>
      </c>
      <c r="H20">
        <v>1.6307015469195597E-8</v>
      </c>
      <c r="I20">
        <v>7.2156303913777004E-9</v>
      </c>
      <c r="M20">
        <v>5.1507086868625669E-9</v>
      </c>
      <c r="N20">
        <v>1.0036538075579336E-8</v>
      </c>
      <c r="S20">
        <v>1.1054674982958631E-8</v>
      </c>
      <c r="T20">
        <v>1.2005057357421665E-8</v>
      </c>
      <c r="U20">
        <v>9.6586587678382941E-9</v>
      </c>
      <c r="X20">
        <v>2.2169637231073902E-9</v>
      </c>
      <c r="Y20">
        <v>1.9303220955002734E-10</v>
      </c>
      <c r="Z20">
        <v>1.8621128341751752E-10</v>
      </c>
      <c r="AA20">
        <v>0</v>
      </c>
      <c r="AB20">
        <v>1.2407264635035326E-9</v>
      </c>
      <c r="AC20">
        <v>2.1101671811941148E-9</v>
      </c>
      <c r="AD20">
        <v>2.8534207654332663E-9</v>
      </c>
      <c r="AE20">
        <v>2.2490867100928979E-9</v>
      </c>
      <c r="AH20">
        <v>7.1119523141635522E-9</v>
      </c>
      <c r="AI20">
        <v>7.8029121313867948E-9</v>
      </c>
      <c r="AJ20">
        <v>7.1144533204121381E-9</v>
      </c>
      <c r="AL20">
        <v>9.5122362201937488E-9</v>
      </c>
      <c r="AN20">
        <v>4.2166965351175582E-9</v>
      </c>
      <c r="AO20">
        <v>8.1164473692778272E-9</v>
      </c>
      <c r="AP20">
        <v>7.3293124935861972E-9</v>
      </c>
      <c r="AQ20">
        <v>4.0270747886337858E-9</v>
      </c>
      <c r="AR20">
        <v>7.5027913815563629E-9</v>
      </c>
      <c r="AW20">
        <v>3.4886763525743458E-9</v>
      </c>
      <c r="AX20">
        <v>1.4876439895003875E-9</v>
      </c>
      <c r="AZ20">
        <v>1.6694444073522152E-8</v>
      </c>
      <c r="BB20">
        <v>2.6276708468676334E-8</v>
      </c>
      <c r="BC20">
        <v>2.439413285610363E-8</v>
      </c>
      <c r="BE20">
        <v>6.4942037707625813E-9</v>
      </c>
      <c r="BF20">
        <v>8.9986204824157596E-9</v>
      </c>
      <c r="BG20">
        <v>9.7330068626826507E-9</v>
      </c>
      <c r="BH20">
        <v>7.5478094940309287E-9</v>
      </c>
      <c r="BI20">
        <v>9.7114072632630371E-9</v>
      </c>
      <c r="BJ20">
        <v>1.1106514021565707E-8</v>
      </c>
      <c r="BK20">
        <v>1.615468145223621E-8</v>
      </c>
      <c r="BL20">
        <v>1.8355566950992705E-8</v>
      </c>
      <c r="BM20">
        <v>1.5142910742580586E-8</v>
      </c>
      <c r="BN20">
        <v>8.1896586431000998E-10</v>
      </c>
      <c r="BO20">
        <v>8.14645944426087E-10</v>
      </c>
      <c r="BP20">
        <v>1.5590363496873229E-9</v>
      </c>
      <c r="BQ20">
        <v>2.246130975435477E-9</v>
      </c>
      <c r="BR20">
        <v>2.1306299595916444E-9</v>
      </c>
      <c r="BS20">
        <v>2.01376475852131E-9</v>
      </c>
      <c r="BT20">
        <v>2.4134710298863844E-9</v>
      </c>
      <c r="BU20">
        <v>1.2011650919349756E-9</v>
      </c>
      <c r="BV20">
        <v>2.3882336031960981E-9</v>
      </c>
      <c r="BW20">
        <v>1.1757003010402725E-9</v>
      </c>
      <c r="BX20">
        <v>2.0405937346425149E-9</v>
      </c>
      <c r="BY20">
        <v>1.5615373559359103E-9</v>
      </c>
      <c r="BZ20">
        <v>3.8661009319065545E-9</v>
      </c>
      <c r="CA20">
        <v>3.9775093920708816E-9</v>
      </c>
      <c r="CB20">
        <v>4.1521251010631321E-9</v>
      </c>
      <c r="CC20">
        <v>3.045088789756792E-9</v>
      </c>
      <c r="CD20">
        <v>2.9332256011836306E-9</v>
      </c>
      <c r="CE20">
        <v>2.7476964103793643E-9</v>
      </c>
      <c r="CF20">
        <v>8.0098135574062571E-9</v>
      </c>
      <c r="CG20">
        <v>8.4877331150907793E-9</v>
      </c>
      <c r="CH20">
        <v>7.7419785246030403E-9</v>
      </c>
      <c r="CI20">
        <v>7.025553916485092E-11</v>
      </c>
      <c r="CJ20">
        <v>6.0933606783754203E-11</v>
      </c>
      <c r="CK20">
        <v>9.8221336308141122E-11</v>
      </c>
      <c r="CM20">
        <v>1.4332129989629593E-8</v>
      </c>
      <c r="CN20">
        <v>1.2637357209905325E-8</v>
      </c>
      <c r="CO20">
        <v>1.1037167939218524E-8</v>
      </c>
      <c r="CP20">
        <v>9.3139746339421306E-9</v>
      </c>
      <c r="CQ20">
        <v>8.927910214842077E-9</v>
      </c>
      <c r="CU20">
        <v>1.5474407752620566E-9</v>
      </c>
      <c r="CV20">
        <v>1.355545386734114E-9</v>
      </c>
      <c r="CZ20">
        <v>6.6554049916942298E-9</v>
      </c>
      <c r="DA20">
        <v>6.5794653474189525E-9</v>
      </c>
      <c r="DB20">
        <v>6.7663587234497219E-9</v>
      </c>
      <c r="DC20">
        <v>5.8853224313338725E-9</v>
      </c>
      <c r="DD20">
        <v>6.3816584895761694E-9</v>
      </c>
      <c r="DE20">
        <v>5.9651272670842377E-9</v>
      </c>
      <c r="DF20">
        <v>3.413191436707904E-9</v>
      </c>
      <c r="DG20">
        <v>3.5134590508557983E-9</v>
      </c>
      <c r="DH20">
        <v>3.6753423644006968E-9</v>
      </c>
      <c r="DY20">
        <v>1.1261806375442737E-9</v>
      </c>
      <c r="EB20">
        <v>1.8128689492325855E-9</v>
      </c>
      <c r="EC20">
        <v>3.9151416765053131E-9</v>
      </c>
      <c r="ED20">
        <v>2.9067296340023611E-9</v>
      </c>
      <c r="EE20">
        <v>6.2175324675324675E-9</v>
      </c>
      <c r="EF20">
        <v>4.8074085005903191E-9</v>
      </c>
      <c r="EG20">
        <v>4.0578512396694211E-9</v>
      </c>
      <c r="ES20">
        <v>6.1633707201889015E-9</v>
      </c>
      <c r="ET20">
        <v>4.5715761511216049E-9</v>
      </c>
      <c r="EU20">
        <v>4.9896694214876038E-9</v>
      </c>
      <c r="EV20">
        <v>1.253586186540732E-8</v>
      </c>
      <c r="EW20">
        <v>1.8473730814639906E-8</v>
      </c>
      <c r="EY20">
        <v>2.1801948051948051E-9</v>
      </c>
      <c r="EZ20">
        <v>2.9886363636363634E-9</v>
      </c>
      <c r="FA20">
        <v>8.1757674144037789E-9</v>
      </c>
      <c r="FE20">
        <v>4.9704840613931523E-10</v>
      </c>
      <c r="FF20">
        <v>7.3597992916174734E-10</v>
      </c>
      <c r="FG20">
        <v>8.6525974025974024E-10</v>
      </c>
      <c r="FI20">
        <v>4.5948937426210154E-9</v>
      </c>
      <c r="FJ20">
        <v>2.4585301062573788E-9</v>
      </c>
      <c r="FL20">
        <v>6.6726682408500587E-9</v>
      </c>
      <c r="FM20">
        <v>4.1791617473435657E-9</v>
      </c>
      <c r="FN20">
        <v>1.895956316410862E-9</v>
      </c>
      <c r="FP20">
        <v>1.3149350649350647E-9</v>
      </c>
      <c r="FR20">
        <v>2.6915584415584416E-9</v>
      </c>
      <c r="FS20">
        <v>8.8031286894923247E-10</v>
      </c>
      <c r="FU20">
        <v>1.3964580873671782E-8</v>
      </c>
      <c r="FX20">
        <v>1.3267414403778039E-9</v>
      </c>
      <c r="FY20">
        <v>1.2476387249114522E-9</v>
      </c>
      <c r="FZ20">
        <v>4.6711924439197165E-9</v>
      </c>
      <c r="GA20">
        <v>3.4636953955135772E-9</v>
      </c>
      <c r="GB20">
        <v>5.3507969303423845E-9</v>
      </c>
      <c r="GC20">
        <v>4.6294273907910266E-9</v>
      </c>
      <c r="GD20">
        <v>5.0839728453364821E-9</v>
      </c>
      <c r="GE20">
        <v>4.1480224321133408E-9</v>
      </c>
      <c r="GF20">
        <v>7.3676210153482884E-9</v>
      </c>
      <c r="GG20">
        <v>1.0026564344746163E-8</v>
      </c>
      <c r="GH20">
        <v>8.0870720188902009E-9</v>
      </c>
      <c r="GI20">
        <v>2.8984651711924437E-9</v>
      </c>
      <c r="GM20">
        <v>2.1641528925619838E-8</v>
      </c>
      <c r="GP20">
        <v>1.2101829988193623E-8</v>
      </c>
      <c r="GQ20">
        <v>1.3304014167650532E-8</v>
      </c>
      <c r="GR20">
        <v>2.3381198347107438E-8</v>
      </c>
      <c r="GT20">
        <v>2.0920897284533646E-8</v>
      </c>
      <c r="GU20">
        <v>1.4962219598583234E-8</v>
      </c>
      <c r="GV20">
        <v>1.0510035419126327E-8</v>
      </c>
      <c r="GW20">
        <v>1.0256788665879575E-8</v>
      </c>
      <c r="GX20">
        <v>9.9778630460448639E-10</v>
      </c>
      <c r="GY20">
        <v>1.2224025974025973E-9</v>
      </c>
      <c r="GZ20">
        <v>1.2142857142857144E-9</v>
      </c>
      <c r="HA20">
        <v>4.2517709563164103E-9</v>
      </c>
      <c r="HB20">
        <v>4.3155253837072026E-9</v>
      </c>
      <c r="HC20">
        <v>4.9005312868949236E-9</v>
      </c>
      <c r="HD20">
        <v>9.9564639905548984E-9</v>
      </c>
      <c r="HE20">
        <v>1.1078364817001179E-8</v>
      </c>
      <c r="HF20">
        <v>1.2045159386068476E-8</v>
      </c>
      <c r="HG20">
        <v>1.4682113341204252E-8</v>
      </c>
      <c r="HH20">
        <v>1.9009002361275085E-8</v>
      </c>
      <c r="HI20">
        <v>2.0021103896103899E-8</v>
      </c>
      <c r="HO20">
        <v>1.347077922077922E-8</v>
      </c>
      <c r="HP20">
        <v>1.5616292798110981E-8</v>
      </c>
      <c r="HR20">
        <v>1.9106847697756788E-8</v>
      </c>
      <c r="HS20">
        <v>2.2985094451003544E-8</v>
      </c>
      <c r="HT20">
        <v>1.6744539551357731E-8</v>
      </c>
      <c r="HU20">
        <v>3.4041765053128688E-8</v>
      </c>
      <c r="HV20">
        <v>3.2602272727272729E-8</v>
      </c>
      <c r="HW20">
        <v>3.6615259740259746E-8</v>
      </c>
      <c r="HX20">
        <v>1.8327922077922077E-8</v>
      </c>
      <c r="HY20">
        <v>1.0103453364817001E-8</v>
      </c>
      <c r="HZ20">
        <v>1.66193919716647E-8</v>
      </c>
      <c r="IA20">
        <v>1.1357880755608029E-8</v>
      </c>
      <c r="IB20">
        <v>1.2065968122786305E-8</v>
      </c>
      <c r="IC20">
        <v>1.0352125147579693E-8</v>
      </c>
      <c r="ID20">
        <v>1.4394185360094451E-8</v>
      </c>
      <c r="IE20">
        <v>1.8398907910271545E-8</v>
      </c>
      <c r="IF20">
        <v>1.3842827626918535E-8</v>
      </c>
      <c r="IG20">
        <v>9.0213990554899655E-9</v>
      </c>
      <c r="IH20">
        <v>8.6556965761511198E-9</v>
      </c>
      <c r="II20">
        <v>1.0365259740259741E-8</v>
      </c>
      <c r="IJ20">
        <v>1.9670897284533645E-9</v>
      </c>
      <c r="IK20">
        <v>2.4806670602125147E-9</v>
      </c>
      <c r="IL20">
        <v>2.6863931523022434E-9</v>
      </c>
      <c r="IM20">
        <v>5.4183884297520652E-9</v>
      </c>
      <c r="IN20">
        <v>5.1410861865407322E-9</v>
      </c>
      <c r="IO20">
        <v>5.755460448642267E-9</v>
      </c>
      <c r="IP20">
        <v>5.1434474616292798E-9</v>
      </c>
      <c r="IQ20">
        <v>5.1441853600944498E-9</v>
      </c>
      <c r="IR20">
        <v>4.9059917355371896E-9</v>
      </c>
      <c r="IS20">
        <v>5.7467532467532466E-9</v>
      </c>
      <c r="IT20">
        <v>3.6161452184179459E-9</v>
      </c>
      <c r="IU20">
        <v>7.9855371900826455E-10</v>
      </c>
      <c r="IV20">
        <v>1.1742916174734356E-9</v>
      </c>
      <c r="IW20">
        <v>4.5764462809917352E-10</v>
      </c>
      <c r="IX20">
        <v>6.7015938606847699E-10</v>
      </c>
      <c r="IY20">
        <v>1.1245572609208972E-9</v>
      </c>
      <c r="IZ20">
        <v>2.8158328414010238E-8</v>
      </c>
      <c r="JA20">
        <v>3.6983594057457698E-8</v>
      </c>
      <c r="JB20">
        <v>8.070641479732389E-9</v>
      </c>
      <c r="JC20">
        <v>6.2258953168044086E-9</v>
      </c>
      <c r="JD20">
        <v>1.0215909090909091E-8</v>
      </c>
      <c r="JE20">
        <v>7.6705775285320755E-9</v>
      </c>
      <c r="JF20">
        <v>1.231714876033058E-8</v>
      </c>
      <c r="JG20">
        <v>1.7488193624557263E-10</v>
      </c>
      <c r="JH20">
        <v>3.3648170011806373E-11</v>
      </c>
      <c r="JI20">
        <v>9.8730814639905548E-11</v>
      </c>
      <c r="JJ20">
        <v>1.4123376623376621E-10</v>
      </c>
      <c r="JK20">
        <v>1.1717827626918537E-10</v>
      </c>
      <c r="JL20">
        <v>1.4757969303423847E-10</v>
      </c>
      <c r="JM20">
        <v>2.5664108618654073E-10</v>
      </c>
      <c r="JO20">
        <v>1.1596812278630461E-9</v>
      </c>
      <c r="JQ20">
        <v>1.1028630460448642E-9</v>
      </c>
      <c r="JR20">
        <v>5.0088547815820531E-9</v>
      </c>
      <c r="JS20">
        <v>3.2435064935064935E-9</v>
      </c>
      <c r="JT20">
        <v>1.8299881936245572E-10</v>
      </c>
      <c r="JU20">
        <v>1.0596221959858322E-10</v>
      </c>
      <c r="JV20">
        <v>2.0306965761511214E-10</v>
      </c>
      <c r="JW20">
        <v>2.0577922077922077E-7</v>
      </c>
      <c r="JZ20">
        <v>1.5954840613931521E-9</v>
      </c>
      <c r="KA20">
        <v>1.1800472255017707E-9</v>
      </c>
      <c r="KB20" s="42">
        <v>6.8801652892561979E-10</v>
      </c>
      <c r="KD20">
        <v>8.3028335301062573E-9</v>
      </c>
      <c r="KE20">
        <v>1.1742916174734356E-9</v>
      </c>
      <c r="KF20">
        <v>1.2457201889020068E-9</v>
      </c>
      <c r="KL20">
        <v>2.2446871310507675E-10</v>
      </c>
      <c r="KM20">
        <v>4.4362455726092081E-10</v>
      </c>
      <c r="KN20">
        <v>3.6844746162927979E-9</v>
      </c>
      <c r="KO20">
        <v>3.2747933884297519E-9</v>
      </c>
      <c r="KP20" s="42">
        <v>3.0401416765053133E-10</v>
      </c>
      <c r="KR20" s="42">
        <v>7.6330578512396688E-8</v>
      </c>
      <c r="KS20">
        <v>1.6959858323494687E-9</v>
      </c>
      <c r="KT20">
        <v>1.9713695395513579E-9</v>
      </c>
      <c r="KU20">
        <v>1.6219008264462811E-9</v>
      </c>
      <c r="KV20">
        <v>1.2805489964580875E-9</v>
      </c>
      <c r="KW20">
        <v>3.9352125147579684E-9</v>
      </c>
      <c r="KX20">
        <v>5.9710743801652883E-10</v>
      </c>
    </row>
    <row r="21" spans="1:310" x14ac:dyDescent="0.35">
      <c r="A21">
        <v>6.7136102280249788E-9</v>
      </c>
      <c r="D21">
        <v>3.4677588457679823E-9</v>
      </c>
      <c r="E21">
        <v>2.7099539524461432E-9</v>
      </c>
      <c r="F21">
        <v>2.4691752599685476E-9</v>
      </c>
      <c r="G21">
        <v>5.3855759100253213E-9</v>
      </c>
      <c r="H21">
        <v>1.9702245133754554E-8</v>
      </c>
      <c r="I21">
        <v>9.7500591780139251E-9</v>
      </c>
      <c r="M21">
        <v>6.1031373391653527E-9</v>
      </c>
      <c r="N21">
        <v>1.2042799815354886E-8</v>
      </c>
      <c r="S21">
        <v>1.1579204202548636E-8</v>
      </c>
      <c r="T21">
        <v>1.1898650909754513E-8</v>
      </c>
      <c r="U21">
        <v>9.4553951690895008E-9</v>
      </c>
      <c r="X21">
        <v>2.4354622378251869E-9</v>
      </c>
      <c r="Y21">
        <v>2.0962979647246785E-10</v>
      </c>
      <c r="Z21">
        <v>1.3164387435743914E-10</v>
      </c>
      <c r="AA21">
        <v>0</v>
      </c>
      <c r="AB21">
        <v>1.4071570611367718E-9</v>
      </c>
      <c r="AC21">
        <v>4.2126039794380524E-9</v>
      </c>
      <c r="AD21">
        <v>3.2160666714783706E-9</v>
      </c>
      <c r="AE21">
        <v>2.6235555547676861E-9</v>
      </c>
      <c r="AH21">
        <v>9.0936587198620646E-9</v>
      </c>
      <c r="AI21">
        <v>1.0255035076024068E-8</v>
      </c>
      <c r="AJ21">
        <v>8.4299826071688612E-9</v>
      </c>
      <c r="AN21">
        <v>4.9347126926664229E-9</v>
      </c>
      <c r="AO21">
        <v>9.2316687919431813E-9</v>
      </c>
      <c r="AP21">
        <v>8.3347170055181407E-9</v>
      </c>
      <c r="AQ21">
        <v>4.5923022008144307E-9</v>
      </c>
      <c r="AR21">
        <v>7.6121535638809368E-9</v>
      </c>
      <c r="AW21">
        <v>3.8763323211053193E-9</v>
      </c>
      <c r="AX21">
        <v>1.7941309370544944E-9</v>
      </c>
      <c r="AZ21">
        <v>1.6797212693918632E-8</v>
      </c>
      <c r="BB21">
        <v>2.7948290099550071E-8</v>
      </c>
      <c r="BC21">
        <v>2.6593881533838043E-8</v>
      </c>
      <c r="BE21">
        <v>7.3477289941439743E-9</v>
      </c>
      <c r="BF21">
        <v>9.93263263416077E-9</v>
      </c>
      <c r="BG21">
        <v>1.0814123654685453E-8</v>
      </c>
      <c r="BH21">
        <v>8.5357069622227627E-9</v>
      </c>
      <c r="BI21">
        <v>1.0708626663835968E-8</v>
      </c>
      <c r="BJ21">
        <v>1.1997326974471486E-8</v>
      </c>
      <c r="BK21">
        <v>1.7496812350909723E-8</v>
      </c>
      <c r="BL21">
        <v>1.9076311478994572E-8</v>
      </c>
      <c r="BM21">
        <v>1.6419333386177587E-8</v>
      </c>
      <c r="BN21">
        <v>9.0536426198846745E-10</v>
      </c>
      <c r="BO21">
        <v>9.7675662217540321E-10</v>
      </c>
      <c r="BP21">
        <v>1.6456621115701974E-9</v>
      </c>
      <c r="BQ21">
        <v>2.2768251430317714E-9</v>
      </c>
      <c r="BR21">
        <v>2.2306702095351216E-9</v>
      </c>
      <c r="BS21">
        <v>2.1799679919501323E-9</v>
      </c>
      <c r="BT21">
        <v>2.4887285815484087E-9</v>
      </c>
      <c r="BU21">
        <v>1.4098854315897755E-9</v>
      </c>
      <c r="BV21">
        <v>2.5260163110727956E-9</v>
      </c>
      <c r="BW21">
        <v>1.2620986987187299E-9</v>
      </c>
      <c r="BX21">
        <v>2.1372235215197373E-9</v>
      </c>
      <c r="BY21">
        <v>1.6906802240447624E-9</v>
      </c>
      <c r="BZ21">
        <v>4.0507206658931534E-9</v>
      </c>
      <c r="CA21">
        <v>4.114610007334329E-9</v>
      </c>
      <c r="CB21">
        <v>4.0875536670087061E-9</v>
      </c>
      <c r="CC21">
        <v>3.2162940356827877E-9</v>
      </c>
      <c r="CD21">
        <v>3.0473624318009616E-9</v>
      </c>
      <c r="CE21">
        <v>3.0573664567953093E-9</v>
      </c>
      <c r="CF21">
        <v>8.3322159992695556E-9</v>
      </c>
      <c r="CG21">
        <v>8.7407894746068913E-9</v>
      </c>
      <c r="CH21">
        <v>8.2442260521601782E-9</v>
      </c>
      <c r="CI21">
        <v>4.5245476678981672E-11</v>
      </c>
      <c r="CJ21">
        <v>1.6415695558906916E-10</v>
      </c>
      <c r="CK21">
        <v>1.0663381187156988E-10</v>
      </c>
      <c r="CO21">
        <v>1.1354568368584646E-8</v>
      </c>
      <c r="CP21">
        <v>9.7743871478865425E-9</v>
      </c>
      <c r="CQ21">
        <v>9.4194716247916184E-9</v>
      </c>
      <c r="CU21">
        <v>1.724557490502894E-9</v>
      </c>
      <c r="CV21">
        <v>1.4905997241578085E-9</v>
      </c>
      <c r="CZ21">
        <v>6.9184653762046903E-9</v>
      </c>
      <c r="DA21">
        <v>6.958481476182081E-9</v>
      </c>
      <c r="DB21">
        <v>7.282702831680714E-9</v>
      </c>
      <c r="DC21">
        <v>6.2888938941740348E-9</v>
      </c>
      <c r="DD21">
        <v>6.7863667734384172E-9</v>
      </c>
      <c r="DE21">
        <v>6.2834371532680279E-9</v>
      </c>
      <c r="DF21">
        <v>3.6048594610314293E-9</v>
      </c>
      <c r="DG21">
        <v>3.8042578683051322E-9</v>
      </c>
      <c r="DH21">
        <v>3.9468152244745872E-9</v>
      </c>
      <c r="DY21">
        <v>1.2628394332939787E-9</v>
      </c>
      <c r="EB21">
        <v>1.9634002361275088E-9</v>
      </c>
      <c r="EC21">
        <v>4.1887544273907904E-9</v>
      </c>
      <c r="ED21">
        <v>3.082054309327037E-9</v>
      </c>
      <c r="EE21">
        <v>6.652007083825266E-9</v>
      </c>
      <c r="EF21">
        <v>5.1810802833530102E-9</v>
      </c>
      <c r="EG21">
        <v>4.354781582054309E-9</v>
      </c>
      <c r="ES21">
        <v>6.8301357733175912E-9</v>
      </c>
      <c r="ET21">
        <v>4.8943329397874852E-9</v>
      </c>
      <c r="EU21">
        <v>5.3068181818181813E-9</v>
      </c>
      <c r="EV21">
        <v>1.3464285714285714E-8</v>
      </c>
      <c r="EY21">
        <v>2.3997933884297519E-9</v>
      </c>
      <c r="EZ21">
        <v>3.5242030696576152E-9</v>
      </c>
      <c r="FE21">
        <v>5.3246753246753238E-10</v>
      </c>
      <c r="FF21">
        <v>7.953069657615112E-10</v>
      </c>
      <c r="FG21">
        <v>1.0484061393152302E-9</v>
      </c>
      <c r="FI21">
        <v>5.5646399055489963E-9</v>
      </c>
      <c r="FJ21">
        <v>2.7542798110979928E-9</v>
      </c>
      <c r="FL21">
        <v>7.4400826446280987E-9</v>
      </c>
      <c r="FM21">
        <v>4.6354781582054315E-9</v>
      </c>
      <c r="FN21">
        <v>2.1192443919716645E-9</v>
      </c>
      <c r="FP21">
        <v>1.5126918536009443E-9</v>
      </c>
      <c r="FR21">
        <v>2.9601534828807559E-9</v>
      </c>
      <c r="FS21">
        <v>1.0140200708382525E-9</v>
      </c>
      <c r="FX21">
        <v>1.4105667060212514E-9</v>
      </c>
      <c r="FY21">
        <v>1.4766824085005905E-9</v>
      </c>
      <c r="FZ21">
        <v>5.0407319952774497E-9</v>
      </c>
      <c r="GA21">
        <v>3.7424734356552539E-9</v>
      </c>
      <c r="GB21">
        <v>5.8546340023612749E-9</v>
      </c>
      <c r="GC21">
        <v>4.9139610389610392E-9</v>
      </c>
      <c r="GD21">
        <v>5.4768299881936242E-9</v>
      </c>
      <c r="GE21">
        <v>4.4027449822904357E-9</v>
      </c>
      <c r="GF21">
        <v>7.8786894923258559E-9</v>
      </c>
      <c r="GG21">
        <v>1.1032615112160566E-8</v>
      </c>
      <c r="GH21">
        <v>8.5525383707201876E-9</v>
      </c>
      <c r="GM21">
        <v>2.3702626918536005E-8</v>
      </c>
      <c r="GP21">
        <v>1.3084710743801653E-8</v>
      </c>
      <c r="GQ21">
        <v>1.422358323494687E-8</v>
      </c>
      <c r="GR21">
        <v>2.5365702479338841E-8</v>
      </c>
      <c r="GT21">
        <v>2.257969303423849E-8</v>
      </c>
      <c r="GU21">
        <v>1.6187278630460447E-8</v>
      </c>
      <c r="GV21">
        <v>1.1403482880755606E-8</v>
      </c>
      <c r="GW21">
        <v>1.0998671782762692E-8</v>
      </c>
      <c r="GX21">
        <v>1.0925324675324677E-9</v>
      </c>
      <c r="GY21">
        <v>1.296340023612751E-9</v>
      </c>
      <c r="GZ21">
        <v>1.3401711924439197E-9</v>
      </c>
      <c r="HA21">
        <v>4.4721074380165284E-9</v>
      </c>
      <c r="HB21">
        <v>4.6918536009445108E-9</v>
      </c>
      <c r="HC21">
        <v>5.3366292798110981E-9</v>
      </c>
      <c r="HD21">
        <v>1.0972697756788665E-8</v>
      </c>
      <c r="HE21">
        <v>1.2206021251475796E-8</v>
      </c>
      <c r="HF21">
        <v>1.2856404958677684E-8</v>
      </c>
      <c r="HG21">
        <v>1.5700413223140494E-8</v>
      </c>
      <c r="HH21">
        <v>2.0589138134592679E-8</v>
      </c>
      <c r="HI21">
        <v>2.0901416765053128E-8</v>
      </c>
      <c r="HO21">
        <v>1.4523465171192444E-8</v>
      </c>
      <c r="HP21">
        <v>1.6697756788665879E-8</v>
      </c>
      <c r="HR21">
        <v>2.0422373081463988E-8</v>
      </c>
      <c r="HS21">
        <v>2.4569214876033058E-8</v>
      </c>
      <c r="HT21">
        <v>1.8005017709563163E-8</v>
      </c>
      <c r="HU21">
        <v>3.7497343565525394E-8</v>
      </c>
      <c r="HV21">
        <v>3.4795897284533653E-8</v>
      </c>
      <c r="HW21">
        <v>4.0120129870129871E-8</v>
      </c>
      <c r="HX21">
        <v>1.9859504132231406E-8</v>
      </c>
      <c r="HY21">
        <v>1.1220926800472255E-8</v>
      </c>
      <c r="HZ21">
        <v>1.8230814639905545E-8</v>
      </c>
      <c r="IA21">
        <v>1.2575413223140496E-8</v>
      </c>
      <c r="IB21">
        <v>1.3188902007083824E-8</v>
      </c>
      <c r="IC21">
        <v>1.1434917355371902E-8</v>
      </c>
      <c r="ID21">
        <v>1.5672520661157023E-8</v>
      </c>
      <c r="IE21">
        <v>1.9232438016528929E-8</v>
      </c>
      <c r="IF21">
        <v>1.4923701298701298E-8</v>
      </c>
      <c r="IG21">
        <v>9.3794273907910261E-9</v>
      </c>
      <c r="IH21">
        <v>8.996015348288076E-9</v>
      </c>
      <c r="II21">
        <v>1.1074380165289256E-8</v>
      </c>
      <c r="IJ21">
        <v>2.1492030696576153E-9</v>
      </c>
      <c r="IK21">
        <v>2.676210153482881E-9</v>
      </c>
      <c r="IL21">
        <v>2.8482880755608025E-9</v>
      </c>
      <c r="IM21">
        <v>5.7770070838252656E-9</v>
      </c>
      <c r="IN21">
        <v>5.5036894923258562E-9</v>
      </c>
      <c r="IO21">
        <v>6.1157024793388434E-9</v>
      </c>
      <c r="IP21">
        <v>5.5064935064935067E-9</v>
      </c>
      <c r="IQ21">
        <v>5.5430932703659968E-9</v>
      </c>
      <c r="IR21">
        <v>5.2153187721369544E-9</v>
      </c>
      <c r="IS21">
        <v>6.4059917355371898E-9</v>
      </c>
      <c r="IT21">
        <v>4.4755017709563163E-9</v>
      </c>
      <c r="IU21">
        <v>8.2836481700118055E-10</v>
      </c>
      <c r="IV21">
        <v>1.4272432113341203E-9</v>
      </c>
      <c r="IW21">
        <v>5.4515938606847701E-10</v>
      </c>
      <c r="IX21">
        <v>7.4512987012987018E-10</v>
      </c>
      <c r="IY21">
        <v>1.1797520661157022E-9</v>
      </c>
      <c r="IZ21">
        <v>2.9064590712317989E-8</v>
      </c>
      <c r="JA21">
        <v>3.9092753837072027E-8</v>
      </c>
      <c r="JB21">
        <v>8.7330283353010628E-9</v>
      </c>
      <c r="JC21">
        <v>6.9036550570641491E-9</v>
      </c>
      <c r="JD21">
        <v>9.9203512396694199E-9</v>
      </c>
      <c r="JE21">
        <v>7.0040092483274316E-9</v>
      </c>
      <c r="JF21">
        <v>1.2643388429752066E-8</v>
      </c>
      <c r="JG21">
        <v>7.071526957890595E-11</v>
      </c>
      <c r="JH21">
        <v>4.3183293978748524E-9</v>
      </c>
      <c r="JI21">
        <v>1.4211924439197166E-10</v>
      </c>
      <c r="JJ21">
        <v>1.2559031877213693E-10</v>
      </c>
      <c r="JK21">
        <v>1.0758559622195985E-10</v>
      </c>
      <c r="JL21">
        <v>2.1546635182998817E-10</v>
      </c>
      <c r="JM21">
        <v>3.214285714285714E-10</v>
      </c>
      <c r="JO21">
        <v>1.3422373081463992E-9</v>
      </c>
      <c r="JQ21">
        <v>1.2631345926800473E-9</v>
      </c>
      <c r="JR21">
        <v>5.641676505312869E-9</v>
      </c>
      <c r="JS21">
        <v>2.7467532467532467E-9</v>
      </c>
      <c r="JT21">
        <v>2.4763872491145222E-10</v>
      </c>
      <c r="JU21">
        <v>1.2721369539551355E-10</v>
      </c>
      <c r="JV21">
        <v>2.0070838252656434E-10</v>
      </c>
      <c r="JW21">
        <v>1.8963695395513575E-7</v>
      </c>
      <c r="JZ21">
        <v>1.7275678866587958E-9</v>
      </c>
      <c r="KA21">
        <v>1.1886068476977567E-9</v>
      </c>
      <c r="KB21" s="42">
        <v>8.0460448642266837E-10</v>
      </c>
      <c r="KD21">
        <v>9.0507674144037768E-9</v>
      </c>
      <c r="KE21">
        <v>1.2939787485242032E-9</v>
      </c>
      <c r="KF21">
        <v>1.3429752066115702E-9</v>
      </c>
      <c r="KL21">
        <v>4.0067886658795751E-10</v>
      </c>
      <c r="KM21">
        <v>4.0215466351829991E-10</v>
      </c>
      <c r="KN21">
        <v>3.3274793388429755E-9</v>
      </c>
      <c r="KO21">
        <v>2.8502066115702475E-9</v>
      </c>
      <c r="KP21" s="42">
        <v>2.9929161747343564E-10</v>
      </c>
      <c r="KR21" s="42">
        <v>6.3219598583234942E-8</v>
      </c>
      <c r="KS21">
        <v>1.7724321133412041E-9</v>
      </c>
      <c r="KT21">
        <v>1.8745572609208973E-9</v>
      </c>
      <c r="KU21">
        <v>1.6334120425029516E-9</v>
      </c>
      <c r="KV21">
        <v>2.2197461629279809E-9</v>
      </c>
      <c r="KW21">
        <v>3.1927390791027149E-9</v>
      </c>
      <c r="KX21">
        <v>7.0336481700118056E-10</v>
      </c>
    </row>
    <row r="22" spans="1:310" x14ac:dyDescent="0.35">
      <c r="A22">
        <v>7.1028577459868722E-9</v>
      </c>
      <c r="D22">
        <v>3.9686421880986188E-9</v>
      </c>
      <c r="E22">
        <v>2.9880203744481261E-9</v>
      </c>
      <c r="F22">
        <v>2.8197708631795509E-9</v>
      </c>
      <c r="G22">
        <v>6.3671071804934825E-9</v>
      </c>
      <c r="H22">
        <v>2.3460802796971871E-8</v>
      </c>
      <c r="I22">
        <v>1.2566192213922806E-8</v>
      </c>
      <c r="M22">
        <v>7.1226384317711487E-9</v>
      </c>
      <c r="S22">
        <v>1.1646276642851649E-8</v>
      </c>
      <c r="T22">
        <v>1.3368787855514791E-8</v>
      </c>
      <c r="U22">
        <v>9.6518378417057853E-9</v>
      </c>
      <c r="X22">
        <v>2.6016203078584926E-9</v>
      </c>
      <c r="Y22">
        <v>2.107666174945528E-10</v>
      </c>
      <c r="Z22">
        <v>1.6165594934048227E-10</v>
      </c>
      <c r="AA22">
        <v>0</v>
      </c>
      <c r="AB22">
        <v>1.6004166348912162E-9</v>
      </c>
      <c r="AD22">
        <v>3.7269540388033547E-9</v>
      </c>
      <c r="AH22">
        <v>1.7746912975768411E-8</v>
      </c>
      <c r="AI22">
        <v>1.3294212396466016E-8</v>
      </c>
      <c r="AJ22">
        <v>9.9105783063323221E-9</v>
      </c>
      <c r="AN22">
        <v>5.6438616462430256E-9</v>
      </c>
      <c r="AO22">
        <v>1.0281636687940854E-8</v>
      </c>
      <c r="AP22">
        <v>9.2341697981917663E-9</v>
      </c>
      <c r="AQ22">
        <v>5.2505215726016273E-9</v>
      </c>
      <c r="AR22">
        <v>7.8279221938726636E-9</v>
      </c>
      <c r="AW22">
        <v>4.3119621367682786E-9</v>
      </c>
      <c r="AX22">
        <v>2.0883402175700837E-9</v>
      </c>
      <c r="AZ22">
        <v>1.6111254889192562E-8</v>
      </c>
      <c r="BB22">
        <v>2.946139887994516E-8</v>
      </c>
      <c r="BC22">
        <v>3.0731910054227325E-8</v>
      </c>
      <c r="BE22">
        <v>8.2815137816845667E-9</v>
      </c>
      <c r="BF22">
        <v>1.0986465721633535E-8</v>
      </c>
      <c r="BG22">
        <v>1.1915475860881371E-8</v>
      </c>
      <c r="BH22">
        <v>9.5124635843981676E-9</v>
      </c>
      <c r="BI22">
        <v>1.1880234409196736E-8</v>
      </c>
      <c r="BJ22">
        <v>1.2886093649537513E-8</v>
      </c>
      <c r="BK22">
        <v>1.9704746140003143E-8</v>
      </c>
      <c r="BL22">
        <v>1.9813426229714469E-8</v>
      </c>
      <c r="BM22">
        <v>1.7785564890519302E-8</v>
      </c>
      <c r="BN22">
        <v>9.5743066479995881E-10</v>
      </c>
      <c r="BO22">
        <v>1.0110886170423693E-9</v>
      </c>
      <c r="BP22">
        <v>1.7941309370544944E-9</v>
      </c>
      <c r="BQ22">
        <v>2.4689478957641305E-9</v>
      </c>
      <c r="BR22">
        <v>2.3070645822192311E-9</v>
      </c>
      <c r="BS22">
        <v>2.3643603617323133E-9</v>
      </c>
      <c r="BT22">
        <v>2.6271933820383576E-9</v>
      </c>
      <c r="BU22">
        <v>1.5378914786765432E-9</v>
      </c>
      <c r="BV22">
        <v>2.5662597752546038E-9</v>
      </c>
      <c r="BW22">
        <v>1.5599458065049912E-9</v>
      </c>
      <c r="BX22">
        <v>2.3843684117210091E-9</v>
      </c>
      <c r="BY22">
        <v>1.6859055757520057E-9</v>
      </c>
      <c r="BZ22">
        <v>4.2114671584159676E-9</v>
      </c>
      <c r="CA22">
        <v>4.1837287254770942E-9</v>
      </c>
      <c r="CB22">
        <v>4.0766401851966899E-9</v>
      </c>
      <c r="CC22">
        <v>3.5089117667674583E-9</v>
      </c>
      <c r="CD22">
        <v>3.3677185958245056E-9</v>
      </c>
      <c r="CE22">
        <v>3.3713564230951771E-9</v>
      </c>
      <c r="CF22">
        <v>8.4947814054277052E-9</v>
      </c>
      <c r="CG22">
        <v>9.0288599216032223E-9</v>
      </c>
      <c r="CH22">
        <v>8.5493488144877819E-9</v>
      </c>
      <c r="CI22">
        <v>1.2141248515867444E-10</v>
      </c>
      <c r="CJ22">
        <v>2.5237426690286257E-10</v>
      </c>
      <c r="CK22">
        <v>1.3482697321927707E-10</v>
      </c>
      <c r="CO22">
        <v>1.1957538238698512E-8</v>
      </c>
      <c r="CP22">
        <v>1.0047678921595769E-8</v>
      </c>
      <c r="CQ22">
        <v>9.9937936051489416E-9</v>
      </c>
      <c r="CU22">
        <v>1.8732536801916083E-9</v>
      </c>
      <c r="CV22">
        <v>1.6270182468080042E-9</v>
      </c>
      <c r="CZ22">
        <v>7.1415096607377618E-9</v>
      </c>
      <c r="DA22">
        <v>7.2852038379293008E-9</v>
      </c>
      <c r="DB22">
        <v>7.4100267861542308E-9</v>
      </c>
      <c r="DC22">
        <v>6.7179301479089017E-9</v>
      </c>
      <c r="DD22">
        <v>7.1947128845713366E-9</v>
      </c>
      <c r="DE22">
        <v>6.7743164706043154E-9</v>
      </c>
      <c r="DF22">
        <v>3.8617810120226316E-9</v>
      </c>
      <c r="DG22">
        <v>3.9816019477503874E-9</v>
      </c>
      <c r="DH22">
        <v>4.207601966940879E-9</v>
      </c>
      <c r="DY22">
        <v>1.3209858323494686E-9</v>
      </c>
      <c r="EB22">
        <v>2.0441263282172368E-9</v>
      </c>
      <c r="EC22">
        <v>4.4115997638724904E-9</v>
      </c>
      <c r="ED22">
        <v>3.3780991735537188E-9</v>
      </c>
      <c r="EE22">
        <v>6.956168831168831E-9</v>
      </c>
      <c r="EF22">
        <v>5.5414698937426209E-9</v>
      </c>
      <c r="EG22">
        <v>4.6040436835891388E-9</v>
      </c>
      <c r="ES22">
        <v>7.048701298701299E-9</v>
      </c>
      <c r="ET22">
        <v>5.3167060212514755E-9</v>
      </c>
      <c r="EU22">
        <v>5.7097107438016519E-9</v>
      </c>
      <c r="EY22">
        <v>2.6772432113341205E-9</v>
      </c>
      <c r="EZ22">
        <v>4.0007378984651711E-9</v>
      </c>
      <c r="FE22">
        <v>5.8943329397874854E-10</v>
      </c>
      <c r="FF22">
        <v>8.8075560802833524E-10</v>
      </c>
      <c r="FG22">
        <v>1.1334120425029515E-9</v>
      </c>
      <c r="FI22">
        <v>6.7939787485242032E-9</v>
      </c>
      <c r="FJ22">
        <v>3.111865407319953E-9</v>
      </c>
      <c r="FL22">
        <v>8.3178866587957488E-9</v>
      </c>
      <c r="FM22">
        <v>5.1489079102715458E-9</v>
      </c>
      <c r="FN22">
        <v>2.5234651711924437E-9</v>
      </c>
      <c r="FP22">
        <v>1.6697166469893743E-9</v>
      </c>
      <c r="FR22">
        <v>3.3152302243211329E-9</v>
      </c>
      <c r="FS22">
        <v>1.1852125147579692E-9</v>
      </c>
      <c r="FX22">
        <v>1.5522432113341206E-9</v>
      </c>
      <c r="FY22">
        <v>1.7551652892561985E-9</v>
      </c>
      <c r="FZ22">
        <v>5.38857733175915E-9</v>
      </c>
      <c r="GA22">
        <v>4.065525383707202E-9</v>
      </c>
      <c r="GB22">
        <v>6.5712809917355367E-9</v>
      </c>
      <c r="GC22">
        <v>5.1779811097992918E-9</v>
      </c>
      <c r="GD22">
        <v>5.8963990554899656E-9</v>
      </c>
      <c r="GE22">
        <v>4.7144332939787489E-9</v>
      </c>
      <c r="GF22">
        <v>8.4307851239669417E-9</v>
      </c>
      <c r="GG22">
        <v>1.2231109799291616E-8</v>
      </c>
      <c r="GH22">
        <v>9.3958087367178265E-9</v>
      </c>
      <c r="GM22">
        <v>2.6196576151121603E-8</v>
      </c>
      <c r="GP22">
        <v>1.4079250295159386E-8</v>
      </c>
      <c r="GQ22">
        <v>1.5297520661157021E-8</v>
      </c>
      <c r="GR22">
        <v>2.7285566706021249E-8</v>
      </c>
      <c r="GT22">
        <v>2.406227863046045E-8</v>
      </c>
      <c r="GU22">
        <v>1.7373671782762689E-8</v>
      </c>
      <c r="GV22">
        <v>1.2289256198347109E-8</v>
      </c>
      <c r="GW22">
        <v>1.171620425029516E-8</v>
      </c>
      <c r="GX22">
        <v>1.1539256198347108E-9</v>
      </c>
      <c r="GY22">
        <v>1.3639315230224322E-9</v>
      </c>
      <c r="GZ22">
        <v>1.4803719008264464E-9</v>
      </c>
      <c r="HA22">
        <v>4.681965761511215E-9</v>
      </c>
      <c r="HB22">
        <v>5.0008854781582052E-9</v>
      </c>
      <c r="HC22">
        <v>5.7054309327036597E-9</v>
      </c>
      <c r="HD22">
        <v>1.1969451003541911E-8</v>
      </c>
      <c r="HE22">
        <v>1.3220631641086187E-8</v>
      </c>
      <c r="HF22">
        <v>1.3756050767414403E-8</v>
      </c>
      <c r="HG22">
        <v>1.6708825265643447E-8</v>
      </c>
      <c r="HH22">
        <v>2.2174439197166468E-8</v>
      </c>
      <c r="HI22">
        <v>2.1726682408500592E-8</v>
      </c>
      <c r="HO22">
        <v>1.5615554899645806E-8</v>
      </c>
      <c r="HP22">
        <v>1.7915879574970482E-8</v>
      </c>
      <c r="HR22">
        <v>2.1913075560802832E-8</v>
      </c>
      <c r="HS22">
        <v>2.6228010625737899E-8</v>
      </c>
      <c r="HT22">
        <v>1.8918093270365999E-8</v>
      </c>
      <c r="HU22">
        <v>4.3435212514757969E-8</v>
      </c>
      <c r="HV22">
        <v>3.6911009445100354E-8</v>
      </c>
      <c r="HW22">
        <v>4.6074380165289256E-8</v>
      </c>
      <c r="HX22">
        <v>2.1481700118063754E-8</v>
      </c>
      <c r="HY22">
        <v>1.2301505312868948E-8</v>
      </c>
      <c r="HZ22">
        <v>1.9869244391971662E-8</v>
      </c>
      <c r="IA22">
        <v>1.3651269185360093E-8</v>
      </c>
      <c r="IB22">
        <v>1.4204988193624557E-8</v>
      </c>
      <c r="IC22">
        <v>1.2208677685950412E-8</v>
      </c>
      <c r="ID22">
        <v>1.7088252656434475E-8</v>
      </c>
      <c r="IE22">
        <v>2.0231995277449825E-8</v>
      </c>
      <c r="IF22">
        <v>1.5896399055489966E-8</v>
      </c>
      <c r="IG22">
        <v>9.7018890200708386E-9</v>
      </c>
      <c r="IH22">
        <v>9.1822609208972851E-9</v>
      </c>
      <c r="II22">
        <v>1.1013282172373082E-8</v>
      </c>
      <c r="IJ22">
        <v>2.4056965761511213E-9</v>
      </c>
      <c r="IK22">
        <v>2.9107142857142855E-9</v>
      </c>
      <c r="IL22">
        <v>3.0765938606847697E-9</v>
      </c>
      <c r="IM22">
        <v>6.1667650531286902E-9</v>
      </c>
      <c r="IN22">
        <v>5.774645808736718E-9</v>
      </c>
      <c r="IO22">
        <v>6.5165289256198343E-9</v>
      </c>
      <c r="IP22">
        <v>5.9133707201889017E-9</v>
      </c>
      <c r="IQ22">
        <v>5.8704250295159388E-9</v>
      </c>
      <c r="IR22">
        <v>5.5696576151121601E-9</v>
      </c>
      <c r="IS22">
        <v>7.0917945690672962E-9</v>
      </c>
      <c r="IT22">
        <v>5.3764757969303418E-9</v>
      </c>
      <c r="IU22">
        <v>9.085005903187722E-10</v>
      </c>
      <c r="IV22">
        <v>1.5619834710743802E-9</v>
      </c>
      <c r="IW22">
        <v>5.3512396694214872E-10</v>
      </c>
      <c r="IX22">
        <v>7.5590318772136948E-10</v>
      </c>
      <c r="IY22">
        <v>1.4093860684769776E-9</v>
      </c>
      <c r="IZ22">
        <v>3.0002582644628105E-8</v>
      </c>
      <c r="JA22">
        <v>4.1704176505312874E-8</v>
      </c>
      <c r="JB22">
        <v>9.4581365604092895E-9</v>
      </c>
      <c r="JC22">
        <v>7.5616145218417964E-9</v>
      </c>
      <c r="JD22">
        <v>9.8728305785123961E-9</v>
      </c>
      <c r="JE22">
        <v>6.4653433687524605E-9</v>
      </c>
      <c r="JF22">
        <v>1.3437396694214876E-8</v>
      </c>
      <c r="JG22">
        <v>2.3760330578512404E-10</v>
      </c>
      <c r="JH22">
        <v>4.1226387249114521E-9</v>
      </c>
      <c r="JI22">
        <v>1.5746753246753246E-10</v>
      </c>
      <c r="JJ22">
        <v>1.1437426210153482E-10</v>
      </c>
      <c r="JK22">
        <v>1.2411452184179456E-10</v>
      </c>
      <c r="JL22">
        <v>1.5879574970484063E-10</v>
      </c>
      <c r="JM22">
        <v>4.352125147579693E-10</v>
      </c>
      <c r="JO22">
        <v>1.3885773317591498E-9</v>
      </c>
      <c r="JQ22">
        <v>1.7905844155844153E-9</v>
      </c>
      <c r="JR22">
        <v>3.6263282172373079E-9</v>
      </c>
      <c r="JS22">
        <v>3.0025088547815815E-9</v>
      </c>
      <c r="JT22">
        <v>3.4710743801652892E-10</v>
      </c>
      <c r="JU22">
        <v>2.1310507674144035E-10</v>
      </c>
      <c r="JV22">
        <v>2.3848878394332938E-10</v>
      </c>
      <c r="JW22">
        <v>1.6228010625737896E-7</v>
      </c>
      <c r="JZ22">
        <v>2.1220484061393147E-9</v>
      </c>
      <c r="KA22">
        <v>1.4200118063754428E-9</v>
      </c>
      <c r="KB22" s="42">
        <v>8.5463400236127506E-10</v>
      </c>
      <c r="KD22">
        <v>1.0802243211334121E-8</v>
      </c>
      <c r="KE22">
        <v>1.4368358913813458E-9</v>
      </c>
      <c r="KF22">
        <v>1.591499409681228E-9</v>
      </c>
      <c r="KL22">
        <v>4.884887839433294E-10</v>
      </c>
      <c r="KM22">
        <v>4.2001180637544275E-10</v>
      </c>
      <c r="KN22">
        <v>3.3862160566706019E-9</v>
      </c>
      <c r="KO22">
        <v>3.0044273907910269E-9</v>
      </c>
      <c r="KP22" s="42">
        <v>3.6024203069657617E-10</v>
      </c>
      <c r="KR22" s="42">
        <v>8.0389610389610389E-8</v>
      </c>
      <c r="KS22">
        <v>2.0101829988193625E-9</v>
      </c>
      <c r="KT22">
        <v>1.9743211334120424E-9</v>
      </c>
      <c r="KU22">
        <v>1.7235832349468712E-9</v>
      </c>
      <c r="KV22">
        <v>3.0776269185360092E-9</v>
      </c>
      <c r="KW22">
        <v>2.9349173553719008E-9</v>
      </c>
      <c r="KX22">
        <v>8.0002951593860689E-10</v>
      </c>
    </row>
    <row r="23" spans="1:310" x14ac:dyDescent="0.35">
      <c r="A23">
        <v>7.6853648377032078E-9</v>
      </c>
      <c r="D23">
        <v>4.1780446203666694E-9</v>
      </c>
      <c r="E23">
        <v>3.2781370992842095E-9</v>
      </c>
      <c r="F23">
        <v>3.4275153815861745E-9</v>
      </c>
      <c r="H23">
        <v>8.5511677281231202E-8</v>
      </c>
      <c r="I23">
        <v>1.8597482464492386E-8</v>
      </c>
      <c r="M23">
        <v>9.6541114837499549E-9</v>
      </c>
      <c r="S23">
        <v>1.2398852159471897E-8</v>
      </c>
      <c r="T23">
        <v>1.2429318962863775E-8</v>
      </c>
      <c r="U23">
        <v>1.0095425404523337E-8</v>
      </c>
      <c r="X23">
        <v>2.7626879107030333E-9</v>
      </c>
      <c r="Y23">
        <v>2.8329579870357373E-10</v>
      </c>
      <c r="Z23">
        <v>1.8712074023518553E-10</v>
      </c>
      <c r="AA23">
        <v>0</v>
      </c>
      <c r="AB23">
        <v>1.8425595125953139E-9</v>
      </c>
      <c r="AN23">
        <v>6.2420568680641345E-9</v>
      </c>
      <c r="AO23">
        <v>1.1454381254323707E-8</v>
      </c>
      <c r="AP23">
        <v>1.0278453589079016E-8</v>
      </c>
      <c r="AQ23">
        <v>6.074944177817645E-9</v>
      </c>
      <c r="AR23">
        <v>9.8164495257036873E-9</v>
      </c>
      <c r="AW23">
        <v>5.0111070653505336E-9</v>
      </c>
      <c r="AX23">
        <v>2.3741370225222447E-9</v>
      </c>
      <c r="AZ23">
        <v>1.5329576754406943E-8</v>
      </c>
      <c r="BB23">
        <v>3.0973143475113748E-8</v>
      </c>
      <c r="BE23">
        <v>9.104117473265249E-9</v>
      </c>
      <c r="BF23">
        <v>1.2032341061951705E-8</v>
      </c>
      <c r="BG23">
        <v>1.3050250605126584E-8</v>
      </c>
      <c r="BH23">
        <v>1.0528326849733293E-8</v>
      </c>
      <c r="BI23">
        <v>1.2811290826284325E-8</v>
      </c>
      <c r="BJ23">
        <v>1.3777133966647713E-8</v>
      </c>
      <c r="BK23">
        <v>1.6252675424339934E-8</v>
      </c>
      <c r="BL23">
        <v>2.0464824675369156E-8</v>
      </c>
      <c r="BM23">
        <v>1.9122466412491222E-8</v>
      </c>
      <c r="BN23">
        <v>1.0370081363459066E-9</v>
      </c>
      <c r="BO23">
        <v>1.1720624737696004E-9</v>
      </c>
      <c r="BP23">
        <v>1.9173623358485048E-9</v>
      </c>
      <c r="BQ23">
        <v>2.6421994195298791E-9</v>
      </c>
      <c r="BR23">
        <v>2.411879480455465E-9</v>
      </c>
      <c r="BS23">
        <v>2.3752738435443295E-9</v>
      </c>
      <c r="BT23">
        <v>2.7010867484738807E-9</v>
      </c>
      <c r="BU23">
        <v>1.6713542666693182E-9</v>
      </c>
      <c r="BV23">
        <v>2.8140867580691261E-9</v>
      </c>
      <c r="BW23">
        <v>1.635430722371433E-9</v>
      </c>
      <c r="BX23">
        <v>2.3611772628704757E-9</v>
      </c>
      <c r="BY23">
        <v>1.8582476427000864E-9</v>
      </c>
      <c r="BZ23">
        <v>4.3487951378838321E-9</v>
      </c>
      <c r="CA23">
        <v>4.1432578970908692E-9</v>
      </c>
      <c r="CB23">
        <v>4.0975576920030537E-9</v>
      </c>
      <c r="CC23">
        <v>3.8620083762270487E-9</v>
      </c>
      <c r="CD23">
        <v>3.7903886518356959E-9</v>
      </c>
      <c r="CE23">
        <v>3.5896260593354902E-9</v>
      </c>
      <c r="CF23">
        <v>8.7751214694738572E-9</v>
      </c>
      <c r="CG23">
        <v>9.1836949448111945E-9</v>
      </c>
      <c r="CH23">
        <v>8.7353327337008836E-9</v>
      </c>
      <c r="CI23">
        <v>5.9796785761669241E-11</v>
      </c>
      <c r="CJ23">
        <v>6.4344069850009115E-11</v>
      </c>
      <c r="CK23">
        <v>2.8375052711240772E-10</v>
      </c>
      <c r="CO23">
        <v>1.2452737475918726E-8</v>
      </c>
      <c r="CP23">
        <v>1.0560839930964924E-8</v>
      </c>
      <c r="CQ23">
        <v>1.0479670909988057E-8</v>
      </c>
      <c r="CU23">
        <v>1.9944388011458652E-9</v>
      </c>
      <c r="CV23">
        <v>1.7377446143590798E-9</v>
      </c>
      <c r="CZ23">
        <v>7.4793728685014123E-9</v>
      </c>
      <c r="DA23">
        <v>7.52120788211414E-9</v>
      </c>
      <c r="DB23">
        <v>7.634889984322636E-9</v>
      </c>
      <c r="DC23">
        <v>7.108314486892879E-9</v>
      </c>
      <c r="DD23">
        <v>7.6944594058798878E-9</v>
      </c>
      <c r="DE23">
        <v>7.0985378261029476E-9</v>
      </c>
      <c r="DF23">
        <v>4.0486743880534002E-9</v>
      </c>
      <c r="DG23">
        <v>4.2457991532829335E-9</v>
      </c>
      <c r="DH23">
        <v>4.2787669629233967E-9</v>
      </c>
      <c r="DY23">
        <v>1.4484946871310508E-9</v>
      </c>
      <c r="EB23">
        <v>2.253689492325856E-9</v>
      </c>
      <c r="EC23">
        <v>4.6579102715466353E-9</v>
      </c>
      <c r="ED23">
        <v>3.5518004722550175E-9</v>
      </c>
      <c r="EE23">
        <v>7.3476977567886658E-9</v>
      </c>
      <c r="EF23">
        <v>5.8344155844155827E-9</v>
      </c>
      <c r="EG23">
        <v>4.9318181818181821E-9</v>
      </c>
      <c r="ES23">
        <v>7.8657024793388434E-9</v>
      </c>
      <c r="ET23">
        <v>5.7241735537190077E-9</v>
      </c>
      <c r="EU23">
        <v>6.0699527744982291E-9</v>
      </c>
      <c r="EY23">
        <v>2.9608913813459267E-9</v>
      </c>
      <c r="EZ23">
        <v>4.655991735537189E-9</v>
      </c>
      <c r="FE23">
        <v>6.5392561983471077E-10</v>
      </c>
      <c r="FF23">
        <v>1.006788665879575E-9</v>
      </c>
      <c r="FG23">
        <v>1.266086186540732E-9</v>
      </c>
      <c r="FJ23">
        <v>3.6188016528925622E-9</v>
      </c>
      <c r="FL23">
        <v>9.828512396694214E-9</v>
      </c>
      <c r="FN23">
        <v>2.7826151121605664E-9</v>
      </c>
      <c r="FP23">
        <v>1.8745572609208973E-9</v>
      </c>
      <c r="FR23">
        <v>3.716499409681228E-9</v>
      </c>
      <c r="FS23">
        <v>1.3528630460448642E-9</v>
      </c>
      <c r="FX23">
        <v>1.7222550177095631E-9</v>
      </c>
      <c r="FY23">
        <v>2.0100354191263278E-9</v>
      </c>
      <c r="FZ23">
        <v>5.7697756788665869E-9</v>
      </c>
      <c r="GA23">
        <v>4.3476977567886662E-9</v>
      </c>
      <c r="GB23">
        <v>7.4889315230224314E-9</v>
      </c>
      <c r="GC23">
        <v>5.4607438016528924E-9</v>
      </c>
      <c r="GD23">
        <v>6.2610684769775685E-9</v>
      </c>
      <c r="GE23">
        <v>5.0125442739079097E-9</v>
      </c>
      <c r="GF23">
        <v>8.9539551357733174E-9</v>
      </c>
      <c r="GG23">
        <v>1.3676652892561983E-8</v>
      </c>
      <c r="GP23">
        <v>1.5072314049586773E-8</v>
      </c>
      <c r="GQ23">
        <v>1.6298258559622195E-8</v>
      </c>
      <c r="GR23">
        <v>2.9989226682408498E-8</v>
      </c>
      <c r="GT23">
        <v>2.5372786304604486E-8</v>
      </c>
      <c r="GU23">
        <v>1.8591499409681227E-8</v>
      </c>
      <c r="GV23">
        <v>1.3266233766233764E-8</v>
      </c>
      <c r="GW23">
        <v>1.2517561983471076E-8</v>
      </c>
      <c r="GX23">
        <v>1.2352420306965764E-9</v>
      </c>
      <c r="GY23">
        <v>1.4884887839433295E-9</v>
      </c>
      <c r="GZ23">
        <v>1.5985832349468711E-9</v>
      </c>
      <c r="HA23">
        <v>4.9613341204250294E-9</v>
      </c>
      <c r="HB23">
        <v>5.2675619834710741E-9</v>
      </c>
      <c r="HC23">
        <v>5.910566706021252E-9</v>
      </c>
      <c r="HD23">
        <v>1.2962514757969303E-8</v>
      </c>
      <c r="HE23">
        <v>1.4181080283353011E-8</v>
      </c>
      <c r="HF23">
        <v>1.4640791027154663E-8</v>
      </c>
      <c r="HG23">
        <v>1.7520661157024794E-8</v>
      </c>
      <c r="HH23">
        <v>2.3396103896103895E-8</v>
      </c>
      <c r="HI23">
        <v>2.2568624557260919E-8</v>
      </c>
      <c r="HO23">
        <v>1.6689492325855963E-8</v>
      </c>
      <c r="HP23">
        <v>1.8948642266824085E-8</v>
      </c>
      <c r="HR23">
        <v>2.3322461629279808E-8</v>
      </c>
      <c r="HS23">
        <v>2.7701741440377798E-8</v>
      </c>
      <c r="HT23">
        <v>2.0101239669421486E-8</v>
      </c>
      <c r="HU23">
        <v>5.5035861865407318E-8</v>
      </c>
      <c r="HV23">
        <v>3.9176357733175914E-8</v>
      </c>
      <c r="HW23">
        <v>5.5450708382526562E-8</v>
      </c>
      <c r="HX23">
        <v>2.3312868949232587E-8</v>
      </c>
      <c r="HY23">
        <v>1.3454102715466351E-8</v>
      </c>
      <c r="HZ23">
        <v>2.1817148760330579E-8</v>
      </c>
      <c r="IA23">
        <v>1.5219451003541912E-8</v>
      </c>
      <c r="IB23">
        <v>1.523051948051948E-8</v>
      </c>
      <c r="IC23">
        <v>1.3341351829988194E-8</v>
      </c>
      <c r="ID23">
        <v>1.8991145218417945E-8</v>
      </c>
      <c r="IE23">
        <v>2.1166617473435653E-8</v>
      </c>
      <c r="IF23">
        <v>1.6978158205430936E-8</v>
      </c>
      <c r="IG23">
        <v>1.0470926800472255E-8</v>
      </c>
      <c r="IH23">
        <v>9.7288961038961023E-9</v>
      </c>
      <c r="II23">
        <v>1.2306965761511216E-8</v>
      </c>
      <c r="IJ23">
        <v>2.5019185360094447E-9</v>
      </c>
      <c r="IK23">
        <v>3.0765938606847697E-9</v>
      </c>
      <c r="IL23">
        <v>3.392266824085006E-9</v>
      </c>
      <c r="IM23">
        <v>6.3837072018890196E-9</v>
      </c>
      <c r="IN23">
        <v>6.196428571428571E-9</v>
      </c>
      <c r="IO23">
        <v>6.7092680047225504E-9</v>
      </c>
      <c r="IP23">
        <v>6.2888134592680047E-9</v>
      </c>
      <c r="IQ23">
        <v>6.2274203069657616E-9</v>
      </c>
      <c r="IR23">
        <v>5.9445100354191258E-9</v>
      </c>
      <c r="IS23">
        <v>7.8091794569067289E-9</v>
      </c>
      <c r="IT23">
        <v>6.0972550177095632E-9</v>
      </c>
      <c r="IU23">
        <v>9.4819952774498226E-10</v>
      </c>
      <c r="IV23">
        <v>1.6480224321133411E-9</v>
      </c>
      <c r="IW23">
        <v>6.326741440377803E-10</v>
      </c>
      <c r="IX23">
        <v>9.6148170011806369E-10</v>
      </c>
      <c r="IY23">
        <v>1.530253837072019E-9</v>
      </c>
      <c r="IZ23">
        <v>3.1493137544273915E-8</v>
      </c>
      <c r="JA23">
        <v>4.4268496654860292E-8</v>
      </c>
      <c r="JB23">
        <v>1.0020538173947266E-8</v>
      </c>
      <c r="JC23">
        <v>8.3542404565131834E-9</v>
      </c>
      <c r="JD23">
        <v>1.0213842975206612E-8</v>
      </c>
      <c r="JE23">
        <v>5.9532418339236528E-9</v>
      </c>
      <c r="JF23">
        <v>1.4736673553719008E-8</v>
      </c>
      <c r="JG23">
        <v>2.4953266430539157E-10</v>
      </c>
      <c r="JH23">
        <v>4.1344451003541909E-9</v>
      </c>
      <c r="JI23">
        <v>9.0023612750885474E-11</v>
      </c>
      <c r="JJ23">
        <v>8.7367178276269165E-11</v>
      </c>
      <c r="JK23">
        <v>8.6776859504132229E-11</v>
      </c>
      <c r="JL23">
        <v>1.4359504132231405E-10</v>
      </c>
      <c r="JM23">
        <v>5.367473435655253E-10</v>
      </c>
      <c r="JO23">
        <v>1.4794864226682408E-9</v>
      </c>
      <c r="JQ23">
        <v>2.1568772136953958E-9</v>
      </c>
      <c r="JR23">
        <v>3.3969893742621016E-9</v>
      </c>
      <c r="JS23">
        <v>3.5956316410861868E-9</v>
      </c>
      <c r="JT23">
        <v>4.5941558441558437E-10</v>
      </c>
      <c r="JU23">
        <v>1.9421487603305785E-10</v>
      </c>
      <c r="JV23">
        <v>2.6431523022432112E-10</v>
      </c>
      <c r="JZ23">
        <v>2.4927685950413221E-9</v>
      </c>
      <c r="KA23">
        <v>1.8670306965761515E-9</v>
      </c>
      <c r="KB23" s="42">
        <v>7.2638724911452183E-10</v>
      </c>
      <c r="KD23">
        <v>9.4169126328217222E-9</v>
      </c>
      <c r="KF23">
        <v>1.6974616292798111E-9</v>
      </c>
      <c r="KL23">
        <v>5.1165879574970479E-10</v>
      </c>
      <c r="KM23">
        <v>4.5764462809917352E-10</v>
      </c>
      <c r="KN23">
        <v>3.4560212514757971E-9</v>
      </c>
      <c r="KO23">
        <v>2.9527744982290441E-9</v>
      </c>
      <c r="KP23" s="42">
        <v>5.1741440377804026E-10</v>
      </c>
      <c r="KR23" s="42">
        <v>9.41559917355372E-8</v>
      </c>
      <c r="KS23">
        <v>4.0479634002361278E-9</v>
      </c>
      <c r="KT23">
        <v>2.1629279811097995E-9</v>
      </c>
      <c r="KU23">
        <v>2.4198642266824085E-9</v>
      </c>
      <c r="KV23">
        <v>4.0377804014167658E-9</v>
      </c>
      <c r="KW23">
        <v>3.0948937426210152E-9</v>
      </c>
      <c r="KX23">
        <v>8.8739669421487596E-10</v>
      </c>
    </row>
    <row r="24" spans="1:310" x14ac:dyDescent="0.35">
      <c r="A24">
        <v>7.8026847671823761E-9</v>
      </c>
      <c r="D24">
        <v>4.4672518883850843E-9</v>
      </c>
      <c r="E24">
        <v>3.5793946701367262E-9</v>
      </c>
      <c r="F24">
        <v>4.4656603389541653E-9</v>
      </c>
      <c r="H24">
        <v>1.0272837693229917E-7</v>
      </c>
      <c r="I24">
        <v>2.4489625821958766E-8</v>
      </c>
      <c r="M24">
        <v>1.0860505952386521E-8</v>
      </c>
      <c r="S24">
        <v>1.2804242535947396E-8</v>
      </c>
      <c r="T24">
        <v>1.397153036142424E-8</v>
      </c>
      <c r="U24">
        <v>1.096418402960067E-8</v>
      </c>
      <c r="X24">
        <v>3.0223017373300923E-9</v>
      </c>
      <c r="Y24">
        <v>2.3031993907441424E-10</v>
      </c>
      <c r="Z24">
        <v>2.0508251238412795E-10</v>
      </c>
      <c r="AA24">
        <v>3.7742457933220889E-11</v>
      </c>
      <c r="AB24">
        <v>2.0983442425644314E-9</v>
      </c>
      <c r="AN24">
        <v>6.9625740318615868E-9</v>
      </c>
      <c r="AO24">
        <v>1.254163687984577E-8</v>
      </c>
      <c r="AP24">
        <v>1.1166992899940626E-8</v>
      </c>
      <c r="AQ24">
        <v>7.14310121016868E-9</v>
      </c>
      <c r="AR24">
        <v>1.3565685256539905E-8</v>
      </c>
      <c r="AW24">
        <v>6.3118576788201511E-9</v>
      </c>
      <c r="AX24">
        <v>2.8093121097763698E-9</v>
      </c>
      <c r="AZ24">
        <v>1.4625429813327512E-8</v>
      </c>
      <c r="BB24">
        <v>3.2523994713442059E-8</v>
      </c>
      <c r="BE24">
        <v>9.9544595977848023E-9</v>
      </c>
      <c r="BF24">
        <v>1.2820158030256585E-8</v>
      </c>
      <c r="BG24">
        <v>1.4194802010161729E-8</v>
      </c>
      <c r="BH24">
        <v>1.1505538200317532E-8</v>
      </c>
      <c r="BI24">
        <v>1.378850217686856E-8</v>
      </c>
      <c r="BJ24">
        <v>1.4596554559366554E-8</v>
      </c>
      <c r="BK24">
        <v>1.7022075892087039E-8</v>
      </c>
      <c r="BL24">
        <v>2.1089621509107049E-8</v>
      </c>
      <c r="BM24">
        <v>1.8562241012807749E-8</v>
      </c>
      <c r="BN24">
        <v>1.0392817783900766E-9</v>
      </c>
      <c r="BO24">
        <v>1.2850624833648464E-9</v>
      </c>
      <c r="BP24">
        <v>2.0262697897642444E-9</v>
      </c>
      <c r="BQ24">
        <v>2.7213221626669932E-9</v>
      </c>
      <c r="BR24">
        <v>2.5019157054045949E-9</v>
      </c>
      <c r="BS24">
        <v>2.4307507094220755E-9</v>
      </c>
      <c r="BT24">
        <v>2.8927547727974065E-9</v>
      </c>
      <c r="BU24">
        <v>1.7673019609332894E-9</v>
      </c>
      <c r="BV24">
        <v>3.0375857710110306E-9</v>
      </c>
      <c r="BW24">
        <v>1.7120524592599599E-9</v>
      </c>
      <c r="BX24">
        <v>2.5251068542551279E-9</v>
      </c>
      <c r="BY24">
        <v>2.0385474568027621E-9</v>
      </c>
      <c r="BZ24">
        <v>4.8615014188441511E-9</v>
      </c>
      <c r="CA24">
        <v>4.184865546499179E-9</v>
      </c>
      <c r="CB24">
        <v>4.0816421976938641E-9</v>
      </c>
      <c r="CC24">
        <v>4.1607649408309779E-9</v>
      </c>
      <c r="CD24">
        <v>4.0980124204118872E-9</v>
      </c>
      <c r="CE24">
        <v>3.8911109943924232E-9</v>
      </c>
      <c r="CF24">
        <v>8.9642884875487954E-9</v>
      </c>
      <c r="CG24">
        <v>9.4797231389621199E-9</v>
      </c>
      <c r="CH24">
        <v>9.0368176687578167E-9</v>
      </c>
      <c r="CI24">
        <v>9.3901416424218243E-11</v>
      </c>
      <c r="CJ24">
        <v>1.3187123856185613E-10</v>
      </c>
      <c r="CK24">
        <v>2.4055132827317893E-10</v>
      </c>
      <c r="CO24">
        <v>1.3215771745942155E-8</v>
      </c>
      <c r="CP24">
        <v>1.0908025071109672E-8</v>
      </c>
      <c r="CQ24">
        <v>1.1024435543771172E-8</v>
      </c>
      <c r="CU24">
        <v>2.1444991760610808E-9</v>
      </c>
      <c r="CV24">
        <v>1.9976219000077037E-9</v>
      </c>
      <c r="CZ24">
        <v>7.6378457189800569E-9</v>
      </c>
      <c r="DA24">
        <v>7.6323889780740509E-9</v>
      </c>
      <c r="DB24">
        <v>7.9470610369871672E-9</v>
      </c>
      <c r="DC24">
        <v>7.4855117020206714E-9</v>
      </c>
      <c r="DD24">
        <v>8.0350509840965447E-9</v>
      </c>
      <c r="DE24">
        <v>7.5541756917546032E-9</v>
      </c>
      <c r="DF24">
        <v>4.2710365799732194E-9</v>
      </c>
      <c r="DG24">
        <v>4.5088595377933949E-9</v>
      </c>
      <c r="DH24">
        <v>4.4824852900810234E-9</v>
      </c>
      <c r="DY24">
        <v>1.6040436835891382E-9</v>
      </c>
      <c r="EB24">
        <v>2.4772727272727276E-9</v>
      </c>
      <c r="EC24">
        <v>4.9597107438016535E-9</v>
      </c>
      <c r="ED24">
        <v>3.7976682408500586E-9</v>
      </c>
      <c r="EE24">
        <v>7.666912632821723E-9</v>
      </c>
      <c r="EF24">
        <v>6.3605371900826442E-9</v>
      </c>
      <c r="EG24">
        <v>5.2303719008264467E-9</v>
      </c>
      <c r="ET24">
        <v>6.261658795749705E-9</v>
      </c>
      <c r="EU24">
        <v>6.530106257378985E-9</v>
      </c>
      <c r="EY24">
        <v>3.2737603305785124E-9</v>
      </c>
      <c r="EZ24">
        <v>5.7697756788665869E-9</v>
      </c>
      <c r="FE24">
        <v>7.1959858323494679E-10</v>
      </c>
      <c r="FF24">
        <v>1.0723140495867768E-9</v>
      </c>
      <c r="FG24">
        <v>1.3817886658795748E-9</v>
      </c>
      <c r="FJ24">
        <v>4.3131641086186542E-9</v>
      </c>
      <c r="FN24">
        <v>3.3335301062573792E-9</v>
      </c>
      <c r="FP24">
        <v>2.1064049586776859E-9</v>
      </c>
      <c r="FR24">
        <v>4.1183589138134599E-9</v>
      </c>
      <c r="FS24">
        <v>1.5512101534828809E-9</v>
      </c>
      <c r="FX24">
        <v>1.8667355371900829E-9</v>
      </c>
      <c r="FY24">
        <v>2.2864521841794573E-9</v>
      </c>
      <c r="FZ24">
        <v>6.3803128689492317E-9</v>
      </c>
      <c r="GA24">
        <v>4.8162632821723738E-9</v>
      </c>
      <c r="GB24">
        <v>8.9219303423848881E-9</v>
      </c>
      <c r="GC24">
        <v>5.9115997638724906E-9</v>
      </c>
      <c r="GD24">
        <v>6.8373671782762691E-9</v>
      </c>
      <c r="GE24">
        <v>5.2446871310507674E-9</v>
      </c>
      <c r="GF24">
        <v>9.4954250295159365E-9</v>
      </c>
      <c r="GP24">
        <v>1.5789108618654072E-8</v>
      </c>
      <c r="GQ24">
        <v>1.7240850059031881E-8</v>
      </c>
      <c r="GT24">
        <v>2.6594746162927978E-8</v>
      </c>
      <c r="GU24">
        <v>1.9785419126328217E-8</v>
      </c>
      <c r="GV24">
        <v>1.415363046044864E-8</v>
      </c>
      <c r="GW24">
        <v>1.3113046044864226E-8</v>
      </c>
      <c r="GX24">
        <v>1.3474025974025974E-9</v>
      </c>
      <c r="GY24">
        <v>1.5667060212514758E-9</v>
      </c>
      <c r="GZ24">
        <v>1.6773907910271546E-9</v>
      </c>
      <c r="HA24">
        <v>5.1906729634002365E-9</v>
      </c>
      <c r="HB24">
        <v>5.6291322314049586E-9</v>
      </c>
      <c r="HC24">
        <v>6.3472550177095621E-9</v>
      </c>
      <c r="HD24">
        <v>1.3807998819362455E-8</v>
      </c>
      <c r="HE24">
        <v>1.5063164108618655E-8</v>
      </c>
      <c r="HF24">
        <v>1.5439049586776859E-8</v>
      </c>
      <c r="HG24">
        <v>1.8276564344746164E-8</v>
      </c>
      <c r="HH24">
        <v>2.4802833530106259E-8</v>
      </c>
      <c r="HI24">
        <v>2.3525531286894921E-8</v>
      </c>
      <c r="HO24">
        <v>1.7702184179456908E-8</v>
      </c>
      <c r="HP24">
        <v>2.0091942148760334E-8</v>
      </c>
      <c r="HR24">
        <v>2.4815230224321133E-8</v>
      </c>
      <c r="HS24">
        <v>2.9990850059031876E-8</v>
      </c>
      <c r="HT24">
        <v>2.1352567886658797E-8</v>
      </c>
      <c r="HV24">
        <v>4.1670011806375441E-8</v>
      </c>
      <c r="HX24">
        <v>2.6243801652892562E-8</v>
      </c>
      <c r="HY24">
        <v>1.4567001180637543E-8</v>
      </c>
      <c r="IB24">
        <v>1.6262544273907908E-8</v>
      </c>
      <c r="IC24">
        <v>1.426357733175915E-8</v>
      </c>
      <c r="ID24">
        <v>2.1253541912632822E-8</v>
      </c>
      <c r="IE24">
        <v>2.2324232585596225E-8</v>
      </c>
      <c r="IF24">
        <v>1.8006788665879578E-8</v>
      </c>
      <c r="IG24">
        <v>1.0536304604486424E-8</v>
      </c>
      <c r="IH24">
        <v>1.0383116883116883E-8</v>
      </c>
      <c r="II24">
        <v>1.3005755608028336E-8</v>
      </c>
      <c r="IJ24">
        <v>2.6385773317591498E-9</v>
      </c>
      <c r="IK24">
        <v>3.2662337662337659E-9</v>
      </c>
      <c r="IL24">
        <v>3.5841204250295158E-9</v>
      </c>
      <c r="IM24">
        <v>6.7417355371900827E-9</v>
      </c>
      <c r="IN24">
        <v>6.4151416765053123E-9</v>
      </c>
      <c r="IO24">
        <v>7.0947461629279811E-9</v>
      </c>
      <c r="IP24">
        <v>6.7225501770956308E-9</v>
      </c>
      <c r="IQ24">
        <v>6.5492916174734343E-9</v>
      </c>
      <c r="IR24">
        <v>6.2427685950413218E-9</v>
      </c>
      <c r="IS24">
        <v>8.6350354191263271E-9</v>
      </c>
      <c r="IT24">
        <v>1.0287485242030697E-8</v>
      </c>
      <c r="IU24">
        <v>1.0975501770956317E-9</v>
      </c>
      <c r="IV24">
        <v>1.8056375442739078E-9</v>
      </c>
      <c r="IW24">
        <v>6.8654073199527755E-10</v>
      </c>
      <c r="IX24">
        <v>1.0371900826446281E-9</v>
      </c>
      <c r="IY24">
        <v>1.7001180637544274E-9</v>
      </c>
      <c r="IZ24">
        <v>3.3047274695001968E-8</v>
      </c>
      <c r="JA24">
        <v>4.6753123770169232E-8</v>
      </c>
      <c r="JB24">
        <v>1.2654589728453367E-8</v>
      </c>
      <c r="JC24">
        <v>8.9739521841794572E-9</v>
      </c>
      <c r="JD24">
        <v>1.0671177685950414E-8</v>
      </c>
      <c r="JE24">
        <v>5.4726239669421492E-9</v>
      </c>
      <c r="JF24">
        <v>1.4876652892561982E-8</v>
      </c>
      <c r="JG24">
        <v>2.9589728453364817E-10</v>
      </c>
      <c r="JH24">
        <v>4.2345041322314047E-9</v>
      </c>
      <c r="JI24">
        <v>5.7703659976387249E-11</v>
      </c>
      <c r="JJ24">
        <v>1.4315230224321133E-10</v>
      </c>
      <c r="JK24">
        <v>9.282762691853602E-11</v>
      </c>
      <c r="JL24">
        <v>1.9421487603305785E-10</v>
      </c>
      <c r="JM24">
        <v>5.8884297520661154E-10</v>
      </c>
      <c r="JO24">
        <v>1.5485537190082646E-9</v>
      </c>
      <c r="JQ24">
        <v>4.2799586776859503E-9</v>
      </c>
      <c r="JR24">
        <v>3.0647874852420306E-9</v>
      </c>
      <c r="JS24">
        <v>3.1437426210153483E-9</v>
      </c>
      <c r="JT24">
        <v>6.8683589138134589E-10</v>
      </c>
      <c r="JU24">
        <v>3.7559031877213695E-10</v>
      </c>
      <c r="JV24">
        <v>2.8468122786304604E-10</v>
      </c>
      <c r="KB24" s="42">
        <v>7.590023612750885E-10</v>
      </c>
      <c r="KD24">
        <v>9.0814639905549004E-9</v>
      </c>
      <c r="KL24">
        <v>5.6729634002361273E-10</v>
      </c>
      <c r="KM24">
        <v>5.1815230224321128E-10</v>
      </c>
      <c r="KN24">
        <v>3.5613931523022426E-9</v>
      </c>
      <c r="KO24">
        <v>2.9579397874852422E-9</v>
      </c>
      <c r="KP24" s="42">
        <v>5.2603305785123962E-9</v>
      </c>
      <c r="KR24" s="42">
        <v>1.0219391971664697E-7</v>
      </c>
      <c r="KS24">
        <v>4.226534828807556E-9</v>
      </c>
      <c r="KT24">
        <v>2.1645513577331758E-9</v>
      </c>
      <c r="KU24">
        <v>3.055342384887839E-9</v>
      </c>
      <c r="KV24">
        <v>4.7263872491145211E-9</v>
      </c>
      <c r="KW24">
        <v>4.4784533648170003E-9</v>
      </c>
      <c r="KX24">
        <v>9.8981700118063724E-10</v>
      </c>
    </row>
    <row r="25" spans="1:310" x14ac:dyDescent="0.35">
      <c r="A25">
        <v>7.8990871898551838E-9</v>
      </c>
      <c r="D25">
        <v>4.9626784898097143E-9</v>
      </c>
      <c r="E25">
        <v>4.001837361943499E-9</v>
      </c>
      <c r="F25">
        <v>6.2347812135227923E-9</v>
      </c>
      <c r="I25">
        <v>5.8062906338785245E-8</v>
      </c>
      <c r="M25">
        <v>1.2211504055032296E-8</v>
      </c>
      <c r="S25">
        <v>1.3289210383968844E-8</v>
      </c>
      <c r="T25">
        <v>1.4826874498440967E-8</v>
      </c>
      <c r="U25">
        <v>1.1460974816251799E-8</v>
      </c>
      <c r="X25">
        <v>3.18115041857953E-9</v>
      </c>
      <c r="Y25">
        <v>2.8306843449915671E-10</v>
      </c>
      <c r="Z25">
        <v>2.9057145324491747E-10</v>
      </c>
      <c r="AA25">
        <v>3.9334007364139841E-11</v>
      </c>
      <c r="AB25">
        <v>3.4422940548732793E-9</v>
      </c>
      <c r="AN25">
        <v>7.6535338490848286E-9</v>
      </c>
      <c r="AO25">
        <v>1.3482015229314455E-8</v>
      </c>
      <c r="AP25">
        <v>1.215147990506621E-8</v>
      </c>
      <c r="AQ25">
        <v>9.1977915254850496E-9</v>
      </c>
      <c r="AR25">
        <v>1.9209774266987348E-8</v>
      </c>
      <c r="AW25">
        <v>6.9809905324193631E-9</v>
      </c>
      <c r="AX25">
        <v>3.213793029434201E-9</v>
      </c>
      <c r="AZ25">
        <v>1.4310075661801143E-8</v>
      </c>
      <c r="BB25">
        <v>3.4101447563687161E-8</v>
      </c>
      <c r="BE25">
        <v>1.0810940555823616E-8</v>
      </c>
      <c r="BF25">
        <v>1.3633212425251753E-8</v>
      </c>
      <c r="BG25">
        <v>1.5173832274381298E-8</v>
      </c>
      <c r="BH25">
        <v>1.252026464463057E-8</v>
      </c>
      <c r="BI25">
        <v>1.473160889679025E-8</v>
      </c>
      <c r="BJ25">
        <v>1.5529202525885062E-8</v>
      </c>
      <c r="BK25">
        <v>1.7735772129751982E-8</v>
      </c>
      <c r="BL25">
        <v>2.1852428414926061E-8</v>
      </c>
      <c r="BM25">
        <v>1.9307086146477821E-8</v>
      </c>
      <c r="BN25">
        <v>1.1938894373936319E-9</v>
      </c>
      <c r="BO25">
        <v>1.4017003202307638E-9</v>
      </c>
      <c r="BP25">
        <v>2.1156239221001229E-9</v>
      </c>
      <c r="BQ25">
        <v>2.8152235790912109E-9</v>
      </c>
      <c r="BR25">
        <v>2.5728533371826967E-9</v>
      </c>
      <c r="BS25">
        <v>2.6567507286125672E-9</v>
      </c>
      <c r="BT25">
        <v>3.0532739011158031E-9</v>
      </c>
      <c r="BU25">
        <v>1.8571108216780016E-9</v>
      </c>
      <c r="BV25">
        <v>3.1298956380043301E-9</v>
      </c>
      <c r="BW25">
        <v>1.7720766092260459E-9</v>
      </c>
      <c r="BX25">
        <v>2.6069579678452455E-9</v>
      </c>
      <c r="BY25">
        <v>2.0967526931335124E-9</v>
      </c>
      <c r="BZ25">
        <v>4.5561512923121294E-9</v>
      </c>
      <c r="CA25">
        <v>4.2817226975808177E-9</v>
      </c>
      <c r="CB25">
        <v>4.2185154487528944E-9</v>
      </c>
      <c r="CC25">
        <v>4.3478856810661636E-9</v>
      </c>
      <c r="CD25">
        <v>5.0627187397531902E-9</v>
      </c>
      <c r="CE25">
        <v>4.0941472289367985E-9</v>
      </c>
      <c r="CF25">
        <v>9.0741053982822052E-9</v>
      </c>
      <c r="CG25">
        <v>9.6052281798002997E-9</v>
      </c>
      <c r="CH25">
        <v>9.2337150697829337E-9</v>
      </c>
      <c r="CI25">
        <v>6.8209261325098004E-11</v>
      </c>
      <c r="CJ25">
        <v>9.4583509037469228E-11</v>
      </c>
      <c r="CK25">
        <v>1.2391349140726136E-10</v>
      </c>
      <c r="CP25">
        <v>1.1124021065305816E-8</v>
      </c>
      <c r="CQ25">
        <v>1.1114017040311469E-8</v>
      </c>
      <c r="CU25">
        <v>2.2274871106732835E-9</v>
      </c>
      <c r="CV25">
        <v>2.0528714016810326E-9</v>
      </c>
      <c r="CZ25">
        <v>7.847930243861359E-9</v>
      </c>
      <c r="DA25">
        <v>7.7776747046965056E-9</v>
      </c>
      <c r="DB25">
        <v>8.231721020917243E-9</v>
      </c>
      <c r="DC25">
        <v>7.854069077380618E-9</v>
      </c>
      <c r="DD25">
        <v>8.4877331150907793E-9</v>
      </c>
      <c r="DE25">
        <v>7.8602079108998754E-9</v>
      </c>
      <c r="DF25">
        <v>4.5022659758653016E-9</v>
      </c>
      <c r="DG25">
        <v>4.6609661905483625E-9</v>
      </c>
      <c r="DH25">
        <v>4.6511895297584328E-9</v>
      </c>
      <c r="DY25">
        <v>1.6803423848878393E-9</v>
      </c>
      <c r="EB25">
        <v>2.6506788665879572E-9</v>
      </c>
      <c r="EC25">
        <v>5.2349468713105084E-9</v>
      </c>
      <c r="ED25">
        <v>4.0988783943329394E-9</v>
      </c>
      <c r="EE25">
        <v>7.80711334120425E-9</v>
      </c>
      <c r="EF25">
        <v>6.7756788665879574E-9</v>
      </c>
      <c r="EG25">
        <v>5.5078217237308149E-9</v>
      </c>
      <c r="ET25">
        <v>7.0011806375442736E-9</v>
      </c>
      <c r="EU25">
        <v>6.924734356552539E-9</v>
      </c>
      <c r="EY25">
        <v>3.6128984651711924E-9</v>
      </c>
      <c r="EZ25">
        <v>7.7792207792207803E-9</v>
      </c>
      <c r="FE25">
        <v>8.3943329397874861E-10</v>
      </c>
      <c r="FF25">
        <v>1.1658795749704841E-9</v>
      </c>
      <c r="FG25">
        <v>1.5565230224321134E-9</v>
      </c>
      <c r="FJ25">
        <v>5.3965466351829988E-9</v>
      </c>
      <c r="FN25">
        <v>4.5249409681227871E-9</v>
      </c>
      <c r="FP25">
        <v>2.3561097992916174E-9</v>
      </c>
      <c r="FR25">
        <v>4.6092089728453369E-9</v>
      </c>
      <c r="FS25">
        <v>1.7539846517119243E-9</v>
      </c>
      <c r="FX25">
        <v>2.0494391971664697E-9</v>
      </c>
      <c r="FY25">
        <v>3.744687131050768E-9</v>
      </c>
      <c r="FZ25">
        <v>7.3311688311688302E-9</v>
      </c>
      <c r="GA25">
        <v>5.2058736717827615E-9</v>
      </c>
      <c r="GC25">
        <v>6.3400236127508859E-9</v>
      </c>
      <c r="GD25">
        <v>7.4732880755608026E-9</v>
      </c>
      <c r="GE25">
        <v>5.5222845336481707E-9</v>
      </c>
      <c r="GF25">
        <v>9.9856847697756787E-9</v>
      </c>
      <c r="GP25">
        <v>1.6745572609208978E-8</v>
      </c>
      <c r="GQ25">
        <v>1.8184179456906731E-8</v>
      </c>
      <c r="GT25">
        <v>2.7827479338842973E-8</v>
      </c>
      <c r="GU25">
        <v>2.1090023612750886E-8</v>
      </c>
      <c r="GV25">
        <v>1.4899350649350648E-8</v>
      </c>
      <c r="GW25">
        <v>1.3910566706021252E-8</v>
      </c>
      <c r="GX25">
        <v>1.390495867768595E-9</v>
      </c>
      <c r="GY25">
        <v>1.665879574970484E-9</v>
      </c>
      <c r="GZ25">
        <v>1.8558146399055488E-9</v>
      </c>
      <c r="HA25">
        <v>5.4115997638724903E-9</v>
      </c>
      <c r="HB25">
        <v>5.9791912632821713E-9</v>
      </c>
      <c r="HC25">
        <v>6.7042502951593858E-9</v>
      </c>
      <c r="HD25">
        <v>1.4619687131050768E-8</v>
      </c>
      <c r="HE25">
        <v>1.5839876033057848E-8</v>
      </c>
      <c r="HF25">
        <v>1.6185360094451004E-8</v>
      </c>
      <c r="HG25">
        <v>1.9156729634002361E-8</v>
      </c>
      <c r="HO25">
        <v>1.8828069657615112E-8</v>
      </c>
      <c r="HP25">
        <v>2.1239669421487602E-8</v>
      </c>
      <c r="HR25">
        <v>2.6747195985832352E-8</v>
      </c>
      <c r="HT25">
        <v>2.2556965761511217E-8</v>
      </c>
      <c r="HY25">
        <v>1.5712514757969303E-8</v>
      </c>
      <c r="IB25">
        <v>1.7312573789846511E-8</v>
      </c>
      <c r="IC25">
        <v>1.5323789846517118E-8</v>
      </c>
      <c r="ID25">
        <v>2.4040731995277448E-8</v>
      </c>
      <c r="IE25">
        <v>2.3401416765053127E-8</v>
      </c>
      <c r="IF25">
        <v>1.8997786304604486E-8</v>
      </c>
      <c r="IG25">
        <v>1.1042650531286893E-8</v>
      </c>
      <c r="IH25">
        <v>1.0610389610389609E-8</v>
      </c>
      <c r="II25">
        <v>1.1229634002361274E-8</v>
      </c>
      <c r="IJ25">
        <v>2.8840023612750883E-9</v>
      </c>
      <c r="IK25">
        <v>3.4377213695395513E-9</v>
      </c>
      <c r="IL25">
        <v>3.7321428571428568E-9</v>
      </c>
      <c r="IM25">
        <v>7.0441263282172373E-9</v>
      </c>
      <c r="IN25">
        <v>6.6949527744982281E-9</v>
      </c>
      <c r="IO25">
        <v>7.4031877213695391E-9</v>
      </c>
      <c r="IP25">
        <v>7.1059622195985826E-9</v>
      </c>
      <c r="IQ25">
        <v>7.0175619834710732E-9</v>
      </c>
      <c r="IR25">
        <v>6.5677390791027145E-9</v>
      </c>
      <c r="IU25">
        <v>1.1407910271546637E-9</v>
      </c>
      <c r="IV25">
        <v>1.9878984651711923E-9</v>
      </c>
      <c r="IW25">
        <v>7.8187721369539544E-10</v>
      </c>
      <c r="IX25">
        <v>1.1124557260920895E-9</v>
      </c>
      <c r="IY25">
        <v>1.8462219598583233E-9</v>
      </c>
      <c r="IZ25">
        <v>3.4559720582447856E-8</v>
      </c>
      <c r="JA25">
        <v>4.897419815033452E-8</v>
      </c>
      <c r="JB25">
        <v>1.3747663321526957E-8</v>
      </c>
      <c r="JC25">
        <v>9.6685606060606061E-9</v>
      </c>
      <c r="JD25">
        <v>1.1175723140495867E-8</v>
      </c>
      <c r="JE25">
        <v>5.2191558441558452E-9</v>
      </c>
      <c r="JF25">
        <v>1.5170144628099176E-8</v>
      </c>
      <c r="JG25">
        <v>3.5701987406532865E-10</v>
      </c>
      <c r="JH25">
        <v>4.3497638724911452E-9</v>
      </c>
      <c r="JI25">
        <v>1.0109208972845336E-10</v>
      </c>
      <c r="JJ25">
        <v>1.3016528925619835E-10</v>
      </c>
      <c r="JK25">
        <v>9.2384887839433295E-11</v>
      </c>
      <c r="JL25">
        <v>1.2618063754427393E-10</v>
      </c>
      <c r="JM25">
        <v>7.1959858323494679E-10</v>
      </c>
      <c r="JO25">
        <v>1.6629279811097991E-9</v>
      </c>
      <c r="JQ25">
        <v>3.3748524203069657E-9</v>
      </c>
      <c r="JR25">
        <v>3.1350354191263279E-9</v>
      </c>
      <c r="JS25">
        <v>3.4498229043683587E-9</v>
      </c>
      <c r="JT25">
        <v>8.5979929161747332E-10</v>
      </c>
      <c r="JU25">
        <v>5.1224911452184179E-10</v>
      </c>
      <c r="JV25">
        <v>3.6068476977567884E-10</v>
      </c>
      <c r="KB25" s="42">
        <v>7.9619244391971655E-10</v>
      </c>
      <c r="KD25">
        <v>9.0869244391971673E-9</v>
      </c>
      <c r="KL25">
        <v>6.2352420306965767E-10</v>
      </c>
      <c r="KM25">
        <v>5.8102125147579683E-10</v>
      </c>
      <c r="KR25" s="42">
        <v>1.1322491145218418E-7</v>
      </c>
      <c r="KS25">
        <v>4.6106847697756794E-9</v>
      </c>
      <c r="KT25">
        <v>2.3211334120425028E-9</v>
      </c>
      <c r="KU25">
        <v>2.3614226682408495E-9</v>
      </c>
      <c r="KV25">
        <v>5.3034238488783942E-9</v>
      </c>
      <c r="KW25">
        <v>7.426652892561984E-9</v>
      </c>
      <c r="KX25">
        <v>1.0754132231404958E-9</v>
      </c>
    </row>
    <row r="26" spans="1:310" x14ac:dyDescent="0.35">
      <c r="D26">
        <v>5.4706101224772762E-9</v>
      </c>
      <c r="E26">
        <v>4.5379621559587703E-9</v>
      </c>
      <c r="F26">
        <v>7.7394775183544519E-9</v>
      </c>
      <c r="I26">
        <v>1.6571417302512116E-7</v>
      </c>
      <c r="M26">
        <v>1.7886059868871615E-8</v>
      </c>
      <c r="T26">
        <v>1.6537108044065591E-8</v>
      </c>
      <c r="U26">
        <v>1.2825842135367011E-8</v>
      </c>
      <c r="X26">
        <v>3.3129804662885941E-9</v>
      </c>
      <c r="Y26">
        <v>4.0834611113291999E-10</v>
      </c>
      <c r="Z26">
        <v>3.1853725038820762E-10</v>
      </c>
      <c r="AA26">
        <v>9.0490953357963344E-11</v>
      </c>
      <c r="AN26">
        <v>8.3544976913024189E-9</v>
      </c>
      <c r="AO26">
        <v>1.4433761789003989E-8</v>
      </c>
      <c r="AP26">
        <v>1.3055934710237007E-8</v>
      </c>
      <c r="AQ26">
        <v>1.2032113697747287E-8</v>
      </c>
      <c r="AW26">
        <v>7.2979362333766523E-9</v>
      </c>
      <c r="AX26">
        <v>3.6892115808701331E-9</v>
      </c>
      <c r="AZ26">
        <v>1.4169791947675859E-8</v>
      </c>
      <c r="BB26">
        <v>3.5663212283827487E-8</v>
      </c>
      <c r="BE26">
        <v>1.1657190124663666E-8</v>
      </c>
      <c r="BF26">
        <v>1.4560631015068667E-8</v>
      </c>
      <c r="BG26">
        <v>1.6111482253396983E-8</v>
      </c>
      <c r="BH26">
        <v>1.3486789877607209E-8</v>
      </c>
      <c r="BI26">
        <v>1.5785896712671843E-8</v>
      </c>
      <c r="BJ26">
        <v>1.632338569191362E-8</v>
      </c>
      <c r="BK26">
        <v>1.8502216862841664E-8</v>
      </c>
      <c r="BL26">
        <v>2.3008348030182059E-8</v>
      </c>
      <c r="BM26">
        <v>2.0003047976198234E-8</v>
      </c>
      <c r="BN26">
        <v>1.2755131867793326E-9</v>
      </c>
      <c r="BO26">
        <v>1.5260685400468594E-9</v>
      </c>
      <c r="BP26">
        <v>2.3236621691416721E-9</v>
      </c>
      <c r="BQ26">
        <v>2.938454977885222E-9</v>
      </c>
      <c r="BR26">
        <v>2.7513342376500362E-9</v>
      </c>
      <c r="BS26">
        <v>2.7040424831313021E-9</v>
      </c>
      <c r="BT26">
        <v>3.2299358879478077E-9</v>
      </c>
      <c r="BU26">
        <v>1.9985313568253718E-9</v>
      </c>
      <c r="BV26">
        <v>3.2906421305271443E-9</v>
      </c>
      <c r="BW26">
        <v>1.9082677676718252E-9</v>
      </c>
      <c r="BX26">
        <v>2.8290927955606481E-9</v>
      </c>
      <c r="BY26">
        <v>2.1574589357128494E-9</v>
      </c>
      <c r="BZ26">
        <v>4.5995778553557754E-9</v>
      </c>
      <c r="CA26">
        <v>4.3228756185802948E-9</v>
      </c>
      <c r="CB26">
        <v>4.1798635340020056E-9</v>
      </c>
      <c r="CC26">
        <v>4.750547687088659E-9</v>
      </c>
      <c r="CD26">
        <v>5.7639099461751985E-9</v>
      </c>
      <c r="CE26">
        <v>4.4536100361200651E-9</v>
      </c>
      <c r="CF26">
        <v>9.1725540987947604E-9</v>
      </c>
      <c r="CG26">
        <v>9.6888982070257534E-9</v>
      </c>
      <c r="CH26">
        <v>9.3101094424670428E-9</v>
      </c>
      <c r="CI26">
        <v>1.1641047266150059E-10</v>
      </c>
      <c r="CJ26">
        <v>1.4255735616945479E-10</v>
      </c>
      <c r="CK26">
        <v>1.9553321579861426E-10</v>
      </c>
      <c r="CP26">
        <v>1.1538506009957995E-8</v>
      </c>
      <c r="CQ26">
        <v>1.1534186090074073E-8</v>
      </c>
      <c r="CU26">
        <v>2.2945595509762967E-9</v>
      </c>
      <c r="CV26">
        <v>2.2352174936234616E-9</v>
      </c>
      <c r="CZ26">
        <v>8.1448678948299528E-9</v>
      </c>
      <c r="DA26">
        <v>8.0184533971741045E-9</v>
      </c>
      <c r="DB26">
        <v>8.4784111827096805E-9</v>
      </c>
      <c r="DC26">
        <v>8.2376324902320849E-9</v>
      </c>
      <c r="DD26">
        <v>8.8415118171636211E-9</v>
      </c>
      <c r="DE26">
        <v>8.1751073340174121E-9</v>
      </c>
      <c r="DF26">
        <v>4.7632800825360105E-9</v>
      </c>
      <c r="DG26">
        <v>4.7448635819782334E-9</v>
      </c>
      <c r="DH26">
        <v>4.7803323978672849E-9</v>
      </c>
      <c r="DY26">
        <v>1.8187721369539549E-9</v>
      </c>
      <c r="EB26">
        <v>2.8013577331759152E-9</v>
      </c>
      <c r="EC26">
        <v>5.5255312868949234E-9</v>
      </c>
      <c r="ED26">
        <v>4.3203955135773321E-9</v>
      </c>
      <c r="EE26">
        <v>8.1573199527744979E-9</v>
      </c>
      <c r="EF26">
        <v>7.2529515938606845E-9</v>
      </c>
      <c r="EG26">
        <v>5.854338842975207E-9</v>
      </c>
      <c r="EU26">
        <v>7.5864817001180624E-9</v>
      </c>
      <c r="EY26">
        <v>3.9391971664698936E-9</v>
      </c>
      <c r="EZ26">
        <v>9.6580578512396681E-9</v>
      </c>
      <c r="FE26">
        <v>9.3388429752066116E-10</v>
      </c>
      <c r="FF26">
        <v>1.2905844155844155E-9</v>
      </c>
      <c r="FG26">
        <v>1.7020365997638724E-9</v>
      </c>
      <c r="FP26">
        <v>2.6049291617473429E-9</v>
      </c>
      <c r="FR26">
        <v>5.1067001180637537E-9</v>
      </c>
      <c r="FS26">
        <v>2.0203659976387249E-9</v>
      </c>
      <c r="FX26">
        <v>2.2865997638724912E-9</v>
      </c>
      <c r="GA26">
        <v>5.7564935064935065E-9</v>
      </c>
      <c r="GC26">
        <v>6.9065820543093275E-9</v>
      </c>
      <c r="GD26">
        <v>8.2764167650531275E-9</v>
      </c>
      <c r="GE26">
        <v>5.7622491145218411E-9</v>
      </c>
      <c r="GF26">
        <v>1.0405844155844155E-8</v>
      </c>
      <c r="GP26">
        <v>1.7704250295159385E-8</v>
      </c>
      <c r="GQ26">
        <v>1.9130608028335295E-8</v>
      </c>
      <c r="GT26">
        <v>2.8972255017709561E-8</v>
      </c>
      <c r="GU26">
        <v>2.2386363636363637E-8</v>
      </c>
      <c r="GV26">
        <v>1.5794716646989374E-8</v>
      </c>
      <c r="GW26">
        <v>1.459755017709563E-8</v>
      </c>
      <c r="GX26">
        <v>1.4663518299881937E-9</v>
      </c>
      <c r="GY26">
        <v>1.7603305785123967E-9</v>
      </c>
      <c r="GZ26">
        <v>1.8795749704840615E-9</v>
      </c>
      <c r="HA26">
        <v>5.6700118063754426E-9</v>
      </c>
      <c r="HB26">
        <v>6.2272727272727273E-9</v>
      </c>
      <c r="HC26">
        <v>7.1093565525383705E-9</v>
      </c>
      <c r="HD26">
        <v>1.5377656434474615E-8</v>
      </c>
      <c r="HE26">
        <v>1.6662632821723729E-8</v>
      </c>
      <c r="HF26">
        <v>1.6893447461629282E-8</v>
      </c>
      <c r="HG26">
        <v>1.9895808736717831E-8</v>
      </c>
      <c r="HO26">
        <v>1.9964285714285713E-8</v>
      </c>
      <c r="HP26">
        <v>2.2382231404958672E-8</v>
      </c>
      <c r="HT26">
        <v>2.371325265643447E-8</v>
      </c>
      <c r="HY26">
        <v>1.6918536009445097E-8</v>
      </c>
      <c r="IB26">
        <v>1.8396841794569065E-8</v>
      </c>
      <c r="IC26">
        <v>1.637012987012987E-8</v>
      </c>
      <c r="ID26">
        <v>2.6999557260920897E-8</v>
      </c>
      <c r="IE26">
        <v>2.4627213695395512E-8</v>
      </c>
      <c r="IF26">
        <v>2.0068181818181817E-8</v>
      </c>
      <c r="IG26">
        <v>1.1367916174734357E-8</v>
      </c>
      <c r="IH26">
        <v>1.0323199527744983E-8</v>
      </c>
      <c r="II26">
        <v>1.2140938606847697E-8</v>
      </c>
      <c r="IJ26">
        <v>2.9802243211334121E-9</v>
      </c>
      <c r="IK26">
        <v>3.6078807556080281E-9</v>
      </c>
      <c r="IL26">
        <v>3.8662927981109804E-9</v>
      </c>
      <c r="IM26">
        <v>7.3770661157024796E-9</v>
      </c>
      <c r="IN26">
        <v>6.913665879574971E-9</v>
      </c>
      <c r="IO26">
        <v>7.7436540731995288E-9</v>
      </c>
      <c r="IP26">
        <v>7.5489964580873663E-9</v>
      </c>
      <c r="IQ26">
        <v>7.4651711924439195E-9</v>
      </c>
      <c r="IR26">
        <v>6.8189197166469897E-9</v>
      </c>
      <c r="IU26">
        <v>1.3016528925619835E-9</v>
      </c>
      <c r="IV26">
        <v>2.1199822904368358E-9</v>
      </c>
      <c r="IW26">
        <v>8.4799291617473434E-10</v>
      </c>
      <c r="IX26">
        <v>1.2550177095631641E-9</v>
      </c>
      <c r="IY26">
        <v>1.9780106257378985E-9</v>
      </c>
      <c r="IZ26">
        <v>3.6143127705627711E-8</v>
      </c>
      <c r="JA26">
        <v>5.1039084022038578E-8</v>
      </c>
      <c r="JB26">
        <v>1.3620621802439986E-8</v>
      </c>
      <c r="JC26">
        <v>1.0521448248720977E-8</v>
      </c>
      <c r="JD26">
        <v>1.1947830578512397E-8</v>
      </c>
      <c r="JE26">
        <v>6.3359651711924451E-9</v>
      </c>
      <c r="JF26">
        <v>1.5262396694214878E-8</v>
      </c>
      <c r="JG26">
        <v>4.0240062967335696E-10</v>
      </c>
      <c r="JH26">
        <v>4.4192739079102705E-9</v>
      </c>
      <c r="JI26">
        <v>1.5820543093270366E-10</v>
      </c>
      <c r="JJ26">
        <v>1.3828217237308144E-10</v>
      </c>
      <c r="JK26">
        <v>1.3916765053128689E-10</v>
      </c>
      <c r="JL26">
        <v>1.6499409681227862E-10</v>
      </c>
      <c r="JM26">
        <v>7.5988783943329395E-10</v>
      </c>
      <c r="JO26">
        <v>1.8394332939787484E-9</v>
      </c>
      <c r="JQ26">
        <v>3.3732290436835893E-9</v>
      </c>
      <c r="JR26">
        <v>2.7288961038961038E-9</v>
      </c>
      <c r="JS26">
        <v>5.2209268004722547E-9</v>
      </c>
      <c r="JT26">
        <v>1.1517119244391973E-9</v>
      </c>
      <c r="JU26">
        <v>7.3258559622195977E-10</v>
      </c>
      <c r="JV26">
        <v>4.6177685950413221E-10</v>
      </c>
      <c r="KB26" s="42">
        <v>8.5729043683589141E-10</v>
      </c>
      <c r="KD26">
        <v>9.7011511216056669E-9</v>
      </c>
      <c r="KM26">
        <v>4.8819362455726085E-10</v>
      </c>
      <c r="KR26" s="42">
        <v>1.1609282762691853E-7</v>
      </c>
      <c r="KS26">
        <v>5.4746162927981101E-9</v>
      </c>
      <c r="KT26">
        <v>2.8327922077922076E-9</v>
      </c>
      <c r="KU26">
        <v>2.3407615112160568E-9</v>
      </c>
      <c r="KV26">
        <v>6.2895513577331756E-9</v>
      </c>
      <c r="KW26">
        <v>8.5743801652892555E-8</v>
      </c>
      <c r="KX26">
        <v>1.0554899645808736E-9</v>
      </c>
    </row>
    <row r="27" spans="1:310" x14ac:dyDescent="0.35">
      <c r="D27">
        <v>6.2593365475998268E-9</v>
      </c>
      <c r="E27">
        <v>5.2853082958774266E-9</v>
      </c>
      <c r="F27">
        <v>7.940012746650243E-9</v>
      </c>
      <c r="X27">
        <v>3.4495094067872893E-9</v>
      </c>
      <c r="Y27">
        <v>3.292233679958063E-10</v>
      </c>
      <c r="Z27">
        <v>3.4582095491824686E-10</v>
      </c>
      <c r="AA27">
        <v>1.1550101584383261E-10</v>
      </c>
      <c r="AN27">
        <v>9.0311335636473902E-9</v>
      </c>
      <c r="AO27">
        <v>1.5373685410063835E-8</v>
      </c>
      <c r="AP27">
        <v>1.3960844243816641E-8</v>
      </c>
      <c r="AQ27">
        <v>1.572973775418085E-8</v>
      </c>
      <c r="AW27">
        <v>7.7606223893652329E-9</v>
      </c>
      <c r="AX27">
        <v>4.0761854567878565E-9</v>
      </c>
      <c r="AZ27">
        <v>1.4584504256532455E-8</v>
      </c>
      <c r="BB27">
        <v>3.7333429729474722E-8</v>
      </c>
      <c r="BE27">
        <v>1.2307451749296264E-8</v>
      </c>
      <c r="BF27">
        <v>1.5271826246485026E-8</v>
      </c>
      <c r="BG27">
        <v>1.6907029604652041E-8</v>
      </c>
      <c r="BH27">
        <v>1.4404886535043028E-8</v>
      </c>
      <c r="BI27">
        <v>1.667352656671579E-8</v>
      </c>
      <c r="BJ27">
        <v>1.7116886765328927E-8</v>
      </c>
      <c r="BK27">
        <v>1.9368701845874828E-8</v>
      </c>
      <c r="BL27">
        <v>2.5417271775980104E-8</v>
      </c>
      <c r="BM27">
        <v>2.0701965540576074E-8</v>
      </c>
      <c r="BN27">
        <v>1.3203039350494802E-9</v>
      </c>
      <c r="BO27">
        <v>1.7090967246025389E-9</v>
      </c>
      <c r="BP27">
        <v>2.4141531224996354E-9</v>
      </c>
      <c r="BQ27">
        <v>2.9927950227408832E-9</v>
      </c>
      <c r="BR27">
        <v>2.7588372563957968E-9</v>
      </c>
      <c r="BS27">
        <v>2.7608835342355501E-9</v>
      </c>
      <c r="BT27">
        <v>3.3095133594937545E-9</v>
      </c>
      <c r="BU27">
        <v>2.0540082227031174E-9</v>
      </c>
      <c r="BV27">
        <v>3.5944007076282478E-9</v>
      </c>
      <c r="BW27">
        <v>2.0292255244216654E-9</v>
      </c>
      <c r="BX27">
        <v>2.848418752936092E-9</v>
      </c>
      <c r="BY27">
        <v>2.2679579390595089E-9</v>
      </c>
      <c r="BZ27">
        <v>5.0313424795436453E-9</v>
      </c>
      <c r="CA27">
        <v>4.4315557082916165E-9</v>
      </c>
      <c r="CB27">
        <v>4.3310607299393063E-9</v>
      </c>
      <c r="CC27">
        <v>5.2609803260048084E-9</v>
      </c>
      <c r="CD27">
        <v>6.790231964913505E-9</v>
      </c>
      <c r="CE27">
        <v>4.8114812938724127E-9</v>
      </c>
      <c r="CF27">
        <v>9.4306124708080492E-9</v>
      </c>
      <c r="CG27">
        <v>1.0117252368147369E-8</v>
      </c>
      <c r="CH27">
        <v>9.6395601746672656E-9</v>
      </c>
      <c r="CI27">
        <v>2.3418513054950318E-10</v>
      </c>
      <c r="CJ27">
        <v>2.0894770385921689E-10</v>
      </c>
      <c r="CK27">
        <v>2.0530987658854494E-10</v>
      </c>
      <c r="CP27">
        <v>1.1841809858650265E-8</v>
      </c>
      <c r="CQ27">
        <v>1.1947761577908582E-8</v>
      </c>
      <c r="CU27">
        <v>2.3743643867266614E-9</v>
      </c>
      <c r="CV27">
        <v>2.2247587402202793E-9</v>
      </c>
      <c r="CZ27">
        <v>8.427254236715859E-9</v>
      </c>
      <c r="DA27">
        <v>8.1701053215202371E-9</v>
      </c>
      <c r="DB27">
        <v>8.5648095803881381E-9</v>
      </c>
      <c r="DC27">
        <v>8.6055077729787801E-9</v>
      </c>
      <c r="DD27">
        <v>9.1877875004907011E-9</v>
      </c>
      <c r="DE27">
        <v>8.5632180309572199E-9</v>
      </c>
      <c r="DF27">
        <v>4.8096623802370765E-9</v>
      </c>
      <c r="DG27">
        <v>4.9365316063017599E-9</v>
      </c>
      <c r="DH27">
        <v>4.9901895585441698E-9</v>
      </c>
      <c r="DY27">
        <v>1.9542502951593858E-9</v>
      </c>
      <c r="EB27">
        <v>2.984651711924439E-9</v>
      </c>
      <c r="EC27">
        <v>5.7889610389610387E-9</v>
      </c>
      <c r="ED27">
        <v>4.4895218417945683E-9</v>
      </c>
      <c r="EE27">
        <v>8.578807556080283E-9</v>
      </c>
      <c r="EF27">
        <v>7.7970779220779223E-9</v>
      </c>
      <c r="EG27">
        <v>6.0795454545454538E-9</v>
      </c>
      <c r="EU27">
        <v>8.7089728453364823E-9</v>
      </c>
      <c r="EY27">
        <v>4.2936835891381337E-9</v>
      </c>
      <c r="EZ27">
        <v>1.1725501770956316E-8</v>
      </c>
      <c r="FE27">
        <v>9.799291617473437E-10</v>
      </c>
      <c r="FF27">
        <v>1.3688016528925621E-9</v>
      </c>
      <c r="FG27">
        <v>1.8438606847697755E-9</v>
      </c>
      <c r="FP27">
        <v>2.9111570247933881E-9</v>
      </c>
      <c r="FS27">
        <v>2.1632231404958681E-9</v>
      </c>
      <c r="FX27">
        <v>2.534238488783943E-9</v>
      </c>
      <c r="GF27">
        <v>1.0908943329397875E-8</v>
      </c>
      <c r="GP27">
        <v>1.9064197166469894E-8</v>
      </c>
      <c r="GQ27">
        <v>2.0088695395513578E-8</v>
      </c>
      <c r="GT27">
        <v>2.9995425029515933E-8</v>
      </c>
      <c r="GU27">
        <v>2.3767561983471073E-8</v>
      </c>
      <c r="GV27">
        <v>1.6713400236127508E-8</v>
      </c>
      <c r="GW27">
        <v>1.5410419126328216E-8</v>
      </c>
      <c r="GX27">
        <v>1.5625737898465169E-9</v>
      </c>
      <c r="GY27">
        <v>1.8727863046044866E-9</v>
      </c>
      <c r="GZ27">
        <v>2.0336481700118062E-9</v>
      </c>
      <c r="HA27">
        <v>5.9033353010625732E-9</v>
      </c>
      <c r="HB27">
        <v>6.5664108618654064E-9</v>
      </c>
      <c r="HC27">
        <v>7.4198642266824082E-9</v>
      </c>
      <c r="HD27">
        <v>1.6060802833530104E-8</v>
      </c>
      <c r="HE27">
        <v>1.7314639905548995E-8</v>
      </c>
      <c r="HF27">
        <v>1.767340613931523E-8</v>
      </c>
      <c r="HG27">
        <v>2.0555489964580869E-8</v>
      </c>
      <c r="HO27">
        <v>2.1064197166469892E-8</v>
      </c>
      <c r="HP27">
        <v>2.3489964580873674E-8</v>
      </c>
      <c r="HT27">
        <v>2.4969746162927982E-8</v>
      </c>
      <c r="IB27">
        <v>1.9452922077922082E-8</v>
      </c>
      <c r="IC27">
        <v>1.7608323494687132E-8</v>
      </c>
      <c r="ID27">
        <v>3.0195985832349465E-8</v>
      </c>
      <c r="IE27">
        <v>2.6043388429752067E-8</v>
      </c>
      <c r="IF27">
        <v>2.1088695395513577E-8</v>
      </c>
      <c r="IG27">
        <v>1.1079988193624557E-8</v>
      </c>
      <c r="IH27">
        <v>1.0307260920897284E-8</v>
      </c>
      <c r="II27">
        <v>1.3264757969303426E-8</v>
      </c>
      <c r="IJ27">
        <v>3.1232290436835888E-9</v>
      </c>
      <c r="IK27">
        <v>3.8146399055489963E-9</v>
      </c>
      <c r="IL27">
        <v>4.0796930342384884E-9</v>
      </c>
      <c r="IM27">
        <v>7.6372491145218414E-9</v>
      </c>
      <c r="IN27">
        <v>7.1067001180637542E-9</v>
      </c>
      <c r="IO27">
        <v>8.134297520661156E-9</v>
      </c>
      <c r="IP27">
        <v>7.9703364817001188E-9</v>
      </c>
      <c r="IQ27">
        <v>7.8633412042502958E-9</v>
      </c>
      <c r="IR27">
        <v>7.1158500590318776E-9</v>
      </c>
      <c r="IU27">
        <v>1.4040731995277451E-9</v>
      </c>
      <c r="IV27">
        <v>2.2287485242030695E-9</v>
      </c>
      <c r="IW27">
        <v>9.6900826446280986E-10</v>
      </c>
      <c r="IX27">
        <v>1.3231995277449821E-9</v>
      </c>
      <c r="IY27">
        <v>2.1114226682408497E-9</v>
      </c>
      <c r="IZ27">
        <v>3.7834022038567495E-8</v>
      </c>
      <c r="JA27">
        <v>5.2996605667060215E-8</v>
      </c>
      <c r="JB27">
        <v>1.398957103502558E-8</v>
      </c>
      <c r="JC27">
        <v>1.1316533844942935E-8</v>
      </c>
      <c r="JD27">
        <v>1.2926756198347107E-8</v>
      </c>
      <c r="JE27">
        <v>6.0020661157024797E-9</v>
      </c>
      <c r="JF27">
        <v>1.5005578512396693E-8</v>
      </c>
      <c r="JG27">
        <v>5.1493014561196385E-10</v>
      </c>
      <c r="JH27">
        <v>4.652154663518299E-9</v>
      </c>
      <c r="JI27">
        <v>8.5891381345926792E-11</v>
      </c>
      <c r="JJ27">
        <v>9.6074380165289252E-11</v>
      </c>
      <c r="JK27">
        <v>1.168831168831169E-10</v>
      </c>
      <c r="JL27">
        <v>1.6632231404958674E-10</v>
      </c>
      <c r="JM27">
        <v>8.7485242030696575E-10</v>
      </c>
      <c r="JO27">
        <v>1.9709268004722549E-9</v>
      </c>
      <c r="JR27">
        <v>3.1168831168831168E-9</v>
      </c>
      <c r="JS27">
        <v>3.8205430932703653E-9</v>
      </c>
      <c r="JT27">
        <v>1.4213400236127509E-9</v>
      </c>
      <c r="JU27">
        <v>8.7086776859504139E-10</v>
      </c>
      <c r="JV27">
        <v>6.0507674144037787E-10</v>
      </c>
      <c r="KB27" s="42">
        <v>8.3323494687131057E-10</v>
      </c>
      <c r="KD27">
        <v>1.0044421487603306E-8</v>
      </c>
      <c r="KM27">
        <v>6.6691263282172375E-10</v>
      </c>
      <c r="KR27" s="42">
        <v>1.1837691853600943E-7</v>
      </c>
      <c r="KS27">
        <v>9.2132821723730819E-8</v>
      </c>
      <c r="KT27">
        <v>2.5395513577331759E-9</v>
      </c>
      <c r="KU27">
        <v>2.268595041322314E-9</v>
      </c>
      <c r="KV27">
        <v>6.3618654073199515E-9</v>
      </c>
      <c r="KW27">
        <v>1.3798760330578513E-7</v>
      </c>
      <c r="KX27">
        <v>1.1227863046044863E-9</v>
      </c>
    </row>
    <row r="28" spans="1:310" x14ac:dyDescent="0.35">
      <c r="D28">
        <v>7.5960107053673292E-9</v>
      </c>
      <c r="E28">
        <v>6.182714810711299E-9</v>
      </c>
      <c r="F28">
        <v>7.4436766884079437E-9</v>
      </c>
      <c r="X28">
        <v>3.5859078224862724E-9</v>
      </c>
      <c r="Y28">
        <v>3.3649902253715014E-10</v>
      </c>
      <c r="Z28">
        <v>3.1535415152636974E-10</v>
      </c>
      <c r="AA28">
        <v>5.8659964739584279E-11</v>
      </c>
      <c r="AN28">
        <v>9.7455118939255859E-9</v>
      </c>
      <c r="AO28">
        <v>1.6229484275489401E-8</v>
      </c>
      <c r="AP28">
        <v>1.4727516341110743E-8</v>
      </c>
      <c r="AW28">
        <v>8.2451355089778467E-9</v>
      </c>
      <c r="AX28">
        <v>4.5636543110578904E-9</v>
      </c>
      <c r="AZ28">
        <v>1.5171103903928293E-8</v>
      </c>
      <c r="BB28">
        <v>3.9140747790385397E-8</v>
      </c>
      <c r="BE28">
        <v>1.3129145984059282E-8</v>
      </c>
      <c r="BF28">
        <v>1.5915266944985117E-8</v>
      </c>
      <c r="BG28">
        <v>1.777305985927637E-8</v>
      </c>
      <c r="BH28">
        <v>1.5309341340213832E-8</v>
      </c>
      <c r="BI28">
        <v>1.755456285883164E-8</v>
      </c>
      <c r="BJ28">
        <v>1.7832629280833621E-8</v>
      </c>
      <c r="BK28">
        <v>2.008535381819719E-8</v>
      </c>
      <c r="BM28">
        <v>2.1167380067017659E-8</v>
      </c>
      <c r="BN28">
        <v>1.4178431787443703E-9</v>
      </c>
      <c r="BO28">
        <v>1.7306963240221533E-9</v>
      </c>
      <c r="BP28">
        <v>2.4498493025931032E-9</v>
      </c>
      <c r="BQ28">
        <v>3.0139398937516638E-9</v>
      </c>
      <c r="BR28">
        <v>2.8179519495442152E-9</v>
      </c>
      <c r="BS28">
        <v>2.8047648256880298E-9</v>
      </c>
      <c r="BT28">
        <v>3.4393383202158584E-9</v>
      </c>
      <c r="BU28">
        <v>2.2120263447729282E-9</v>
      </c>
      <c r="BV28">
        <v>3.8315415728351723E-9</v>
      </c>
      <c r="BW28">
        <v>2.1053925329013581E-9</v>
      </c>
      <c r="BX28">
        <v>3.0298553880608525E-9</v>
      </c>
      <c r="BY28">
        <v>2.3050183043794782E-9</v>
      </c>
      <c r="BZ28">
        <v>4.8467227455570463E-9</v>
      </c>
      <c r="CA28">
        <v>4.4677066167939186E-9</v>
      </c>
      <c r="CB28">
        <v>4.3415194833424874E-9</v>
      </c>
      <c r="CC28">
        <v>5.7716403291253758E-9</v>
      </c>
      <c r="CE28">
        <v>4.9733646074173125E-9</v>
      </c>
      <c r="CF28">
        <v>9.570214092320084E-9</v>
      </c>
      <c r="CG28">
        <v>1.0151129634605502E-8</v>
      </c>
      <c r="CH28">
        <v>9.8460068722778969E-9</v>
      </c>
      <c r="CI28">
        <v>1.2073039254542343E-10</v>
      </c>
      <c r="CJ28">
        <v>2.1690545101381158E-10</v>
      </c>
      <c r="CK28">
        <v>2.5373845212936459E-10</v>
      </c>
      <c r="CP28">
        <v>1.216716803517098E-8</v>
      </c>
      <c r="CQ28">
        <v>1.2299266637937255E-8</v>
      </c>
      <c r="CU28">
        <v>2.5151028292607802E-9</v>
      </c>
      <c r="CV28">
        <v>2.4978231497250887E-9</v>
      </c>
      <c r="CZ28">
        <v>8.6277894650116467E-9</v>
      </c>
      <c r="DA28">
        <v>8.298338732811424E-9</v>
      </c>
      <c r="DB28">
        <v>8.7762582904959428E-9</v>
      </c>
      <c r="DC28">
        <v>8.9899806426479155E-9</v>
      </c>
      <c r="DD28">
        <v>9.6097754638886405E-9</v>
      </c>
      <c r="DE28">
        <v>8.871069163737829E-9</v>
      </c>
      <c r="DF28">
        <v>4.9099299943849704E-9</v>
      </c>
      <c r="DG28">
        <v>5.0588535482781016E-9</v>
      </c>
      <c r="DH28">
        <v>5.1629863539010849E-9</v>
      </c>
      <c r="DY28">
        <v>2.0461924439197166E-9</v>
      </c>
      <c r="EB28">
        <v>3.2076446280991733E-9</v>
      </c>
      <c r="EC28">
        <v>6.064344746162928E-9</v>
      </c>
      <c r="ED28">
        <v>4.7502951593860682E-9</v>
      </c>
      <c r="EE28">
        <v>8.9694510035419119E-9</v>
      </c>
      <c r="EF28">
        <v>8.192296340023612E-9</v>
      </c>
      <c r="EG28">
        <v>6.3397284533648164E-9</v>
      </c>
      <c r="EY28">
        <v>4.6478748524203068E-9</v>
      </c>
      <c r="FE28">
        <v>1.0833825265643448E-9</v>
      </c>
      <c r="FF28">
        <v>1.5191853600944508E-9</v>
      </c>
      <c r="FG28">
        <v>2.019775678866588E-9</v>
      </c>
      <c r="FP28">
        <v>3.6394628099173552E-9</v>
      </c>
      <c r="FS28">
        <v>2.475059031877214E-9</v>
      </c>
      <c r="FX28">
        <v>2.9750590318772139E-9</v>
      </c>
      <c r="GF28">
        <v>1.1235684769775678E-8</v>
      </c>
      <c r="GP28">
        <v>2.0545749704840617E-8</v>
      </c>
      <c r="GQ28">
        <v>2.1059917355371897E-8</v>
      </c>
      <c r="GU28">
        <v>2.5255460448642265E-8</v>
      </c>
      <c r="GV28">
        <v>1.7691706021251474E-8</v>
      </c>
      <c r="GW28">
        <v>1.6300619834710745E-8</v>
      </c>
      <c r="GX28">
        <v>1.6446280991735537E-9</v>
      </c>
      <c r="GY28">
        <v>1.8937426210153483E-9</v>
      </c>
      <c r="GZ28">
        <v>2.2164994096812278E-9</v>
      </c>
      <c r="HA28">
        <v>6.1615997638724912E-9</v>
      </c>
      <c r="HB28">
        <v>6.8443034238488784E-9</v>
      </c>
      <c r="HC28">
        <v>7.8400236127508852E-9</v>
      </c>
      <c r="HD28">
        <v>1.6910714285714281E-8</v>
      </c>
      <c r="HE28">
        <v>1.7994244391971664E-8</v>
      </c>
      <c r="HF28">
        <v>1.8318772136953955E-8</v>
      </c>
      <c r="HG28">
        <v>2.1588547815820541E-8</v>
      </c>
      <c r="HO28">
        <v>2.2134297520661154E-8</v>
      </c>
      <c r="HP28">
        <v>2.4649498229043682E-8</v>
      </c>
      <c r="HT28">
        <v>2.604574970484061E-8</v>
      </c>
      <c r="IB28">
        <v>2.0780253837072018E-8</v>
      </c>
      <c r="IC28">
        <v>1.9456316410861861E-8</v>
      </c>
      <c r="ID28">
        <v>3.374940968122787E-8</v>
      </c>
      <c r="IE28">
        <v>2.7508412042502955E-8</v>
      </c>
      <c r="IF28">
        <v>2.2172815820543094E-8</v>
      </c>
      <c r="IG28">
        <v>1.2883854781582053E-8</v>
      </c>
      <c r="IH28">
        <v>1.0776859504132233E-8</v>
      </c>
      <c r="IJ28">
        <v>3.188311688311688E-9</v>
      </c>
      <c r="IK28">
        <v>3.9574970484061395E-9</v>
      </c>
      <c r="IL28">
        <v>4.2221074380165286E-9</v>
      </c>
      <c r="IM28">
        <v>8.0427981109799291E-9</v>
      </c>
      <c r="IN28">
        <v>7.2894037780401411E-9</v>
      </c>
      <c r="IO28">
        <v>8.3375147579693045E-9</v>
      </c>
      <c r="IP28">
        <v>8.6145218417945705E-9</v>
      </c>
      <c r="IQ28">
        <v>8.3460743801652872E-9</v>
      </c>
      <c r="IR28">
        <v>7.4396399055489965E-9</v>
      </c>
      <c r="IU28">
        <v>1.5076741440377803E-9</v>
      </c>
      <c r="IV28">
        <v>2.4110094451003542E-9</v>
      </c>
      <c r="IW28">
        <v>9.4170602125147577E-10</v>
      </c>
      <c r="IX28">
        <v>1.4440672963400235E-9</v>
      </c>
      <c r="IY28">
        <v>2.2956021251475798E-9</v>
      </c>
      <c r="IZ28">
        <v>3.9173307752853211E-8</v>
      </c>
      <c r="JA28">
        <v>5.4510773317591504E-8</v>
      </c>
      <c r="JB28">
        <v>1.509727961432507E-8</v>
      </c>
      <c r="JC28">
        <v>1.2177046438410074E-8</v>
      </c>
      <c r="JD28">
        <v>1.4838119834710742E-8</v>
      </c>
      <c r="JE28">
        <v>6.9185360094451014E-9</v>
      </c>
      <c r="JF28">
        <v>1.4996900826446284E-8</v>
      </c>
      <c r="JG28">
        <v>5.5416174734356562E-10</v>
      </c>
      <c r="JH28">
        <v>4.8110979929161748E-9</v>
      </c>
      <c r="JI28">
        <v>1.6809327036599764E-10</v>
      </c>
      <c r="JJ28">
        <v>9.548406139315229E-11</v>
      </c>
      <c r="JK28">
        <v>1.5200708382526567E-10</v>
      </c>
      <c r="JL28">
        <v>2.3273317591499409E-10</v>
      </c>
      <c r="JM28">
        <v>9.8597992916174741E-10</v>
      </c>
      <c r="JR28">
        <v>2.8221664698937426E-9</v>
      </c>
      <c r="JS28">
        <v>4.3279220779220779E-9</v>
      </c>
      <c r="JT28">
        <v>1.7442443919716647E-9</v>
      </c>
      <c r="JU28">
        <v>1.0931227863046044E-9</v>
      </c>
      <c r="JV28">
        <v>7.0041322314049577E-10</v>
      </c>
      <c r="KB28" s="42">
        <v>9.8214285714285696E-10</v>
      </c>
      <c r="KD28">
        <v>1.0637396694214874E-8</v>
      </c>
      <c r="KM28">
        <v>6.3916765053128699E-10</v>
      </c>
      <c r="KS28">
        <v>1.009362455726092E-7</v>
      </c>
      <c r="KT28">
        <v>2.954840613931523E-9</v>
      </c>
      <c r="KU28">
        <v>2.3528630460448643E-9</v>
      </c>
      <c r="KV28">
        <v>7.0881050767414405E-9</v>
      </c>
      <c r="KW28">
        <v>1.2343580283353009E-7</v>
      </c>
      <c r="KX28">
        <v>1.2538370720188899E-9</v>
      </c>
    </row>
    <row r="29" spans="1:310" x14ac:dyDescent="0.35">
      <c r="D29">
        <v>9.6566124899985416E-9</v>
      </c>
      <c r="E29">
        <v>7.8031394955912103E-9</v>
      </c>
      <c r="F29">
        <v>7.1660649948147963E-9</v>
      </c>
      <c r="X29">
        <v>3.9081735529750651E-9</v>
      </c>
      <c r="Y29">
        <v>3.7606039410570696E-10</v>
      </c>
      <c r="Z29">
        <v>3.2081089243237757E-10</v>
      </c>
      <c r="AA29">
        <v>9.2082502788882283E-11</v>
      </c>
      <c r="AN29">
        <v>1.0413735290707127E-8</v>
      </c>
      <c r="AO29">
        <v>1.6993200638126081E-8</v>
      </c>
      <c r="AP29">
        <v>1.5451443967974452E-8</v>
      </c>
      <c r="AW29">
        <v>8.9031275165606237E-9</v>
      </c>
      <c r="AX29">
        <v>5.0809078761065494E-9</v>
      </c>
      <c r="AZ29">
        <v>1.5608325269022178E-8</v>
      </c>
      <c r="BB29">
        <v>4.0811874692850301E-8</v>
      </c>
      <c r="BE29">
        <v>1.3820333165486937E-8</v>
      </c>
      <c r="BF29">
        <v>1.6662385720699357E-8</v>
      </c>
      <c r="BG29">
        <v>1.8715029758175973E-8</v>
      </c>
      <c r="BH29">
        <v>1.6252675424339934E-8</v>
      </c>
      <c r="BI29">
        <v>1.8355566950992705E-8</v>
      </c>
      <c r="BJ29">
        <v>1.8562241012807749E-8</v>
      </c>
      <c r="BK29">
        <v>2.1203303611315548E-8</v>
      </c>
      <c r="BM29">
        <v>2.1740110497944068E-8</v>
      </c>
      <c r="BN29">
        <v>1.5704045599081727E-9</v>
      </c>
      <c r="BO29">
        <v>1.9019015699481494E-9</v>
      </c>
      <c r="BP29">
        <v>2.6649358399715787E-9</v>
      </c>
      <c r="BQ29">
        <v>3.1885556027439151E-9</v>
      </c>
      <c r="BR29">
        <v>2.9452759040177311E-9</v>
      </c>
      <c r="BS29">
        <v>3.005982146597069E-9</v>
      </c>
      <c r="BT29">
        <v>3.5082296741542069E-9</v>
      </c>
      <c r="BU29">
        <v>2.3532195157158809E-9</v>
      </c>
      <c r="BV29">
        <v>3.8235838256805762E-9</v>
      </c>
      <c r="BW29">
        <v>2.2561350004298246E-9</v>
      </c>
      <c r="BX29">
        <v>3.1605898056006241E-9</v>
      </c>
      <c r="BY29">
        <v>2.3748191151354957E-9</v>
      </c>
      <c r="BZ29">
        <v>4.926072852898578E-9</v>
      </c>
      <c r="CA29">
        <v>4.486350481556112E-9</v>
      </c>
      <c r="CB29">
        <v>4.4347388071534554E-9</v>
      </c>
      <c r="CC29">
        <v>6.0078717375146322E-9</v>
      </c>
      <c r="CE29">
        <v>5.3203223833576447E-9</v>
      </c>
      <c r="CF29">
        <v>9.6591134962471283E-9</v>
      </c>
      <c r="CG29">
        <v>1.0326427436211002E-8</v>
      </c>
      <c r="CH29">
        <v>9.9062583864483984E-9</v>
      </c>
      <c r="CI29">
        <v>1.4869618968871366E-10</v>
      </c>
      <c r="CJ29">
        <v>2.8102215665940368E-10</v>
      </c>
      <c r="CK29">
        <v>2.6101410667070838E-10</v>
      </c>
      <c r="CP29">
        <v>1.2540727423028103E-8</v>
      </c>
      <c r="CQ29">
        <v>1.2888139927377267E-8</v>
      </c>
      <c r="CU29">
        <v>2.6244650115853541E-9</v>
      </c>
      <c r="CV29">
        <v>2.5751269792268667E-9</v>
      </c>
      <c r="CZ29">
        <v>8.8058156370701524E-9</v>
      </c>
      <c r="DA29">
        <v>8.4308920639865297E-9</v>
      </c>
      <c r="DB29">
        <v>9.1102563067845064E-9</v>
      </c>
      <c r="DC29">
        <v>9.2951034049755209E-9</v>
      </c>
      <c r="DD29">
        <v>9.9999324386682007E-9</v>
      </c>
      <c r="DE29">
        <v>9.1814213027670249E-9</v>
      </c>
      <c r="DF29">
        <v>5.0086060591019453E-9</v>
      </c>
      <c r="DG29">
        <v>5.5124451360900031E-9</v>
      </c>
      <c r="DH29">
        <v>5.3651131316277917E-9</v>
      </c>
      <c r="DY29">
        <v>2.2060212514757967E-9</v>
      </c>
      <c r="EB29">
        <v>3.4085005903187722E-9</v>
      </c>
      <c r="EC29">
        <v>6.4440672963400232E-9</v>
      </c>
      <c r="ED29">
        <v>4.9980814639905555E-9</v>
      </c>
      <c r="EE29">
        <v>9.4803719008264467E-9</v>
      </c>
      <c r="EF29">
        <v>8.570395513577333E-9</v>
      </c>
      <c r="EG29">
        <v>6.6250000000000006E-9</v>
      </c>
      <c r="EY29">
        <v>5.3159681227863038E-9</v>
      </c>
      <c r="FE29">
        <v>1.1580578512396693E-9</v>
      </c>
      <c r="FF29">
        <v>1.612603305785124E-9</v>
      </c>
      <c r="FG29">
        <v>2.2499999999999999E-9</v>
      </c>
      <c r="FS29">
        <v>2.8379574970484066E-9</v>
      </c>
      <c r="FX29">
        <v>3.6614521841794568E-9</v>
      </c>
      <c r="GF29">
        <v>1.1581759149940967E-8</v>
      </c>
      <c r="GP29">
        <v>2.2268595041322316E-8</v>
      </c>
      <c r="GQ29">
        <v>2.2204250295159382E-8</v>
      </c>
      <c r="GU29">
        <v>2.6774055489964583E-8</v>
      </c>
      <c r="GV29">
        <v>1.8720631641086184E-8</v>
      </c>
      <c r="GW29">
        <v>1.718742621015348E-8</v>
      </c>
      <c r="GX29">
        <v>1.778482880755608E-9</v>
      </c>
      <c r="GY29">
        <v>2.0163813459268006E-9</v>
      </c>
      <c r="GZ29">
        <v>2.3339728453364815E-9</v>
      </c>
      <c r="HA29">
        <v>6.4281286894923257E-9</v>
      </c>
      <c r="HB29">
        <v>7.1093565525383705E-9</v>
      </c>
      <c r="HC29">
        <v>8.1613046044864231E-9</v>
      </c>
      <c r="HD29">
        <v>1.7841499409681227E-8</v>
      </c>
      <c r="HE29">
        <v>1.8608323494687131E-8</v>
      </c>
      <c r="HF29">
        <v>1.8742768595041324E-8</v>
      </c>
      <c r="HG29">
        <v>2.2581463990554896E-8</v>
      </c>
      <c r="HO29">
        <v>2.3347255017709562E-8</v>
      </c>
      <c r="HP29">
        <v>2.5918388429752064E-8</v>
      </c>
      <c r="HT29">
        <v>2.7217532467532467E-8</v>
      </c>
      <c r="IB29">
        <v>2.2516086186540731E-8</v>
      </c>
      <c r="ID29">
        <v>3.7842827626918536E-8</v>
      </c>
      <c r="IE29">
        <v>2.9143004722550179E-8</v>
      </c>
      <c r="IF29">
        <v>2.3133264462809919E-8</v>
      </c>
      <c r="IG29">
        <v>1.2390200708382526E-8</v>
      </c>
      <c r="IH29">
        <v>1.0619834710743801E-8</v>
      </c>
      <c r="IJ29">
        <v>3.6037485242030698E-9</v>
      </c>
      <c r="IK29">
        <v>4.1422668240850061E-9</v>
      </c>
      <c r="IL29">
        <v>4.3916765053128686E-9</v>
      </c>
      <c r="IM29">
        <v>8.3584710743801641E-9</v>
      </c>
      <c r="IN29">
        <v>7.6711924439197152E-9</v>
      </c>
      <c r="IO29">
        <v>8.6283943329397874E-9</v>
      </c>
      <c r="IP29">
        <v>9.1796044864226688E-9</v>
      </c>
      <c r="IQ29">
        <v>8.9701889020070852E-9</v>
      </c>
      <c r="IR29">
        <v>7.7774498229043683E-9</v>
      </c>
      <c r="IU29">
        <v>1.6617473435655253E-9</v>
      </c>
      <c r="IV29">
        <v>2.596221959858323E-9</v>
      </c>
      <c r="IW29">
        <v>1.1112750885478157E-9</v>
      </c>
      <c r="IX29">
        <v>1.5538665879574971E-9</v>
      </c>
      <c r="IY29">
        <v>2.4017119244391974E-9</v>
      </c>
      <c r="IZ29">
        <v>4.1262790240062971E-8</v>
      </c>
      <c r="JA29">
        <v>5.6089753049980336E-8</v>
      </c>
      <c r="JB29">
        <v>1.647395218417946E-8</v>
      </c>
      <c r="JC29">
        <v>1.5074527744982291E-8</v>
      </c>
      <c r="JD29">
        <v>1.7749276859504132E-8</v>
      </c>
      <c r="JE29">
        <v>9.3066214088941374E-9</v>
      </c>
      <c r="JF29">
        <v>1.4860020661157027E-8</v>
      </c>
      <c r="JG29">
        <v>6.8243309720582447E-10</v>
      </c>
      <c r="JH29">
        <v>5.1713400236127503E-9</v>
      </c>
      <c r="JI29">
        <v>1.5510625737898466E-10</v>
      </c>
      <c r="JJ29">
        <v>1.1024203069657614E-10</v>
      </c>
      <c r="JK29">
        <v>9.7697756788665874E-11</v>
      </c>
      <c r="JL29">
        <v>1.7960448642266822E-10</v>
      </c>
      <c r="JM29">
        <v>1.2575265643447458E-9</v>
      </c>
      <c r="JS29">
        <v>4.1918536009445105E-9</v>
      </c>
      <c r="JT29">
        <v>2.1483175914994101E-9</v>
      </c>
      <c r="JU29">
        <v>1.3336776859504132E-9</v>
      </c>
      <c r="JV29">
        <v>8.5050177095631636E-10</v>
      </c>
      <c r="KB29" s="42">
        <v>9.9099763872491145E-10</v>
      </c>
      <c r="KD29">
        <v>1.1312131050767414E-8</v>
      </c>
      <c r="KM29">
        <v>6.5363046044864222E-10</v>
      </c>
      <c r="KT29">
        <v>3.3857733175914993E-9</v>
      </c>
      <c r="KU29">
        <v>2.7840909090909092E-9</v>
      </c>
      <c r="KX29">
        <v>1.3568476977567886E-9</v>
      </c>
    </row>
    <row r="30" spans="1:310" x14ac:dyDescent="0.35">
      <c r="D30">
        <v>1.1363435572556911E-8</v>
      </c>
      <c r="E30">
        <v>1.1739041238253781E-8</v>
      </c>
      <c r="F30">
        <v>6.9455217165303124E-9</v>
      </c>
      <c r="X30">
        <v>3.9342785129174536E-9</v>
      </c>
      <c r="Y30">
        <v>3.7492357308362196E-10</v>
      </c>
      <c r="Z30">
        <v>3.3422538049298019E-10</v>
      </c>
      <c r="AA30">
        <v>2.073561544282979E-10</v>
      </c>
      <c r="AN30">
        <v>1.1045353050577536E-8</v>
      </c>
      <c r="AO30">
        <v>1.7653238923548612E-8</v>
      </c>
      <c r="AP30">
        <v>1.6208566768683035E-8</v>
      </c>
      <c r="AW30">
        <v>9.8753368546476877E-9</v>
      </c>
      <c r="AX30">
        <v>5.6759199990658202E-9</v>
      </c>
      <c r="AZ30">
        <v>1.588343595636674E-8</v>
      </c>
      <c r="BB30">
        <v>4.2455263162376328E-8</v>
      </c>
      <c r="BE30">
        <v>1.4499015315671666E-8</v>
      </c>
      <c r="BF30">
        <v>1.7280134264100326E-8</v>
      </c>
      <c r="BG30">
        <v>1.9528538881579974E-8</v>
      </c>
      <c r="BH30">
        <v>1.7022075892087039E-8</v>
      </c>
      <c r="BI30">
        <v>1.9076311478994572E-8</v>
      </c>
      <c r="BJ30">
        <v>1.9307086146477821E-8</v>
      </c>
      <c r="BK30">
        <v>2.2762794689411704E-8</v>
      </c>
      <c r="BM30">
        <v>2.2582040146900192E-8</v>
      </c>
      <c r="BN30">
        <v>1.5990524496647141E-9</v>
      </c>
      <c r="BO30">
        <v>1.9844347761515179E-9</v>
      </c>
      <c r="BP30">
        <v>2.7733885654784849E-9</v>
      </c>
      <c r="BQ30">
        <v>3.3011008839303258E-9</v>
      </c>
      <c r="BR30">
        <v>3.0000706772822266E-9</v>
      </c>
      <c r="BS30">
        <v>3.0885153528004375E-9</v>
      </c>
      <c r="BT30">
        <v>3.6403282769204808E-9</v>
      </c>
      <c r="BU30">
        <v>2.4453020185047632E-9</v>
      </c>
      <c r="BV30">
        <v>3.9513625085629272E-9</v>
      </c>
      <c r="BW30">
        <v>2.2856923470040342E-9</v>
      </c>
      <c r="BX30">
        <v>3.2617668765661861E-9</v>
      </c>
      <c r="BY30">
        <v>2.3629961765058122E-9</v>
      </c>
      <c r="BZ30">
        <v>4.8726422648605844E-9</v>
      </c>
      <c r="CA30">
        <v>4.4870325741693626E-9</v>
      </c>
      <c r="CB30">
        <v>4.3749420213917848E-9</v>
      </c>
      <c r="CC30">
        <v>6.6795055973624292E-9</v>
      </c>
      <c r="CE30">
        <v>5.6711453507730648E-9</v>
      </c>
      <c r="CF30">
        <v>9.7248217513236392E-9</v>
      </c>
      <c r="CG30">
        <v>1.0485809743507316E-8</v>
      </c>
      <c r="CH30">
        <v>1.0097244318158674E-8</v>
      </c>
      <c r="CI30">
        <v>1.4028371412528487E-10</v>
      </c>
      <c r="CJ30">
        <v>3.6037226400093444E-10</v>
      </c>
      <c r="CK30">
        <v>2.7420123052689398E-10</v>
      </c>
      <c r="CU30">
        <v>2.7324630086834261E-9</v>
      </c>
      <c r="CV30">
        <v>2.6185535422705122E-9</v>
      </c>
      <c r="CZ30">
        <v>9.0104434210454451E-9</v>
      </c>
      <c r="DA30">
        <v>8.6593930894256088E-9</v>
      </c>
      <c r="DB30">
        <v>9.4947291764536435E-9</v>
      </c>
      <c r="DC30">
        <v>9.6870792933904181E-9</v>
      </c>
      <c r="DD30">
        <v>1.0356439511194046E-8</v>
      </c>
      <c r="DE30">
        <v>9.4558498974983351E-9</v>
      </c>
      <c r="DF30">
        <v>5.0736322215652064E-9</v>
      </c>
      <c r="DG30">
        <v>5.3833022679811518E-9</v>
      </c>
      <c r="DH30">
        <v>5.3960346634285033E-9</v>
      </c>
      <c r="DY30">
        <v>2.3652597402597403E-9</v>
      </c>
      <c r="EB30">
        <v>3.5999114521841798E-9</v>
      </c>
      <c r="EC30">
        <v>6.7052833530106252E-9</v>
      </c>
      <c r="ED30">
        <v>5.28586186540732E-9</v>
      </c>
      <c r="EE30">
        <v>1.0156286894923259E-8</v>
      </c>
      <c r="EF30">
        <v>9.0463400236127503E-9</v>
      </c>
      <c r="EG30">
        <v>6.8618654073199518E-9</v>
      </c>
      <c r="EY30">
        <v>7.2113341204250297E-9</v>
      </c>
      <c r="FE30">
        <v>1.2449822904368358E-9</v>
      </c>
      <c r="FG30">
        <v>2.4213400236127509E-9</v>
      </c>
      <c r="FS30">
        <v>3.1669126328217237E-9</v>
      </c>
      <c r="GF30">
        <v>1.2127213695395514E-8</v>
      </c>
      <c r="GP30">
        <v>2.4503394332939784E-8</v>
      </c>
      <c r="GU30">
        <v>2.8345336481700121E-8</v>
      </c>
      <c r="GV30">
        <v>1.9629722550177094E-8</v>
      </c>
      <c r="GW30">
        <v>1.8400236127508854E-8</v>
      </c>
      <c r="GX30">
        <v>1.8559622195985831E-9</v>
      </c>
      <c r="GY30">
        <v>2.1229338842975207E-9</v>
      </c>
      <c r="GZ30">
        <v>2.4881936245572609E-9</v>
      </c>
      <c r="HA30">
        <v>6.6815230224321134E-9</v>
      </c>
      <c r="HB30">
        <v>7.4189787485242022E-9</v>
      </c>
      <c r="HC30">
        <v>8.649940968122786E-9</v>
      </c>
      <c r="HD30">
        <v>1.9006198347107437E-8</v>
      </c>
      <c r="HE30">
        <v>1.9255312868949233E-8</v>
      </c>
      <c r="HF30">
        <v>1.9369687131050767E-8</v>
      </c>
      <c r="HG30">
        <v>2.4015495867768594E-8</v>
      </c>
      <c r="HO30">
        <v>2.4326298701298697E-8</v>
      </c>
      <c r="HP30">
        <v>2.7074085005903186E-8</v>
      </c>
      <c r="ID30">
        <v>4.2101829988193625E-8</v>
      </c>
      <c r="IE30">
        <v>3.1504279811097993E-8</v>
      </c>
      <c r="IF30">
        <v>2.4277154663518299E-8</v>
      </c>
      <c r="IG30">
        <v>1.2263724911452183E-8</v>
      </c>
      <c r="IH30">
        <v>1.1753394332939787E-8</v>
      </c>
      <c r="IJ30">
        <v>3.7197461629279815E-9</v>
      </c>
      <c r="IK30">
        <v>4.319805194805194E-9</v>
      </c>
      <c r="IL30">
        <v>4.582349468713105E-9</v>
      </c>
      <c r="IM30">
        <v>8.6162927981109808E-9</v>
      </c>
      <c r="IN30">
        <v>7.9049586776859497E-9</v>
      </c>
      <c r="IO30">
        <v>8.9518890200708385E-9</v>
      </c>
      <c r="IP30">
        <v>9.718122786304603E-9</v>
      </c>
      <c r="IQ30">
        <v>9.4729929161747336E-9</v>
      </c>
      <c r="IR30">
        <v>8.1083234946871309E-9</v>
      </c>
      <c r="IU30">
        <v>1.7715466351829988E-9</v>
      </c>
      <c r="IV30">
        <v>2.6679456906729632E-9</v>
      </c>
      <c r="IW30">
        <v>1.1431523022432113E-9</v>
      </c>
      <c r="IX30">
        <v>1.6707497048406137E-9</v>
      </c>
      <c r="IY30">
        <v>2.569657615112161E-9</v>
      </c>
      <c r="IZ30">
        <v>4.2792330775285329E-8</v>
      </c>
      <c r="JA30">
        <v>5.706144234553326E-8</v>
      </c>
      <c r="JB30">
        <v>1.8027228453364816E-8</v>
      </c>
      <c r="JC30">
        <v>2.3013577331759152E-8</v>
      </c>
      <c r="JD30">
        <v>2.1303822314049588E-8</v>
      </c>
      <c r="JE30">
        <v>9.7856404958677699E-9</v>
      </c>
      <c r="JF30">
        <v>1.463977272727273E-8</v>
      </c>
      <c r="JG30">
        <v>7.7454742227469495E-10</v>
      </c>
      <c r="JH30">
        <v>5.4743211334120423E-9</v>
      </c>
      <c r="JI30">
        <v>2.4070247933884295E-10</v>
      </c>
      <c r="JJ30">
        <v>1.2160566706021251E-10</v>
      </c>
      <c r="JK30">
        <v>1.2559031877213693E-10</v>
      </c>
      <c r="JL30">
        <v>2.2653482880755608E-10</v>
      </c>
      <c r="JM30">
        <v>1.5349763872491146E-9</v>
      </c>
      <c r="JS30">
        <v>3.3051948051948052E-9</v>
      </c>
      <c r="JT30">
        <v>2.5231700118063754E-9</v>
      </c>
      <c r="JU30">
        <v>1.5563754427390788E-9</v>
      </c>
      <c r="JV30">
        <v>1.0441263282172374E-9</v>
      </c>
      <c r="KB30" s="42">
        <v>9.1440377804014169E-10</v>
      </c>
      <c r="KD30">
        <v>1.2095926800472255E-8</v>
      </c>
      <c r="KM30">
        <v>6.7060212514757977E-10</v>
      </c>
      <c r="KT30">
        <v>2.7759740259740258E-9</v>
      </c>
      <c r="KU30">
        <v>2.7188606847697753E-9</v>
      </c>
      <c r="KX30">
        <v>1.4253246753246753E-9</v>
      </c>
    </row>
    <row r="31" spans="1:310" x14ac:dyDescent="0.35">
      <c r="D31">
        <v>1.5038777936957609E-8</v>
      </c>
      <c r="E31">
        <v>1.6148997347125785E-8</v>
      </c>
      <c r="F31">
        <v>7.0817128749760912E-9</v>
      </c>
      <c r="X31">
        <v>3.962341344855522E-9</v>
      </c>
      <c r="Y31">
        <v>4.0720929011083504E-10</v>
      </c>
      <c r="Z31">
        <v>3.5468815889050959E-10</v>
      </c>
      <c r="AA31">
        <v>1.3414488060602606E-10</v>
      </c>
      <c r="AN31">
        <v>1.1655598575232746E-8</v>
      </c>
      <c r="AO31">
        <v>1.8282583041374851E-8</v>
      </c>
      <c r="AP31">
        <v>1.6904073869994621E-8</v>
      </c>
      <c r="AW31">
        <v>1.0591761462765636E-8</v>
      </c>
      <c r="AX31">
        <v>6.2768435913399346E-9</v>
      </c>
      <c r="AZ31">
        <v>1.6166959119274728E-8</v>
      </c>
      <c r="BB31">
        <v>4.5468748327719159E-8</v>
      </c>
      <c r="BE31">
        <v>1.5140637100536418E-8</v>
      </c>
      <c r="BF31">
        <v>1.8076136343764218E-8</v>
      </c>
      <c r="BG31">
        <v>2.0326587239083624E-8</v>
      </c>
      <c r="BH31">
        <v>1.7735772129751982E-8</v>
      </c>
      <c r="BI31">
        <v>1.9813426229714469E-8</v>
      </c>
      <c r="BJ31">
        <v>2.0003047976198234E-8</v>
      </c>
      <c r="BK31">
        <v>2.4854090641639208E-8</v>
      </c>
      <c r="BN31">
        <v>1.7072778109672029E-9</v>
      </c>
      <c r="BO31">
        <v>2.1588231209393517E-9</v>
      </c>
      <c r="BP31">
        <v>2.8222718694281381E-9</v>
      </c>
      <c r="BQ31">
        <v>3.3277024958471149E-9</v>
      </c>
      <c r="BR31">
        <v>3.1157990573304763E-9</v>
      </c>
      <c r="BS31">
        <v>3.1669560033242999E-9</v>
      </c>
      <c r="BT31">
        <v>3.8097146092111399E-9</v>
      </c>
      <c r="BU31">
        <v>2.4896380383660768E-9</v>
      </c>
      <c r="BV31">
        <v>3.9158936926738757E-9</v>
      </c>
      <c r="BW31">
        <v>2.3786843066105847E-9</v>
      </c>
      <c r="BX31">
        <v>3.3959117571722129E-9</v>
      </c>
      <c r="BY31">
        <v>2.5380666139068961E-9</v>
      </c>
      <c r="BZ31">
        <v>4.7716925580994391E-9</v>
      </c>
      <c r="CA31">
        <v>4.6523263507805176E-9</v>
      </c>
      <c r="CB31">
        <v>4.3840365895684648E-9</v>
      </c>
      <c r="CC31">
        <v>7.4825559673632504E-9</v>
      </c>
      <c r="CE31">
        <v>5.8887328944001269E-9</v>
      </c>
      <c r="CF31">
        <v>9.870334842150516E-9</v>
      </c>
      <c r="CG31">
        <v>1.080843954957503E-8</v>
      </c>
      <c r="CH31">
        <v>1.0205924407869996E-8</v>
      </c>
      <c r="CI31">
        <v>1.3596379424136204E-10</v>
      </c>
      <c r="CJ31">
        <v>3.7901612876312792E-10</v>
      </c>
      <c r="CK31">
        <v>2.5578472996911747E-10</v>
      </c>
      <c r="CU31">
        <v>2.8713825375822092E-9</v>
      </c>
      <c r="CV31">
        <v>2.6929016371148688E-9</v>
      </c>
      <c r="CZ31">
        <v>9.1077553005359181E-9</v>
      </c>
      <c r="DA31">
        <v>8.7942200626448841E-9</v>
      </c>
      <c r="DB31">
        <v>9.6798036388490734E-9</v>
      </c>
      <c r="DC31">
        <v>9.9881095000385168E-9</v>
      </c>
      <c r="DD31">
        <v>1.063359647637836E-8</v>
      </c>
      <c r="DE31">
        <v>9.8641960086312569E-9</v>
      </c>
      <c r="DF31">
        <v>5.1991372624033862E-9</v>
      </c>
      <c r="DG31">
        <v>5.4933465429189762E-9</v>
      </c>
      <c r="DH31">
        <v>5.5306342724433631E-9</v>
      </c>
      <c r="DY31">
        <v>2.4725501770956316E-9</v>
      </c>
      <c r="EB31">
        <v>3.8218713105076742E-9</v>
      </c>
      <c r="EC31">
        <v>7.0618358913813459E-9</v>
      </c>
      <c r="ED31">
        <v>5.5250885478158204E-9</v>
      </c>
      <c r="EE31">
        <v>1.1011806375442737E-8</v>
      </c>
      <c r="EF31">
        <v>9.5231700118063753E-9</v>
      </c>
      <c r="EG31">
        <v>7.1238193624557255E-9</v>
      </c>
      <c r="EY31">
        <v>1.0098730814639904E-8</v>
      </c>
      <c r="FE31">
        <v>1.3689492325855962E-9</v>
      </c>
      <c r="FG31">
        <v>2.6893447461629279E-9</v>
      </c>
      <c r="FS31">
        <v>3.5346812278630458E-9</v>
      </c>
      <c r="GF31">
        <v>1.325354191263282E-8</v>
      </c>
      <c r="GU31">
        <v>3.030593270365998E-8</v>
      </c>
      <c r="GV31">
        <v>2.0748376623376623E-8</v>
      </c>
      <c r="GW31">
        <v>1.9730667060212514E-8</v>
      </c>
      <c r="GX31">
        <v>2.0157910271546637E-9</v>
      </c>
      <c r="GY31">
        <v>2.2405548996458083E-9</v>
      </c>
      <c r="GZ31">
        <v>2.6483175914994096E-9</v>
      </c>
      <c r="HA31">
        <v>6.8685064935064941E-9</v>
      </c>
      <c r="HB31">
        <v>7.7247638724911448E-9</v>
      </c>
      <c r="HC31">
        <v>9.1493506493506498E-9</v>
      </c>
      <c r="HD31">
        <v>2.0092384887839433E-8</v>
      </c>
      <c r="HE31">
        <v>1.9986275088547815E-8</v>
      </c>
      <c r="HO31">
        <v>2.561909681227863E-8</v>
      </c>
      <c r="HP31">
        <v>2.8450560802833527E-8</v>
      </c>
      <c r="IE31">
        <v>3.4654073199527743E-8</v>
      </c>
      <c r="IF31">
        <v>2.5483028335301062E-8</v>
      </c>
      <c r="IG31">
        <v>1.3325118063754426E-8</v>
      </c>
      <c r="IH31">
        <v>1.0222107438016528E-8</v>
      </c>
      <c r="IJ31">
        <v>3.8819362455726092E-9</v>
      </c>
      <c r="IK31">
        <v>4.5343860684769774E-9</v>
      </c>
      <c r="IL31">
        <v>4.7091204250295156E-9</v>
      </c>
      <c r="IM31">
        <v>9.0367473435655273E-9</v>
      </c>
      <c r="IN31">
        <v>8.1608618654073201E-9</v>
      </c>
      <c r="IO31">
        <v>9.2290436835891388E-9</v>
      </c>
      <c r="IP31">
        <v>1.0137691853600944E-8</v>
      </c>
      <c r="IQ31">
        <v>1.0492916174734355E-8</v>
      </c>
      <c r="IR31">
        <v>8.4390495867768607E-9</v>
      </c>
      <c r="IU31">
        <v>1.8689492325855961E-9</v>
      </c>
      <c r="IV31">
        <v>2.8304309327036596E-9</v>
      </c>
      <c r="IW31">
        <v>1.315082644628099E-9</v>
      </c>
      <c r="IX31">
        <v>1.7886658795749704E-9</v>
      </c>
      <c r="IY31">
        <v>2.6756198347107441E-9</v>
      </c>
      <c r="IZ31">
        <v>4.4459366391184576E-8</v>
      </c>
      <c r="JA31">
        <v>5.8527031680440776E-8</v>
      </c>
      <c r="JB31">
        <v>2.0223214285714289E-8</v>
      </c>
      <c r="JC31">
        <v>2.0645907123179851E-8</v>
      </c>
      <c r="JD31">
        <v>2.4958471074380169E-8</v>
      </c>
      <c r="JE31">
        <v>1.0353699330972059E-8</v>
      </c>
      <c r="JF31">
        <v>1.6047107438016529E-8</v>
      </c>
      <c r="JG31">
        <v>9.0146595828414016E-10</v>
      </c>
      <c r="JH31">
        <v>6.2644628099173556E-9</v>
      </c>
      <c r="JI31">
        <v>9.3403187721369549E-10</v>
      </c>
      <c r="JJ31">
        <v>1.6248524203069657E-10</v>
      </c>
      <c r="JK31">
        <v>1.3695395513577331E-10</v>
      </c>
      <c r="JL31">
        <v>2.3435655253837074E-10</v>
      </c>
      <c r="JT31">
        <v>2.9878984651711926E-9</v>
      </c>
      <c r="JU31">
        <v>1.844155844155844E-9</v>
      </c>
      <c r="JV31">
        <v>1.254427390791027E-9</v>
      </c>
      <c r="KB31" s="42">
        <v>1.1770956316410862E-9</v>
      </c>
      <c r="KM31">
        <v>7.5531286894923248E-10</v>
      </c>
      <c r="KT31">
        <v>2.7072018890200708E-9</v>
      </c>
      <c r="KU31">
        <v>2.689197166469894E-9</v>
      </c>
      <c r="KX31">
        <v>1.4241440377804013E-9</v>
      </c>
    </row>
    <row r="32" spans="1:310" x14ac:dyDescent="0.35">
      <c r="E32">
        <v>1.9212047909031519E-8</v>
      </c>
      <c r="F32">
        <v>7.6307974286431311E-9</v>
      </c>
      <c r="X32">
        <v>4.0555360518498515E-9</v>
      </c>
      <c r="Y32">
        <v>5.1179682414265196E-10</v>
      </c>
      <c r="Z32">
        <v>4.0129782079599317E-10</v>
      </c>
      <c r="AA32">
        <v>1.3278069537952411E-10</v>
      </c>
      <c r="AN32">
        <v>1.2164439664717976E-8</v>
      </c>
      <c r="AO32">
        <v>1.8887371825124054E-8</v>
      </c>
      <c r="AP32">
        <v>1.7577526643477756E-8</v>
      </c>
      <c r="AW32">
        <v>1.116903917778038E-8</v>
      </c>
      <c r="AX32">
        <v>6.8477551086310044E-9</v>
      </c>
      <c r="AZ32">
        <v>1.6249492325478094E-8</v>
      </c>
      <c r="BE32">
        <v>1.5804085849025206E-8</v>
      </c>
      <c r="BF32">
        <v>1.8822800391069628E-8</v>
      </c>
      <c r="BG32">
        <v>2.1223539025508659E-8</v>
      </c>
      <c r="BH32">
        <v>1.8502216862841664E-8</v>
      </c>
      <c r="BI32">
        <v>2.0464824675369156E-8</v>
      </c>
      <c r="BJ32">
        <v>2.0701965540576074E-8</v>
      </c>
      <c r="BK32">
        <v>2.7262559659028418E-8</v>
      </c>
      <c r="BN32">
        <v>1.7802617205850578E-9</v>
      </c>
      <c r="BO32">
        <v>2.2825092481421962E-9</v>
      </c>
      <c r="BP32">
        <v>2.9086702671065956E-9</v>
      </c>
      <c r="BQ32">
        <v>3.4202397270448311E-9</v>
      </c>
      <c r="BR32">
        <v>3.0823765192811785E-9</v>
      </c>
      <c r="BS32">
        <v>3.2274348816992198E-9</v>
      </c>
      <c r="BT32">
        <v>3.9206683409666337E-9</v>
      </c>
      <c r="BU32">
        <v>2.6367426786238714E-9</v>
      </c>
      <c r="BV32">
        <v>4.1289339522125987E-9</v>
      </c>
      <c r="BW32">
        <v>2.4252939685160679E-9</v>
      </c>
      <c r="BX32">
        <v>3.5168695139220531E-9</v>
      </c>
      <c r="BY32">
        <v>2.5626219479839319E-9</v>
      </c>
      <c r="BZ32">
        <v>4.8023867256957327E-9</v>
      </c>
      <c r="CA32">
        <v>4.8096623802370765E-9</v>
      </c>
      <c r="CB32">
        <v>4.3592538912870132E-9</v>
      </c>
      <c r="CF32">
        <v>1.0139988788589068E-8</v>
      </c>
      <c r="CG32">
        <v>1.0911662898380344E-8</v>
      </c>
      <c r="CH32">
        <v>1.0363033073122138E-8</v>
      </c>
      <c r="CI32">
        <v>1.5619920843447442E-10</v>
      </c>
      <c r="CJ32">
        <v>3.890201537574756E-10</v>
      </c>
      <c r="CK32">
        <v>2.8443261972565863E-10</v>
      </c>
      <c r="CU32">
        <v>2.977561621044945E-9</v>
      </c>
      <c r="CV32">
        <v>2.767477096163643E-9</v>
      </c>
      <c r="CZ32">
        <v>9.2630450521527262E-9</v>
      </c>
      <c r="DA32">
        <v>8.937004783018757E-9</v>
      </c>
      <c r="DB32">
        <v>9.8175863467257729E-9</v>
      </c>
      <c r="DC32">
        <v>1.0273906304990677E-8</v>
      </c>
      <c r="DD32">
        <v>1.0870282613176451E-8</v>
      </c>
      <c r="DE32">
        <v>1.0137487782340483E-8</v>
      </c>
      <c r="DF32">
        <v>5.2030024538784756E-9</v>
      </c>
      <c r="DG32">
        <v>5.5249501673329383E-9</v>
      </c>
      <c r="DH32">
        <v>5.5892942371829472E-9</v>
      </c>
      <c r="DY32">
        <v>2.6167355371900825E-9</v>
      </c>
      <c r="EB32">
        <v>4.0701003541912637E-9</v>
      </c>
      <c r="EC32">
        <v>7.5057556080283348E-9</v>
      </c>
      <c r="ED32">
        <v>5.7929456906729631E-9</v>
      </c>
      <c r="EG32">
        <v>7.3853305785123962E-9</v>
      </c>
      <c r="EY32">
        <v>1.1289551357733176E-8</v>
      </c>
      <c r="FE32">
        <v>1.4642857142857142E-9</v>
      </c>
      <c r="FG32">
        <v>2.9966056670602125E-9</v>
      </c>
      <c r="FS32">
        <v>3.938016528925619E-9</v>
      </c>
      <c r="GU32">
        <v>3.2315377804014168E-8</v>
      </c>
      <c r="GV32">
        <v>2.1886658795749704E-8</v>
      </c>
      <c r="GW32">
        <v>2.1516528925619832E-8</v>
      </c>
      <c r="GX32">
        <v>2.062131050767414E-9</v>
      </c>
      <c r="GY32">
        <v>2.2796635182998824E-9</v>
      </c>
      <c r="GZ32">
        <v>2.8262987012987013E-9</v>
      </c>
      <c r="HA32">
        <v>7.1022727272727277E-9</v>
      </c>
      <c r="HB32">
        <v>8.0618358913813458E-9</v>
      </c>
      <c r="HC32">
        <v>9.7108913813459259E-9</v>
      </c>
      <c r="HD32">
        <v>2.1146399055489963E-8</v>
      </c>
      <c r="HE32">
        <v>2.0621605667060212E-8</v>
      </c>
      <c r="HO32">
        <v>2.6674881936245575E-8</v>
      </c>
      <c r="HP32">
        <v>2.9758412042502948E-8</v>
      </c>
      <c r="IE32">
        <v>3.8509592680047219E-8</v>
      </c>
      <c r="IF32">
        <v>2.6845484061393148E-8</v>
      </c>
      <c r="IG32">
        <v>1.2639167650531286E-8</v>
      </c>
      <c r="IH32">
        <v>9.9352125147579701E-9</v>
      </c>
      <c r="IJ32">
        <v>4.0935655253837069E-9</v>
      </c>
      <c r="IK32">
        <v>4.6617473435655253E-9</v>
      </c>
      <c r="IL32">
        <v>4.8751475796930333E-9</v>
      </c>
      <c r="IM32">
        <v>9.5860389610389608E-9</v>
      </c>
      <c r="IN32">
        <v>8.3192148760330578E-9</v>
      </c>
      <c r="IO32">
        <v>9.4492325855962217E-9</v>
      </c>
      <c r="IP32">
        <v>1.0735979929161747E-8</v>
      </c>
      <c r="IR32">
        <v>8.7389315230224326E-9</v>
      </c>
      <c r="IU32">
        <v>1.9887839433293978E-9</v>
      </c>
      <c r="IV32">
        <v>2.9452479338842975E-9</v>
      </c>
      <c r="IW32">
        <v>1.4219303423848878E-9</v>
      </c>
      <c r="IX32">
        <v>1.866145218417946E-9</v>
      </c>
      <c r="IY32">
        <v>2.7925029515938601E-9</v>
      </c>
      <c r="IZ32">
        <v>4.6209661550570651E-8</v>
      </c>
      <c r="JA32">
        <v>5.9799537583628499E-8</v>
      </c>
      <c r="JB32">
        <v>2.1724345730027549E-8</v>
      </c>
      <c r="JC32">
        <v>1.9279688114915389E-8</v>
      </c>
      <c r="JD32">
        <v>2.8486260330578511E-8</v>
      </c>
      <c r="JE32">
        <v>1.0322215663124755E-8</v>
      </c>
      <c r="JF32">
        <v>1.8545144628099178E-8</v>
      </c>
      <c r="JG32">
        <v>1.0392070051160962E-9</v>
      </c>
      <c r="JH32">
        <v>6.9589728453364824E-9</v>
      </c>
      <c r="JI32">
        <v>1.7417355371900828E-9</v>
      </c>
      <c r="JJ32">
        <v>1.1585005903187721E-10</v>
      </c>
      <c r="JK32">
        <v>1.326741440377804E-10</v>
      </c>
      <c r="JL32">
        <v>2.4926210153482884E-10</v>
      </c>
      <c r="JT32">
        <v>4.7073494687131061E-9</v>
      </c>
      <c r="JU32">
        <v>2.2122195985832352E-9</v>
      </c>
      <c r="JV32">
        <v>1.4716646989374262E-9</v>
      </c>
      <c r="KB32" s="42">
        <v>1.1852125147579692E-9</v>
      </c>
      <c r="KM32">
        <v>7.98258559622196E-10</v>
      </c>
      <c r="KT32">
        <v>6.8103305785123963E-8</v>
      </c>
      <c r="KU32">
        <v>3.0929752066115702E-9</v>
      </c>
      <c r="KX32">
        <v>1.6452184179456906E-9</v>
      </c>
    </row>
    <row r="33" spans="5:310" x14ac:dyDescent="0.35">
      <c r="E33">
        <v>1.9922788412039043E-8</v>
      </c>
      <c r="F33">
        <v>8.364274352092352E-9</v>
      </c>
      <c r="X33">
        <v>4.7357007831487981E-9</v>
      </c>
      <c r="Y33">
        <v>5.0724954005431206E-10</v>
      </c>
      <c r="Z33">
        <v>4.5018112474564681E-10</v>
      </c>
      <c r="AA33">
        <v>1.950784873897803E-10</v>
      </c>
      <c r="AN33">
        <v>1.2718526230882188E-8</v>
      </c>
      <c r="AO33">
        <v>1.9463967447525547E-8</v>
      </c>
      <c r="AP33">
        <v>1.814821079656441E-8</v>
      </c>
      <c r="AW33">
        <v>1.2319502052130369E-8</v>
      </c>
      <c r="AX33">
        <v>7.5405338394895824E-9</v>
      </c>
      <c r="AZ33">
        <v>1.6609409861070197E-8</v>
      </c>
      <c r="BE33">
        <v>1.6393186502669638E-8</v>
      </c>
      <c r="BF33">
        <v>1.9755220993383718E-8</v>
      </c>
      <c r="BG33">
        <v>2.2131404293745713E-8</v>
      </c>
      <c r="BH33">
        <v>1.9368701845874828E-8</v>
      </c>
      <c r="BI33">
        <v>2.1089621509107049E-8</v>
      </c>
      <c r="BJ33">
        <v>2.1167380067017659E-8</v>
      </c>
      <c r="BK33">
        <v>2.967625805311922E-8</v>
      </c>
      <c r="BN33">
        <v>1.8443784262306496E-9</v>
      </c>
      <c r="BO33">
        <v>2.3247989901637569E-9</v>
      </c>
      <c r="BP33">
        <v>3.0967004641594486E-9</v>
      </c>
      <c r="BQ33">
        <v>3.443203511690947E-9</v>
      </c>
      <c r="BR33">
        <v>3.1678654601419684E-9</v>
      </c>
      <c r="BS33">
        <v>3.2747266362179547E-9</v>
      </c>
      <c r="BT33">
        <v>4.0893725806440422E-9</v>
      </c>
      <c r="BU33">
        <v>2.6781229638277644E-9</v>
      </c>
      <c r="BV33">
        <v>4.1159741925608309E-9</v>
      </c>
      <c r="BW33">
        <v>2.465310068493459E-9</v>
      </c>
      <c r="BX33">
        <v>3.5512015087890185E-9</v>
      </c>
      <c r="BY33">
        <v>2.5448875400394066E-9</v>
      </c>
      <c r="BZ33">
        <v>5.0611271903222712E-9</v>
      </c>
      <c r="CA33">
        <v>4.8348998069273633E-9</v>
      </c>
      <c r="CB33">
        <v>4.5506945514061218E-9</v>
      </c>
      <c r="CF33">
        <v>1.0261173909543326E-8</v>
      </c>
      <c r="CG33">
        <v>1.1015795704003326E-8</v>
      </c>
      <c r="CH33">
        <v>1.0507864071335763E-8</v>
      </c>
      <c r="CI33">
        <v>2.5487527315144954E-10</v>
      </c>
      <c r="CJ33">
        <v>4.1221130260800888E-10</v>
      </c>
      <c r="CK33">
        <v>3.5718916513909651E-10</v>
      </c>
      <c r="CU33">
        <v>3.1751411146833118E-9</v>
      </c>
      <c r="CV33">
        <v>2.9195837489186114E-9</v>
      </c>
      <c r="CZ33">
        <v>9.4440269588686529E-9</v>
      </c>
      <c r="DA33">
        <v>9.0800168675970471E-9</v>
      </c>
      <c r="DB33">
        <v>9.8230430876317789E-9</v>
      </c>
      <c r="DC33">
        <v>1.0588578363903796E-8</v>
      </c>
      <c r="DD33">
        <v>1.1261121680569264E-8</v>
      </c>
      <c r="DE33">
        <v>1.0370308727663483E-8</v>
      </c>
      <c r="DF33">
        <v>5.2311956152261833E-9</v>
      </c>
      <c r="DG33">
        <v>5.5306342724433631E-9</v>
      </c>
      <c r="DH33">
        <v>5.7125256359769574E-9</v>
      </c>
      <c r="DY33">
        <v>2.8419421487603305E-9</v>
      </c>
      <c r="EB33">
        <v>4.3451889020070843E-9</v>
      </c>
      <c r="EC33">
        <v>8.0314344746162924E-9</v>
      </c>
      <c r="ED33">
        <v>6.069362455726091E-9</v>
      </c>
      <c r="EG33">
        <v>7.6435950413223125E-9</v>
      </c>
      <c r="FE33">
        <v>1.606404958677686E-9</v>
      </c>
      <c r="FG33">
        <v>3.2545749704840614E-9</v>
      </c>
      <c r="FS33">
        <v>4.3754427390791033E-9</v>
      </c>
      <c r="GU33">
        <v>3.5058293978748522E-8</v>
      </c>
      <c r="GV33">
        <v>2.3410861865407314E-8</v>
      </c>
      <c r="GX33">
        <v>2.1593860684769773E-9</v>
      </c>
      <c r="GY33">
        <v>2.3633412042502949E-9</v>
      </c>
      <c r="GZ33">
        <v>2.942296340023613E-9</v>
      </c>
      <c r="HA33">
        <v>7.2352420306965759E-9</v>
      </c>
      <c r="HB33">
        <v>8.3628984651711923E-9</v>
      </c>
      <c r="HC33">
        <v>1.043904958677686E-8</v>
      </c>
      <c r="HE33">
        <v>2.1258264462809917E-8</v>
      </c>
      <c r="HO33">
        <v>2.7988046044864225E-8</v>
      </c>
      <c r="HP33">
        <v>3.1661894923258556E-8</v>
      </c>
      <c r="IF33">
        <v>2.8333677685950412E-8</v>
      </c>
      <c r="IG33">
        <v>1.1379132231404957E-8</v>
      </c>
      <c r="IH33">
        <v>1.1400974025974024E-8</v>
      </c>
      <c r="IJ33">
        <v>4.4569067296340025E-9</v>
      </c>
      <c r="IK33">
        <v>4.8763282172373079E-9</v>
      </c>
      <c r="IL33">
        <v>4.9477567886658795E-9</v>
      </c>
      <c r="IM33">
        <v>1.0211481700118063E-8</v>
      </c>
      <c r="IN33">
        <v>8.6556965761511198E-9</v>
      </c>
      <c r="IO33">
        <v>9.7262396694214861E-9</v>
      </c>
      <c r="IP33">
        <v>1.1286304604486423E-8</v>
      </c>
      <c r="IR33">
        <v>9.0720188902007084E-9</v>
      </c>
      <c r="IU33">
        <v>2.1002066115702478E-9</v>
      </c>
      <c r="IV33">
        <v>3.1211629279811098E-9</v>
      </c>
      <c r="IW33">
        <v>1.4324085005903188E-9</v>
      </c>
      <c r="IX33">
        <v>2.0333530106257379E-9</v>
      </c>
      <c r="IY33">
        <v>2.8921192443919714E-9</v>
      </c>
      <c r="IZ33">
        <v>4.797631345926801E-8</v>
      </c>
      <c r="JA33">
        <v>6.1851756198347103E-8</v>
      </c>
      <c r="JB33">
        <v>2.4287067099567101E-8</v>
      </c>
      <c r="JC33">
        <v>1.8471566312475406E-8</v>
      </c>
      <c r="JE33">
        <v>9.9467483274301467E-9</v>
      </c>
      <c r="JG33">
        <v>1.1921979535615902E-9</v>
      </c>
      <c r="JH33">
        <v>9.5377804014167638E-9</v>
      </c>
      <c r="JI33">
        <v>1.7255017709563162E-9</v>
      </c>
      <c r="JJ33">
        <v>1.652892561983471E-10</v>
      </c>
      <c r="JK33">
        <v>1.617473435655254E-10</v>
      </c>
      <c r="JL33">
        <v>2.0336481700118064E-10</v>
      </c>
      <c r="JU33">
        <v>2.6571723730814639E-9</v>
      </c>
      <c r="JV33">
        <v>1.816263282172373E-9</v>
      </c>
      <c r="KB33" s="42">
        <v>1.3298406139315229E-9</v>
      </c>
      <c r="KM33">
        <v>8.5684769775678863E-10</v>
      </c>
      <c r="KT33">
        <v>8.7268004722550178E-8</v>
      </c>
      <c r="KU33">
        <v>5.8960301062573785E-8</v>
      </c>
      <c r="KX33">
        <v>1.5962219598583235E-9</v>
      </c>
    </row>
    <row r="34" spans="5:310" x14ac:dyDescent="0.35">
      <c r="F34">
        <v>9.8946628120231334E-9</v>
      </c>
      <c r="X34">
        <v>4.4929246556845796E-9</v>
      </c>
      <c r="Y34">
        <v>5.4044471389919317E-10</v>
      </c>
      <c r="Z34">
        <v>4.392676429336312E-10</v>
      </c>
      <c r="AA34">
        <v>2.1645072260497762E-10</v>
      </c>
      <c r="AN34">
        <v>1.3154383410749564E-8</v>
      </c>
      <c r="AO34">
        <v>1.9911192837613773E-8</v>
      </c>
      <c r="AP34">
        <v>1.866205389854681E-8</v>
      </c>
      <c r="AW34">
        <v>1.3398572566293415E-8</v>
      </c>
      <c r="AX34">
        <v>8.2087572362711267E-9</v>
      </c>
      <c r="AZ34">
        <v>1.7022075892087039E-8</v>
      </c>
      <c r="BE34">
        <v>1.7206468261869221E-8</v>
      </c>
      <c r="BF34">
        <v>2.0881810626269917E-8</v>
      </c>
      <c r="BG34">
        <v>2.3161364139754694E-8</v>
      </c>
      <c r="BH34">
        <v>2.008535381819719E-8</v>
      </c>
      <c r="BI34">
        <v>2.1852428414926061E-8</v>
      </c>
      <c r="BJ34">
        <v>2.1740110497944068E-8</v>
      </c>
      <c r="BK34">
        <v>3.1999238129647641E-8</v>
      </c>
      <c r="BN34">
        <v>1.9742033869527531E-9</v>
      </c>
      <c r="BO34">
        <v>2.4655374326978757E-9</v>
      </c>
      <c r="BP34">
        <v>3.2165213998872044E-9</v>
      </c>
      <c r="BQ34">
        <v>3.4625294690663914E-9</v>
      </c>
      <c r="BR34">
        <v>3.1876461459262466E-9</v>
      </c>
      <c r="BS34">
        <v>3.3768131640011852E-9</v>
      </c>
      <c r="BT34">
        <v>4.1353001499362749E-9</v>
      </c>
      <c r="BU34">
        <v>2.791350337627427E-9</v>
      </c>
      <c r="BV34">
        <v>4.3146905072212825E-9</v>
      </c>
      <c r="BW34">
        <v>2.4796340133717291E-9</v>
      </c>
      <c r="BX34">
        <v>3.5418795764079222E-9</v>
      </c>
      <c r="BY34">
        <v>2.7290525456171709E-9</v>
      </c>
      <c r="BZ34">
        <v>5.0888656232611446E-9</v>
      </c>
      <c r="CA34">
        <v>4.8703686228164148E-9</v>
      </c>
      <c r="CB34">
        <v>4.5259118531246701E-9</v>
      </c>
      <c r="CF34">
        <v>1.0354393233354294E-8</v>
      </c>
      <c r="CG34">
        <v>1.1144256479498927E-8</v>
      </c>
      <c r="CH34">
        <v>1.0745459664951523E-8</v>
      </c>
      <c r="CI34">
        <v>2.1895172885356457E-10</v>
      </c>
      <c r="CJ34">
        <v>4.6609661905483635E-10</v>
      </c>
      <c r="CK34">
        <v>3.6946683217761418E-10</v>
      </c>
      <c r="CU34">
        <v>3.1992417203515133E-9</v>
      </c>
      <c r="CV34">
        <v>3.0837407045076804E-9</v>
      </c>
      <c r="CZ34">
        <v>9.6684354286282255E-9</v>
      </c>
      <c r="DA34">
        <v>9.2273488720592576E-9</v>
      </c>
      <c r="DB34">
        <v>9.9653730795968193E-9</v>
      </c>
      <c r="DC34">
        <v>1.1219514031160952E-8</v>
      </c>
      <c r="DD34">
        <v>1.1591254505382737E-8</v>
      </c>
      <c r="DE34">
        <v>1.0716357046786146E-8</v>
      </c>
      <c r="DF34">
        <v>5.3351010566447487E-9</v>
      </c>
      <c r="DG34">
        <v>5.6236262320499131E-9</v>
      </c>
      <c r="DH34">
        <v>5.6957006848500993E-9</v>
      </c>
      <c r="DY34">
        <v>2.9169126328217235E-9</v>
      </c>
      <c r="EB34">
        <v>4.626328217237309E-9</v>
      </c>
      <c r="EC34">
        <v>8.8209858323494692E-9</v>
      </c>
      <c r="ED34">
        <v>6.3152302243211337E-9</v>
      </c>
      <c r="EG34">
        <v>7.8664403778040133E-9</v>
      </c>
      <c r="FE34">
        <v>1.7691853600944508E-9</v>
      </c>
      <c r="FG34">
        <v>3.5687721369539548E-9</v>
      </c>
      <c r="FS34">
        <v>4.8561097992916174E-9</v>
      </c>
      <c r="GU34">
        <v>3.8139757969303425E-8</v>
      </c>
      <c r="GV34">
        <v>2.53857733175915E-8</v>
      </c>
      <c r="GX34">
        <v>2.2626918536009442E-9</v>
      </c>
      <c r="GY34">
        <v>2.4393447461629278E-9</v>
      </c>
      <c r="GZ34">
        <v>3.1183589138134592E-9</v>
      </c>
      <c r="HA34">
        <v>7.6055194805194808E-9</v>
      </c>
      <c r="HB34">
        <v>8.667650531286897E-9</v>
      </c>
      <c r="HC34">
        <v>1.1159828807556082E-8</v>
      </c>
      <c r="HO34">
        <v>2.9213252656434473E-8</v>
      </c>
      <c r="IF34">
        <v>3.0139757969303426E-8</v>
      </c>
      <c r="IG34">
        <v>1.1093122786304604E-8</v>
      </c>
      <c r="IH34">
        <v>1.0545897284533649E-8</v>
      </c>
      <c r="IJ34">
        <v>4.7991440377804009E-9</v>
      </c>
      <c r="IK34">
        <v>4.9753541912632823E-9</v>
      </c>
      <c r="IL34">
        <v>5.1286894923258561E-9</v>
      </c>
      <c r="IM34">
        <v>1.0862455726092089E-8</v>
      </c>
      <c r="IN34">
        <v>8.8091794569067296E-9</v>
      </c>
      <c r="IO34">
        <v>9.9840613931523011E-9</v>
      </c>
      <c r="IP34">
        <v>1.1954693034238486E-8</v>
      </c>
      <c r="IR34">
        <v>9.2250590318772136E-9</v>
      </c>
      <c r="IU34">
        <v>2.2495572609208973E-9</v>
      </c>
      <c r="IV34">
        <v>3.2635773317591496E-9</v>
      </c>
      <c r="IW34">
        <v>1.5033943329397875E-9</v>
      </c>
      <c r="IX34">
        <v>2.0873671782762692E-9</v>
      </c>
      <c r="IY34">
        <v>3.0209563164108617E-9</v>
      </c>
      <c r="IZ34">
        <v>4.9537337662337665E-8</v>
      </c>
      <c r="JA34">
        <v>6.3198051948051957E-8</v>
      </c>
      <c r="JB34">
        <v>2.7167822707595437E-8</v>
      </c>
      <c r="JC34">
        <v>2.1896030106257381E-8</v>
      </c>
      <c r="JE34">
        <v>1.009211432506887E-8</v>
      </c>
      <c r="JG34">
        <v>1.3267414403778039E-9</v>
      </c>
      <c r="JI34">
        <v>1.3680637544273906E-9</v>
      </c>
      <c r="JJ34">
        <v>4.0185950413223141E-10</v>
      </c>
      <c r="JK34">
        <v>1.1289846517119245E-10</v>
      </c>
      <c r="JL34">
        <v>1.9583825265643447E-10</v>
      </c>
      <c r="JU34">
        <v>3.0457497048406134E-9</v>
      </c>
      <c r="JV34">
        <v>2.1396103896103889E-9</v>
      </c>
      <c r="KB34" s="42">
        <v>1.4406729634002362E-9</v>
      </c>
      <c r="KM34">
        <v>8.6791617473435669E-10</v>
      </c>
      <c r="KT34">
        <v>1.0570853010625738E-7</v>
      </c>
      <c r="KU34">
        <v>5.3933736717827627E-8</v>
      </c>
      <c r="KX34">
        <v>1.8587662337662337E-9</v>
      </c>
    </row>
    <row r="35" spans="5:310" x14ac:dyDescent="0.35">
      <c r="F35">
        <v>1.0803892265486689E-8</v>
      </c>
      <c r="X35">
        <v>4.464861823746512E-9</v>
      </c>
      <c r="Y35">
        <v>5.7795980762799706E-10</v>
      </c>
      <c r="Z35">
        <v>5.09977910507316E-10</v>
      </c>
      <c r="AA35">
        <v>1.9121329591469138E-10</v>
      </c>
      <c r="AN35">
        <v>1.3659586672964126E-8</v>
      </c>
      <c r="AO35">
        <v>2.0495746207169865E-8</v>
      </c>
      <c r="AP35">
        <v>1.930503986863807E-8</v>
      </c>
      <c r="AW35">
        <v>1.4275516302729762E-8</v>
      </c>
      <c r="AX35">
        <v>8.8553810336330574E-9</v>
      </c>
      <c r="AZ35">
        <v>1.7291047745912342E-8</v>
      </c>
      <c r="BE35">
        <v>1.782580835470111E-8</v>
      </c>
      <c r="BF35">
        <v>2.2283738310705101E-8</v>
      </c>
      <c r="BG35">
        <v>2.4535780755455422E-8</v>
      </c>
      <c r="BH35">
        <v>2.1203303611315548E-8</v>
      </c>
      <c r="BI35">
        <v>2.3008348030182059E-8</v>
      </c>
      <c r="BJ35">
        <v>2.2582040146900192E-8</v>
      </c>
      <c r="BK35">
        <v>3.4111678952885925E-8</v>
      </c>
      <c r="BN35">
        <v>2.01149111647714E-9</v>
      </c>
      <c r="BO35">
        <v>2.591269837740473E-9</v>
      </c>
      <c r="BP35">
        <v>3.3131511867644272E-9</v>
      </c>
      <c r="BQ35">
        <v>3.5123222298337131E-9</v>
      </c>
      <c r="BR35">
        <v>3.1956038930808418E-9</v>
      </c>
      <c r="BS35">
        <v>3.4500244378234566E-9</v>
      </c>
      <c r="BT35">
        <v>4.2908172657574977E-9</v>
      </c>
      <c r="BU35">
        <v>2.759291984804631E-9</v>
      </c>
      <c r="BV35">
        <v>4.6088997877368725E-9</v>
      </c>
      <c r="BW35">
        <v>2.5030525264266797E-9</v>
      </c>
      <c r="BX35">
        <v>3.6496502093015771E-9</v>
      </c>
      <c r="BY35">
        <v>2.7397386632247695E-9</v>
      </c>
      <c r="CA35">
        <v>4.6843847036033131E-9</v>
      </c>
      <c r="CB35">
        <v>4.5165899207435722E-9</v>
      </c>
      <c r="CF35">
        <v>1.03598499742603E-8</v>
      </c>
      <c r="CG35">
        <v>1.164332090819423E-8</v>
      </c>
      <c r="CH35">
        <v>1.0988284635268872E-8</v>
      </c>
      <c r="CI35">
        <v>2.7101813166505605E-10</v>
      </c>
      <c r="CJ35">
        <v>5.5044873889354095E-10</v>
      </c>
      <c r="CK35">
        <v>3.9470425886790034E-10</v>
      </c>
      <c r="CU35">
        <v>3.3111049089246743E-9</v>
      </c>
      <c r="CV35">
        <v>3.1060223965405457E-9</v>
      </c>
      <c r="CZ35">
        <v>9.8862503364597047E-9</v>
      </c>
      <c r="DA35">
        <v>9.3951436549189993E-9</v>
      </c>
      <c r="DB35">
        <v>1.0154994826080588E-8</v>
      </c>
      <c r="DC35">
        <v>1.1984594579024135E-8</v>
      </c>
      <c r="DD35">
        <v>1.1993007054587565E-8</v>
      </c>
      <c r="DE35">
        <v>1.0830948605812312E-8</v>
      </c>
      <c r="DF35">
        <v>5.3785276196883938E-9</v>
      </c>
      <c r="DG35">
        <v>5.669781165546562E-9</v>
      </c>
      <c r="DH35">
        <v>5.794376749567075E-9</v>
      </c>
      <c r="DY35">
        <v>3.0531286894923257E-9</v>
      </c>
      <c r="EB35">
        <v>4.846074380165289E-9</v>
      </c>
      <c r="ED35">
        <v>6.5923848878394324E-9</v>
      </c>
      <c r="FE35">
        <v>1.9456906729634002E-9</v>
      </c>
      <c r="FG35">
        <v>4.0171192443919715E-9</v>
      </c>
      <c r="FS35">
        <v>5.7662337662337672E-9</v>
      </c>
      <c r="GU35">
        <v>4.0847992916174732E-8</v>
      </c>
      <c r="GV35">
        <v>2.7577922077922077E-8</v>
      </c>
      <c r="GX35">
        <v>2.3561097992916174E-9</v>
      </c>
      <c r="GY35">
        <v>2.5420602125147582E-9</v>
      </c>
      <c r="GZ35">
        <v>3.2154663518299881E-9</v>
      </c>
      <c r="HA35">
        <v>7.7958972845336477E-9</v>
      </c>
      <c r="HB35">
        <v>8.9784533648170009E-9</v>
      </c>
      <c r="HC35">
        <v>0</v>
      </c>
      <c r="HO35">
        <v>3.0822018890200706E-8</v>
      </c>
      <c r="IG35">
        <v>1.2150678866587959E-8</v>
      </c>
      <c r="IH35">
        <v>1.0280106257378984E-8</v>
      </c>
      <c r="IJ35">
        <v>5.2516233766233766E-9</v>
      </c>
      <c r="IK35">
        <v>5.1468417945690668E-9</v>
      </c>
      <c r="IL35">
        <v>5.2150236127508857E-9</v>
      </c>
      <c r="IM35">
        <v>1.1618801652892561E-8</v>
      </c>
      <c r="IN35">
        <v>9.0981404958677695E-9</v>
      </c>
      <c r="IO35">
        <v>1.0399645808736716E-8</v>
      </c>
      <c r="IP35">
        <v>1.2781582054309326E-8</v>
      </c>
      <c r="IR35">
        <v>9.6860979929161754E-9</v>
      </c>
      <c r="IU35">
        <v>2.3956611570247936E-9</v>
      </c>
      <c r="IV35">
        <v>3.4186835891381346E-9</v>
      </c>
      <c r="IW35">
        <v>1.6102420306965762E-9</v>
      </c>
      <c r="IX35">
        <v>2.1126033057851239E-9</v>
      </c>
      <c r="IY35">
        <v>3.2646103896103895E-9</v>
      </c>
      <c r="IZ35">
        <v>5.1216917552144837E-8</v>
      </c>
      <c r="JA35">
        <v>6.4526146202282577E-8</v>
      </c>
      <c r="JB35">
        <v>3.0126426603699332E-8</v>
      </c>
      <c r="JC35">
        <v>3.495904663518301E-8</v>
      </c>
      <c r="JE35">
        <v>1.8397530499803228E-8</v>
      </c>
      <c r="JG35">
        <v>1.5001475796930345E-9</v>
      </c>
      <c r="JI35">
        <v>9.1573199527744971E-10</v>
      </c>
      <c r="JJ35">
        <v>1.2362750885478158E-9</v>
      </c>
      <c r="JK35">
        <v>1.3665879574970484E-10</v>
      </c>
      <c r="JL35">
        <v>2.2992916174734355E-10</v>
      </c>
      <c r="JV35">
        <v>2.6081759149940965E-9</v>
      </c>
      <c r="KB35" s="42">
        <v>1.472107438016529E-9</v>
      </c>
      <c r="KM35">
        <v>9.9763872491145227E-10</v>
      </c>
      <c r="KT35">
        <v>9.2226387249114516E-8</v>
      </c>
      <c r="KU35">
        <v>8.1723288075560801E-8</v>
      </c>
      <c r="KX35">
        <v>1.0628394332939787E-8</v>
      </c>
    </row>
    <row r="36" spans="5:310" x14ac:dyDescent="0.35">
      <c r="F36">
        <v>1.1529638805985732E-8</v>
      </c>
      <c r="X36">
        <v>4.4568998109640823E-9</v>
      </c>
      <c r="Y36">
        <v>6.6162983485345059E-10</v>
      </c>
      <c r="Z36">
        <v>4.9315295938045852E-10</v>
      </c>
      <c r="AA36">
        <v>2.555573657647005E-10</v>
      </c>
      <c r="AN36">
        <v>1.4114087717593695E-8</v>
      </c>
      <c r="AO36">
        <v>2.0940243226805085E-8</v>
      </c>
      <c r="AP36">
        <v>1.9954846764861837E-8</v>
      </c>
      <c r="AW36">
        <v>1.4998989201184636E-8</v>
      </c>
      <c r="AX36">
        <v>9.5483871286960517E-9</v>
      </c>
      <c r="AZ36">
        <v>1.7416325422546108E-8</v>
      </c>
      <c r="BE36">
        <v>1.8583158519614114E-8</v>
      </c>
      <c r="BF36">
        <v>2.3830951721762741E-8</v>
      </c>
      <c r="BG36">
        <v>2.5964764780216228E-8</v>
      </c>
      <c r="BH36">
        <v>2.2762794689411704E-8</v>
      </c>
      <c r="BI36">
        <v>2.5417271775980104E-8</v>
      </c>
      <c r="BK36">
        <v>3.5892168037675399E-8</v>
      </c>
      <c r="BN36">
        <v>2.2017949555741638E-9</v>
      </c>
      <c r="BO36">
        <v>2.6801692416675173E-9</v>
      </c>
      <c r="BP36">
        <v>3.4322900298789316E-9</v>
      </c>
      <c r="BQ36">
        <v>3.6016763621695912E-9</v>
      </c>
      <c r="BR36">
        <v>3.2867769390520557E-9</v>
      </c>
      <c r="BS36">
        <v>3.4989077417731098E-9</v>
      </c>
      <c r="BT36">
        <v>4.754867606972581E-9</v>
      </c>
      <c r="BU36">
        <v>2.9375455210675535E-9</v>
      </c>
      <c r="BV36">
        <v>4.6164028064826318E-9</v>
      </c>
      <c r="BW36">
        <v>2.6999499274517955E-9</v>
      </c>
      <c r="BX36">
        <v>3.6973966922291455E-9</v>
      </c>
      <c r="BY36">
        <v>2.7401933916336034E-9</v>
      </c>
      <c r="CA36">
        <v>4.715988328017276E-9</v>
      </c>
      <c r="CB36">
        <v>4.5286402235776731E-9</v>
      </c>
      <c r="CF36">
        <v>1.0715447589968479E-8</v>
      </c>
      <c r="CG36">
        <v>1.1822711265479235E-8</v>
      </c>
      <c r="CH36">
        <v>1.1114017040311469E-8</v>
      </c>
      <c r="CI36">
        <v>3.3968212139898802E-10</v>
      </c>
      <c r="CJ36">
        <v>5.4521936219194999E-10</v>
      </c>
      <c r="CK36">
        <v>3.3104228163114226E-10</v>
      </c>
      <c r="CU36">
        <v>3.4027326833047216E-9</v>
      </c>
      <c r="CV36">
        <v>3.0989741062036198E-9</v>
      </c>
      <c r="CZ36">
        <v>1.0077690996578813E-8</v>
      </c>
      <c r="DA36">
        <v>9.602727173551713E-9</v>
      </c>
      <c r="DB36">
        <v>1.0270041113515589E-8</v>
      </c>
      <c r="DE36">
        <v>1.1168129720962713E-8</v>
      </c>
      <c r="DF36">
        <v>6.0919964931489194E-9</v>
      </c>
      <c r="DG36">
        <v>5.8541735353287447E-9</v>
      </c>
      <c r="DH36">
        <v>6.1881715516173075E-9</v>
      </c>
      <c r="DY36">
        <v>3.2581168831168832E-9</v>
      </c>
      <c r="EB36">
        <v>5.1097992916174737E-9</v>
      </c>
      <c r="ED36">
        <v>6.8391381345926794E-9</v>
      </c>
      <c r="FE36">
        <v>2.0357142857142855E-9</v>
      </c>
      <c r="FG36">
        <v>5.1986422668240844E-9</v>
      </c>
      <c r="FS36">
        <v>6.5408795749704843E-9</v>
      </c>
      <c r="GU36">
        <v>4.3478748524203069E-8</v>
      </c>
      <c r="GV36">
        <v>2.9473583234946871E-8</v>
      </c>
      <c r="GX36">
        <v>2.4437721369539551E-9</v>
      </c>
      <c r="GY36">
        <v>2.6636658795749702E-9</v>
      </c>
      <c r="GZ36">
        <v>3.4201593860684766E-9</v>
      </c>
      <c r="HA36">
        <v>8.2159090909090912E-9</v>
      </c>
      <c r="HB36">
        <v>9.2300767414403775E-9</v>
      </c>
      <c r="HC36">
        <v>0</v>
      </c>
      <c r="IG36">
        <v>1.4478158205430932E-8</v>
      </c>
      <c r="IH36">
        <v>1.0578069657615113E-8</v>
      </c>
      <c r="IJ36">
        <v>5.8453364817001172E-9</v>
      </c>
      <c r="IK36">
        <v>5.3416469893742619E-9</v>
      </c>
      <c r="IL36">
        <v>5.4368358913813454E-9</v>
      </c>
      <c r="IM36">
        <v>1.2476682408500587E-8</v>
      </c>
      <c r="IN36">
        <v>9.4101239669421497E-9</v>
      </c>
      <c r="IO36">
        <v>1.0822756788665881E-8</v>
      </c>
      <c r="IP36">
        <v>1.4242621015348287E-8</v>
      </c>
      <c r="IR36">
        <v>1.0484946871310508E-8</v>
      </c>
      <c r="IU36">
        <v>2.5253837072018887E-9</v>
      </c>
      <c r="IV36">
        <v>3.6152597402597399E-9</v>
      </c>
      <c r="IW36">
        <v>1.6877213695395513E-9</v>
      </c>
      <c r="IX36">
        <v>2.2582644628099173E-9</v>
      </c>
      <c r="IY36">
        <v>3.4753541912632821E-9</v>
      </c>
      <c r="IZ36">
        <v>5.3059818968909873E-8</v>
      </c>
      <c r="JA36">
        <v>6.5548135576544674E-8</v>
      </c>
      <c r="JB36">
        <v>3.4356183589138145E-8</v>
      </c>
      <c r="JC36">
        <v>3.0809843565525388E-8</v>
      </c>
      <c r="JG36">
        <v>1.6581808343171982E-9</v>
      </c>
      <c r="JI36">
        <v>6.5038370720188897E-10</v>
      </c>
      <c r="JJ36">
        <v>1.3279220779220779E-9</v>
      </c>
      <c r="JK36">
        <v>1.2293388429752066E-10</v>
      </c>
      <c r="JL36">
        <v>2.3096221959858324E-10</v>
      </c>
      <c r="JV36">
        <v>3.1326741440377803E-9</v>
      </c>
      <c r="KB36" s="42">
        <v>1.634887839433294E-9</v>
      </c>
      <c r="KM36">
        <v>1.0847107438016531E-9</v>
      </c>
      <c r="KT36">
        <v>8.6040289256198347E-8</v>
      </c>
      <c r="KU36">
        <v>1.024836186540732E-7</v>
      </c>
      <c r="KX36">
        <v>3.1439639905548997E-8</v>
      </c>
    </row>
    <row r="37" spans="5:310" x14ac:dyDescent="0.35">
      <c r="F37">
        <v>1.1756775646198309E-8</v>
      </c>
      <c r="X37">
        <v>4.4601629309568801E-9</v>
      </c>
      <c r="Y37">
        <v>6.880040825658218E-10</v>
      </c>
      <c r="Z37">
        <v>5.2430185538558666E-10</v>
      </c>
      <c r="AA37">
        <v>2.6215092769279333E-10</v>
      </c>
      <c r="AN37">
        <v>1.448787446965523E-8</v>
      </c>
      <c r="AO37">
        <v>2.1205577253359716E-8</v>
      </c>
      <c r="AP37">
        <v>2.0547130517368105E-8</v>
      </c>
      <c r="AW37">
        <v>1.6010532546635833E-8</v>
      </c>
      <c r="AZ37">
        <v>1.7645281176394019E-8</v>
      </c>
      <c r="BE37">
        <v>1.9398713920857872E-8</v>
      </c>
      <c r="BF37">
        <v>2.5543458909431531E-8</v>
      </c>
      <c r="BG37">
        <v>2.7439449010064838E-8</v>
      </c>
      <c r="BH37">
        <v>2.4854090641639208E-8</v>
      </c>
      <c r="BK37">
        <v>3.744301927600371E-8</v>
      </c>
      <c r="BN37">
        <v>2.2013402271653291E-9</v>
      </c>
      <c r="BO37">
        <v>2.8443261972565863E-9</v>
      </c>
      <c r="BP37">
        <v>3.5905355161531583E-9</v>
      </c>
      <c r="BQ37">
        <v>3.663519425771013E-9</v>
      </c>
      <c r="BR37">
        <v>3.3629439475317485E-9</v>
      </c>
      <c r="BS37">
        <v>3.5862155962692354E-9</v>
      </c>
      <c r="BT37">
        <v>4.6161754422782155E-9</v>
      </c>
      <c r="BU37">
        <v>2.9566441142385811E-9</v>
      </c>
      <c r="BV37">
        <v>4.666422931454371E-9</v>
      </c>
      <c r="BW37">
        <v>2.7235958047111632E-9</v>
      </c>
      <c r="BX37">
        <v>3.7842498183164369E-9</v>
      </c>
      <c r="BY37">
        <v>2.7931692512627631E-9</v>
      </c>
      <c r="CA37">
        <v>4.5174993775612407E-9</v>
      </c>
      <c r="CB37">
        <v>4.5745677928699058E-9</v>
      </c>
      <c r="CF37">
        <v>1.082662868592839E-8</v>
      </c>
      <c r="CG37">
        <v>1.2065308871592166E-8</v>
      </c>
      <c r="CH37">
        <v>1.124088626637615E-8</v>
      </c>
      <c r="CI37">
        <v>3.4331994866965994E-10</v>
      </c>
      <c r="CJ37">
        <v>6.2911675362182054E-10</v>
      </c>
      <c r="CK37">
        <v>4.1061975317708989E-10</v>
      </c>
      <c r="CU37">
        <v>3.4727608582651562E-9</v>
      </c>
      <c r="CV37">
        <v>3.3620344907140804E-9</v>
      </c>
      <c r="CZ37">
        <v>1.0466029057723036E-8</v>
      </c>
      <c r="DA37">
        <v>9.6145501121813968E-9</v>
      </c>
      <c r="DB37">
        <v>1.0427831871380982E-8</v>
      </c>
      <c r="DE37">
        <v>1.1424596543545081E-8</v>
      </c>
      <c r="DF37">
        <v>5.854400899533161E-9</v>
      </c>
      <c r="DG37">
        <v>5.8537188069199096E-9</v>
      </c>
      <c r="DH37">
        <v>6.0615296897570429E-9</v>
      </c>
      <c r="DY37">
        <v>3.3850354191263285E-9</v>
      </c>
      <c r="EB37">
        <v>5.4555785123966943E-9</v>
      </c>
      <c r="ED37">
        <v>7.1149645808736716E-9</v>
      </c>
      <c r="FE37">
        <v>2.1345926800472251E-9</v>
      </c>
      <c r="FS37">
        <v>7.1250000000000001E-9</v>
      </c>
      <c r="GV37">
        <v>3.2469451003541914E-8</v>
      </c>
      <c r="GX37">
        <v>2.5578512396694218E-9</v>
      </c>
      <c r="GY37">
        <v>2.7361275088547813E-9</v>
      </c>
      <c r="GZ37">
        <v>3.5200708382526565E-9</v>
      </c>
      <c r="HA37">
        <v>8.4915879574970483E-9</v>
      </c>
      <c r="HB37">
        <v>9.5361570247933895E-9</v>
      </c>
      <c r="HC37">
        <v>0</v>
      </c>
      <c r="IG37">
        <v>1.2475206611570249E-8</v>
      </c>
      <c r="IH37">
        <v>9.3400236127508854E-9</v>
      </c>
      <c r="IJ37">
        <v>6.6636658795749696E-9</v>
      </c>
      <c r="IK37">
        <v>5.6478748524203066E-9</v>
      </c>
      <c r="IL37">
        <v>5.5168240850059022E-9</v>
      </c>
      <c r="IM37">
        <v>1.3826298701298702E-8</v>
      </c>
      <c r="IN37">
        <v>9.4827331759149926E-9</v>
      </c>
      <c r="IO37">
        <v>1.1416765053128689E-8</v>
      </c>
      <c r="IP37">
        <v>1.6253689492325855E-8</v>
      </c>
      <c r="IR37">
        <v>1.1625E-8</v>
      </c>
      <c r="IU37">
        <v>2.6543683589138134E-9</v>
      </c>
      <c r="IV37">
        <v>3.8837072018890203E-9</v>
      </c>
      <c r="IW37">
        <v>1.6838842975206611E-9</v>
      </c>
      <c r="IX37">
        <v>2.3724911452184174E-9</v>
      </c>
      <c r="IY37">
        <v>3.6273612750885478E-9</v>
      </c>
      <c r="IZ37">
        <v>5.4547422274695002E-8</v>
      </c>
      <c r="JA37">
        <v>6.6353305785123964E-8</v>
      </c>
      <c r="JB37">
        <v>3.8668093270366001E-8</v>
      </c>
      <c r="JC37">
        <v>2.6231552538370722E-8</v>
      </c>
      <c r="JG37">
        <v>1.8708185753640301E-9</v>
      </c>
      <c r="JI37">
        <v>8.1168831168831165E-10</v>
      </c>
      <c r="JJ37">
        <v>8.4386068476977565E-10</v>
      </c>
      <c r="JK37">
        <v>1.4507083825265643E-10</v>
      </c>
      <c r="JL37">
        <v>2.2564935064935063E-10</v>
      </c>
      <c r="JV37">
        <v>3.7904368358913806E-9</v>
      </c>
      <c r="KB37" s="42">
        <v>1.5538665879574971E-9</v>
      </c>
      <c r="KM37">
        <v>1.1948051948051946E-9</v>
      </c>
      <c r="KT37">
        <v>8.9960448642266812E-8</v>
      </c>
      <c r="KU37">
        <v>1.0600250885478157E-7</v>
      </c>
      <c r="KX37">
        <v>1.4816558441558442E-8</v>
      </c>
    </row>
    <row r="38" spans="5:310" x14ac:dyDescent="0.35">
      <c r="F38">
        <v>1.1788379270612269E-8</v>
      </c>
      <c r="X38">
        <v>4.4852236925015758E-9</v>
      </c>
      <c r="Y38">
        <v>6.902777246099917E-10</v>
      </c>
      <c r="Z38">
        <v>5.3998998549035923E-10</v>
      </c>
      <c r="AA38">
        <v>3.7901612876312792E-10</v>
      </c>
      <c r="AN38">
        <v>1.4851884560926838E-8</v>
      </c>
      <c r="AO38">
        <v>2.1603009882680621E-8</v>
      </c>
      <c r="AP38">
        <v>2.1177384092012009E-8</v>
      </c>
      <c r="AZ38">
        <v>1.7711898888288197E-8</v>
      </c>
      <c r="BE38">
        <v>2.0611929315626946E-8</v>
      </c>
      <c r="BF38">
        <v>2.7104541536958603E-8</v>
      </c>
      <c r="BG38">
        <v>2.8900946116057279E-8</v>
      </c>
      <c r="BH38">
        <v>2.7262559659028418E-8</v>
      </c>
      <c r="BK38">
        <v>3.9663685460544485E-8</v>
      </c>
      <c r="BN38">
        <v>2.2215756413584416E-9</v>
      </c>
      <c r="BO38">
        <v>2.9266320392555381E-9</v>
      </c>
      <c r="BP38">
        <v>3.6141813934125264E-9</v>
      </c>
      <c r="BQ38">
        <v>3.6928494081408046E-9</v>
      </c>
      <c r="BR38">
        <v>3.3636260401449994E-9</v>
      </c>
      <c r="BS38">
        <v>3.6528333081634148E-9</v>
      </c>
      <c r="BT38">
        <v>4.7844249535467915E-9</v>
      </c>
      <c r="BU38">
        <v>3.0282638386299339E-9</v>
      </c>
      <c r="BV38">
        <v>4.7416804831163961E-9</v>
      </c>
      <c r="BW38">
        <v>2.7526984228765382E-9</v>
      </c>
      <c r="BX38">
        <v>3.7935717506975332E-9</v>
      </c>
      <c r="BY38">
        <v>2.8936642296150741E-9</v>
      </c>
      <c r="CA38">
        <v>4.5265939457379207E-9</v>
      </c>
      <c r="CB38">
        <v>4.573430971847821E-9</v>
      </c>
      <c r="CF38">
        <v>1.1098783638615528E-8</v>
      </c>
      <c r="CG38">
        <v>1.2388620770273133E-8</v>
      </c>
      <c r="CH38">
        <v>1.1498262545776187E-8</v>
      </c>
      <c r="CI38">
        <v>3.7901612876312792E-10</v>
      </c>
      <c r="CJ38">
        <v>7.050563978970963E-10</v>
      </c>
      <c r="CK38">
        <v>4.8019319972868999E-10</v>
      </c>
      <c r="CU38">
        <v>3.6344168076056385E-9</v>
      </c>
      <c r="CV38">
        <v>3.4302437520391788E-9</v>
      </c>
      <c r="CZ38">
        <v>1.0506045157700426E-8</v>
      </c>
      <c r="DA38">
        <v>9.7039042445172753E-9</v>
      </c>
      <c r="DB38">
        <v>1.0754326868923785E-8</v>
      </c>
      <c r="DE38">
        <v>1.1798155931402201E-8</v>
      </c>
      <c r="DF38">
        <v>5.7739139711695454E-9</v>
      </c>
      <c r="DG38">
        <v>5.9871815949126846E-9</v>
      </c>
      <c r="DH38">
        <v>6.3430065748252806E-9</v>
      </c>
      <c r="DY38">
        <v>3.5398465171192448E-9</v>
      </c>
      <c r="EB38">
        <v>6.0112160566706014E-9</v>
      </c>
      <c r="ED38">
        <v>7.3308736717827624E-9</v>
      </c>
      <c r="FE38">
        <v>2.3533057851239668E-9</v>
      </c>
      <c r="GV38">
        <v>3.5695100354191262E-8</v>
      </c>
      <c r="GX38">
        <v>2.7243211334120421E-9</v>
      </c>
      <c r="GY38">
        <v>2.809327036599764E-9</v>
      </c>
      <c r="GZ38">
        <v>3.7687426210153477E-9</v>
      </c>
      <c r="HA38">
        <v>8.7812868949232566E-9</v>
      </c>
      <c r="HB38">
        <v>9.8258559622195977E-9</v>
      </c>
      <c r="HC38">
        <v>0</v>
      </c>
      <c r="IG38">
        <v>1.3637839433293979E-8</v>
      </c>
      <c r="IH38">
        <v>1.214034828807556E-8</v>
      </c>
      <c r="IJ38">
        <v>7.8414994096812285E-9</v>
      </c>
      <c r="IK38">
        <v>6.1856552538370717E-9</v>
      </c>
      <c r="IL38">
        <v>5.7243211334120429E-9</v>
      </c>
      <c r="IM38">
        <v>1.5618211334120424E-8</v>
      </c>
      <c r="IN38">
        <v>9.7530991735537172E-9</v>
      </c>
      <c r="IO38">
        <v>1.2416765053128688E-8</v>
      </c>
      <c r="IR38">
        <v>1.2804014167650533E-8</v>
      </c>
      <c r="IU38">
        <v>2.6754722550177094E-9</v>
      </c>
      <c r="IV38">
        <v>5.7932408500590318E-9</v>
      </c>
      <c r="IW38">
        <v>1.8443034238488783E-9</v>
      </c>
      <c r="IX38">
        <v>2.3899055489964578E-9</v>
      </c>
      <c r="IY38">
        <v>3.7080873671782758E-9</v>
      </c>
      <c r="IZ38">
        <v>5.6168339236521056E-8</v>
      </c>
      <c r="JA38">
        <v>6.7287977174340804E-8</v>
      </c>
      <c r="JC38">
        <v>2.5921758166076351E-8</v>
      </c>
      <c r="JG38">
        <v>2.0016725698543883E-9</v>
      </c>
      <c r="JI38">
        <v>1.391233766233766E-9</v>
      </c>
      <c r="JJ38">
        <v>5.6449232585596226E-10</v>
      </c>
      <c r="JK38">
        <v>1.4684179456906727E-10</v>
      </c>
      <c r="JL38">
        <v>3.5581463990554898E-10</v>
      </c>
      <c r="KB38" s="42">
        <v>1.7592975206611568E-9</v>
      </c>
      <c r="KM38">
        <v>1.3640791027154663E-9</v>
      </c>
      <c r="KT38">
        <v>1.1745439787485242E-7</v>
      </c>
      <c r="KU38">
        <v>1.2417015938606849E-7</v>
      </c>
      <c r="KX38">
        <v>1.5044716646989373E-8</v>
      </c>
    </row>
    <row r="39" spans="5:310" x14ac:dyDescent="0.35">
      <c r="F39">
        <v>1.2213777697076465E-8</v>
      </c>
      <c r="X39">
        <v>4.4421505085966335E-9</v>
      </c>
      <c r="Y39">
        <v>7.8849906091813281E-10</v>
      </c>
      <c r="Z39">
        <v>6.1342862351704796E-10</v>
      </c>
      <c r="AA39">
        <v>3.8265395603379974E-10</v>
      </c>
      <c r="AN39">
        <v>1.5317753815777259E-8</v>
      </c>
      <c r="AO39">
        <v>2.1949740294416534E-8</v>
      </c>
      <c r="AP39">
        <v>2.1724195003634879E-8</v>
      </c>
      <c r="AZ39">
        <v>1.8101373770454506E-8</v>
      </c>
      <c r="BE39">
        <v>2.2002488789841277E-8</v>
      </c>
      <c r="BF39">
        <v>2.887343504732282E-8</v>
      </c>
      <c r="BG39">
        <v>3.0580258129881183E-8</v>
      </c>
      <c r="BH39">
        <v>2.967625805311922E-8</v>
      </c>
      <c r="BN39">
        <v>2.3318472805006836E-9</v>
      </c>
      <c r="BO39">
        <v>2.9925676585364661E-9</v>
      </c>
      <c r="BP39">
        <v>3.674887635991863E-9</v>
      </c>
      <c r="BQ39">
        <v>3.6546522217987509E-9</v>
      </c>
      <c r="BR39">
        <v>3.3797688986586061E-9</v>
      </c>
      <c r="BS39">
        <v>3.7030807973395703E-9</v>
      </c>
      <c r="BT39">
        <v>4.7282659950557941E-9</v>
      </c>
      <c r="BU39">
        <v>3.0707809448559122E-9</v>
      </c>
      <c r="BV39">
        <v>4.7209903405144494E-9</v>
      </c>
      <c r="BW39">
        <v>2.8691088955380388E-9</v>
      </c>
      <c r="BX39">
        <v>3.8267669245424143E-9</v>
      </c>
      <c r="BY39">
        <v>2.9186742921009433E-9</v>
      </c>
      <c r="CA39">
        <v>4.1755436141180827E-9</v>
      </c>
      <c r="CB39">
        <v>4.5311412298262598E-9</v>
      </c>
      <c r="CF39">
        <v>1.1367073399827581E-8</v>
      </c>
      <c r="CG39">
        <v>1.2725574521219118E-8</v>
      </c>
      <c r="CH39">
        <v>1.1875687125108399E-8</v>
      </c>
      <c r="CI39">
        <v>4.1698595090076575E-10</v>
      </c>
      <c r="CJ39">
        <v>7.6689946149851841E-10</v>
      </c>
      <c r="CK39">
        <v>5.1407046618682196E-10</v>
      </c>
      <c r="CU39">
        <v>3.7567387495819806E-9</v>
      </c>
      <c r="CV39">
        <v>3.4827648832595039E-9</v>
      </c>
      <c r="CZ39">
        <v>1.0867326878519032E-8</v>
      </c>
      <c r="DA39">
        <v>9.9601437028952254E-9</v>
      </c>
      <c r="DB39">
        <v>1.1010566327301736E-8</v>
      </c>
      <c r="DE39">
        <v>1.2212640876054378E-8</v>
      </c>
      <c r="DF39">
        <v>5.7327610501700699E-9</v>
      </c>
      <c r="DG39">
        <v>5.8587208194170839E-9</v>
      </c>
      <c r="DH39">
        <v>6.2927590856491242E-9</v>
      </c>
      <c r="DY39">
        <v>3.6754722550177093E-9</v>
      </c>
      <c r="EB39">
        <v>6.8497638724911444E-9</v>
      </c>
      <c r="ED39">
        <v>7.6703069657615109E-9</v>
      </c>
      <c r="GV39">
        <v>3.8837957497048399E-8</v>
      </c>
      <c r="GX39">
        <v>2.7967827626918532E-9</v>
      </c>
      <c r="GY39">
        <v>2.9237012987012985E-9</v>
      </c>
      <c r="GZ39">
        <v>3.979338842975206E-9</v>
      </c>
      <c r="HA39">
        <v>9.1480224321133409E-9</v>
      </c>
      <c r="HB39">
        <v>1.0141381345926798E-8</v>
      </c>
      <c r="HC39">
        <v>0</v>
      </c>
      <c r="IH39">
        <v>1.1863783943329398E-8</v>
      </c>
      <c r="IL39">
        <v>5.9144037780401412E-9</v>
      </c>
      <c r="IM39">
        <v>2.4387544273907913E-8</v>
      </c>
      <c r="IN39">
        <v>1.0010182998819361E-8</v>
      </c>
      <c r="IU39">
        <v>2.8596517119244395E-9</v>
      </c>
      <c r="IV39">
        <v>6.6487603305785125E-9</v>
      </c>
      <c r="IW39">
        <v>1.9521841794569065E-9</v>
      </c>
      <c r="IX39">
        <v>2.5489964580873671E-9</v>
      </c>
      <c r="IY39">
        <v>3.888282172373082E-9</v>
      </c>
      <c r="IZ39">
        <v>5.7828241833923657E-8</v>
      </c>
      <c r="JA39">
        <v>6.8299267020857946E-8</v>
      </c>
      <c r="JC39">
        <v>3.2349099763872492E-8</v>
      </c>
      <c r="JG39">
        <v>2.2904368358913817E-9</v>
      </c>
      <c r="JI39">
        <v>1.665879574970484E-9</v>
      </c>
      <c r="JJ39">
        <v>3.8547815820543091E-10</v>
      </c>
      <c r="JK39">
        <v>1.0876623376623377E-10</v>
      </c>
      <c r="JL39">
        <v>3.3397284533648166E-10</v>
      </c>
      <c r="KB39" s="42">
        <v>1.8631936245572611E-9</v>
      </c>
      <c r="KT39">
        <v>1.1907039551357733E-7</v>
      </c>
      <c r="KU39">
        <v>1.3052626918536007E-7</v>
      </c>
    </row>
    <row r="40" spans="5:310" x14ac:dyDescent="0.35">
      <c r="F40">
        <v>1.2806288813787147E-8</v>
      </c>
      <c r="X40">
        <v>4.6904086776487532E-9</v>
      </c>
      <c r="Y40">
        <v>7.8463386944304397E-10</v>
      </c>
      <c r="Z40">
        <v>6.0774451840662317E-10</v>
      </c>
      <c r="AA40">
        <v>3.1580887993520373E-10</v>
      </c>
      <c r="AN40">
        <v>1.564584036275098E-8</v>
      </c>
      <c r="AO40">
        <v>2.2172102486336352E-8</v>
      </c>
      <c r="AP40">
        <v>2.2417883191311128E-8</v>
      </c>
      <c r="AZ40">
        <v>1.8870319509792777E-8</v>
      </c>
      <c r="BE40">
        <v>2.3525374231026301E-8</v>
      </c>
      <c r="BF40">
        <v>3.1072956360852813E-8</v>
      </c>
      <c r="BG40">
        <v>3.2159529893761621E-8</v>
      </c>
      <c r="BH40">
        <v>3.1999238129647641E-8</v>
      </c>
      <c r="BN40">
        <v>2.4330243514662455E-9</v>
      </c>
      <c r="BO40">
        <v>3.0666883891764064E-9</v>
      </c>
      <c r="BP40">
        <v>3.8604168267961288E-9</v>
      </c>
      <c r="BQ40">
        <v>3.7581029348084825E-9</v>
      </c>
      <c r="BR40">
        <v>3.346573724813725E-9</v>
      </c>
      <c r="BS40">
        <v>3.7540103791289776E-9</v>
      </c>
      <c r="BT40">
        <v>4.6900688087137379E-9</v>
      </c>
      <c r="BU40">
        <v>3.1719580158214737E-9</v>
      </c>
      <c r="BV40">
        <v>4.7455456745914847E-9</v>
      </c>
      <c r="BW40">
        <v>2.8927547727974065E-9</v>
      </c>
      <c r="BX40">
        <v>3.7960727569461207E-9</v>
      </c>
      <c r="BY40">
        <v>2.9486863670839863E-9</v>
      </c>
      <c r="CF40">
        <v>1.1759276652446895E-8</v>
      </c>
      <c r="CG40">
        <v>1.2982041343801487E-8</v>
      </c>
      <c r="CH40">
        <v>1.2234922568087245E-8</v>
      </c>
      <c r="CI40">
        <v>5.2020929970608069E-10</v>
      </c>
      <c r="CJ40">
        <v>8.5307049497255907E-10</v>
      </c>
      <c r="CK40">
        <v>6.0819924681545711E-10</v>
      </c>
      <c r="CU40">
        <v>3.7742457933220892E-9</v>
      </c>
      <c r="CV40">
        <v>3.6705677161079397E-9</v>
      </c>
      <c r="CZ40">
        <v>1.2457966852620315E-8</v>
      </c>
      <c r="DA40">
        <v>1.0121799652235708E-8</v>
      </c>
      <c r="DB40">
        <v>1.1215876203890281E-8</v>
      </c>
      <c r="DE40">
        <v>1.2578242516756905E-8</v>
      </c>
      <c r="DF40">
        <v>5.8350749421577162E-9</v>
      </c>
      <c r="DG40">
        <v>5.8948717279193851E-9</v>
      </c>
      <c r="DH40">
        <v>6.3066283021185606E-9</v>
      </c>
      <c r="DY40">
        <v>3.912927981109799E-9</v>
      </c>
      <c r="ED40">
        <v>7.8801652892561992E-9</v>
      </c>
      <c r="GV40">
        <v>4.1853010625737901E-8</v>
      </c>
      <c r="GX40">
        <v>2.9188311688311685E-9</v>
      </c>
      <c r="GY40">
        <v>2.9954250295159387E-9</v>
      </c>
      <c r="GZ40">
        <v>5.9180932703659969E-9</v>
      </c>
      <c r="HA40">
        <v>9.5540141676505315E-9</v>
      </c>
      <c r="HB40">
        <v>1.0454545454545455E-8</v>
      </c>
      <c r="HC40">
        <v>0</v>
      </c>
      <c r="IH40">
        <v>1.0971221959858324E-8</v>
      </c>
      <c r="IL40">
        <v>6.0506198347107438E-9</v>
      </c>
      <c r="IN40">
        <v>1.018904958677686E-8</v>
      </c>
      <c r="IU40">
        <v>2.9994096812278631E-9</v>
      </c>
      <c r="IV40">
        <v>6.7131050767414405E-9</v>
      </c>
      <c r="IW40">
        <v>2.0754132231404957E-9</v>
      </c>
      <c r="IX40">
        <v>2.6123081463990552E-9</v>
      </c>
      <c r="IY40">
        <v>4.0686245572609213E-9</v>
      </c>
      <c r="IZ40">
        <v>5.8788001770956326E-8</v>
      </c>
      <c r="JA40">
        <v>7.015434376229832E-8</v>
      </c>
      <c r="JG40">
        <v>2.4763872491145225E-9</v>
      </c>
      <c r="JI40">
        <v>1.2334710743801652E-9</v>
      </c>
      <c r="JJ40">
        <v>2.9663518299881934E-10</v>
      </c>
      <c r="JK40">
        <v>1.0640495867768595E-10</v>
      </c>
      <c r="JL40">
        <v>6.2529515938606836E-10</v>
      </c>
      <c r="KB40" s="42">
        <v>2.0057556080283352E-9</v>
      </c>
      <c r="KT40">
        <v>1.2543639315230225E-7</v>
      </c>
      <c r="KU40">
        <v>1.3979338842975206E-7</v>
      </c>
    </row>
    <row r="41" spans="5:310" x14ac:dyDescent="0.35">
      <c r="F41">
        <v>1.2950210355183107E-8</v>
      </c>
      <c r="X41">
        <v>4.5811594202898547E-9</v>
      </c>
      <c r="Y41">
        <v>8.396560069119564E-10</v>
      </c>
      <c r="Z41">
        <v>7.1551515130027801E-10</v>
      </c>
      <c r="AA41">
        <v>4.2016904976260373E-10</v>
      </c>
      <c r="AN41">
        <v>1.5955283044962508E-8</v>
      </c>
      <c r="AO41">
        <v>2.2480408347525797E-8</v>
      </c>
      <c r="AP41">
        <v>2.3241851068118313E-8</v>
      </c>
      <c r="AZ41">
        <v>1.9132925165894406E-8</v>
      </c>
      <c r="BE41">
        <v>2.5086229494348956E-8</v>
      </c>
      <c r="BF41">
        <v>3.3144926355704875E-8</v>
      </c>
      <c r="BG41">
        <v>3.3779727214437115E-8</v>
      </c>
      <c r="BH41">
        <v>3.4111678952885925E-8</v>
      </c>
      <c r="BN41">
        <v>2.5833120905858786E-9</v>
      </c>
      <c r="BO41">
        <v>3.274499272013538E-9</v>
      </c>
      <c r="BP41">
        <v>3.9395395699332442E-9</v>
      </c>
      <c r="BQ41">
        <v>3.7494630950406376E-9</v>
      </c>
      <c r="BR41">
        <v>3.5064107605188707E-9</v>
      </c>
      <c r="BS41">
        <v>3.7603765768526521E-9</v>
      </c>
      <c r="BT41">
        <v>4.7810144904805354E-9</v>
      </c>
      <c r="BU41">
        <v>3.3615797623052465E-9</v>
      </c>
      <c r="BV41">
        <v>4.752139236519578E-9</v>
      </c>
      <c r="BW41">
        <v>2.8045374614836123E-9</v>
      </c>
      <c r="BX41">
        <v>3.820400726818739E-9</v>
      </c>
      <c r="BY41">
        <v>2.9730143369566046E-9</v>
      </c>
      <c r="CF41">
        <v>1.1991188140952228E-8</v>
      </c>
      <c r="CG41">
        <v>1.3743711428598413E-8</v>
      </c>
      <c r="CH41">
        <v>1.2709659026909929E-8</v>
      </c>
      <c r="CI41">
        <v>4.951992372202115E-10</v>
      </c>
      <c r="CJ41">
        <v>9.4106044208193538E-10</v>
      </c>
      <c r="CK41">
        <v>6.0001413545644539E-10</v>
      </c>
      <c r="CU41">
        <v>3.9131653222208719E-9</v>
      </c>
      <c r="CV41">
        <v>3.6960325070026436E-9</v>
      </c>
      <c r="DA41">
        <v>1.0264357008405164E-8</v>
      </c>
      <c r="DB41">
        <v>1.160762472810076E-8</v>
      </c>
      <c r="DE41">
        <v>1.2964989028470212E-8</v>
      </c>
      <c r="DF41">
        <v>5.7500407297057614E-9</v>
      </c>
      <c r="DG41">
        <v>5.9512580506148005E-9</v>
      </c>
      <c r="DH41">
        <v>6.3109482220024834E-9</v>
      </c>
      <c r="DY41">
        <v>4.0202184179456907E-9</v>
      </c>
      <c r="ED41">
        <v>8.1706021251475791E-9</v>
      </c>
      <c r="GX41">
        <v>3.0547520661157025E-9</v>
      </c>
      <c r="GY41">
        <v>3.1126033057851238E-9</v>
      </c>
      <c r="HA41">
        <v>9.9799291617473432E-9</v>
      </c>
      <c r="HB41">
        <v>1.0800472255017711E-8</v>
      </c>
      <c r="HC41">
        <v>0</v>
      </c>
      <c r="IL41">
        <v>7.0202184179456895E-9</v>
      </c>
      <c r="IN41">
        <v>1.0390938606847698E-8</v>
      </c>
      <c r="IU41">
        <v>3.1269185360094449E-9</v>
      </c>
      <c r="IV41">
        <v>6.4344746162927985E-9</v>
      </c>
      <c r="IW41">
        <v>2.1157024793388431E-9</v>
      </c>
      <c r="IX41">
        <v>2.7716942148760332E-9</v>
      </c>
      <c r="IY41">
        <v>4.1945100354191267E-9</v>
      </c>
      <c r="IZ41">
        <v>6.0859159779614323E-8</v>
      </c>
      <c r="JA41">
        <v>7.0676406926406943E-8</v>
      </c>
      <c r="JG41">
        <v>2.7350206611570251E-9</v>
      </c>
      <c r="JI41">
        <v>1.0292207792207792E-9</v>
      </c>
      <c r="JJ41">
        <v>2.8674734356552544E-10</v>
      </c>
      <c r="JK41">
        <v>1.461038961038961E-10</v>
      </c>
      <c r="JL41">
        <v>2.0138724911452187E-9</v>
      </c>
      <c r="KB41" s="42">
        <v>2.0661157024793388E-9</v>
      </c>
      <c r="KT41">
        <v>1.4502080873671782E-7</v>
      </c>
      <c r="KU41">
        <v>1.3368432703659981E-7</v>
      </c>
    </row>
    <row r="42" spans="5:310" x14ac:dyDescent="0.35">
      <c r="F42">
        <v>1.31334659039432E-8</v>
      </c>
      <c r="X42">
        <v>4.5058466108560621E-9</v>
      </c>
      <c r="Y42">
        <v>8.5534413701672887E-10</v>
      </c>
      <c r="Z42">
        <v>7.039195768750113E-10</v>
      </c>
      <c r="AA42">
        <v>4.3881291452479711E-10</v>
      </c>
      <c r="AN42">
        <v>1.6187876626081094E-8</v>
      </c>
      <c r="AO42">
        <v>2.2708909372964875E-8</v>
      </c>
      <c r="AP42">
        <v>2.4197235455078513E-8</v>
      </c>
      <c r="AZ42">
        <v>1.9278665620925697E-8</v>
      </c>
      <c r="BE42">
        <v>2.6756219575791777E-8</v>
      </c>
      <c r="BF42">
        <v>3.5179835985236959E-8</v>
      </c>
      <c r="BG42">
        <v>3.5113673001751622E-8</v>
      </c>
      <c r="BH42">
        <v>3.5892168037675399E-8</v>
      </c>
      <c r="BN42">
        <v>2.6599338274744048E-9</v>
      </c>
      <c r="BO42">
        <v>3.3824972691116104E-9</v>
      </c>
      <c r="BP42">
        <v>4.0532216721417402E-9</v>
      </c>
      <c r="BQ42">
        <v>3.8206280910231561E-9</v>
      </c>
      <c r="BR42">
        <v>3.4479781599837037E-9</v>
      </c>
      <c r="BS42">
        <v>3.8040305041007159E-9</v>
      </c>
      <c r="BT42">
        <v>4.7796503052540343E-9</v>
      </c>
      <c r="BU42">
        <v>3.355668292990405E-9</v>
      </c>
      <c r="BV42">
        <v>4.7457730387959019E-9</v>
      </c>
      <c r="BW42">
        <v>2.8754750932617149E-9</v>
      </c>
      <c r="BX42">
        <v>3.8510948944150325E-9</v>
      </c>
      <c r="BY42">
        <v>3.0680525744029083E-9</v>
      </c>
      <c r="CF42">
        <v>1.2195815924927519E-8</v>
      </c>
      <c r="CG42">
        <v>1.3796687288227568E-8</v>
      </c>
      <c r="CH42">
        <v>1.3467691284436183E-8</v>
      </c>
      <c r="CI42">
        <v>5.1088736732498398E-10</v>
      </c>
      <c r="CJ42">
        <v>1.015408536926292E-9</v>
      </c>
      <c r="CK42">
        <v>6.6253929167111857E-10</v>
      </c>
      <c r="CU42">
        <v>3.8736039506523146E-9</v>
      </c>
      <c r="CV42">
        <v>3.7385496132286222E-9</v>
      </c>
      <c r="DA42">
        <v>1.0391453598674264E-8</v>
      </c>
      <c r="DB42">
        <v>1.1949125763135083E-8</v>
      </c>
      <c r="DF42">
        <v>5.7702761438988739E-9</v>
      </c>
      <c r="DG42">
        <v>7.2324553425045585E-9</v>
      </c>
      <c r="DH42">
        <v>6.2300065652300344E-9</v>
      </c>
      <c r="DY42">
        <v>4.2505903187721357E-9</v>
      </c>
      <c r="ED42">
        <v>8.5140200708382512E-9</v>
      </c>
      <c r="HA42">
        <v>1.0427685950413224E-8</v>
      </c>
      <c r="HB42">
        <v>1.1177685950413221E-8</v>
      </c>
      <c r="HC42">
        <v>0</v>
      </c>
      <c r="IL42">
        <v>8.2105962219598587E-9</v>
      </c>
      <c r="IN42">
        <v>1.0599616292798111E-8</v>
      </c>
      <c r="IU42">
        <v>3.2907319952774494E-9</v>
      </c>
      <c r="IV42">
        <v>6.1508264462809919E-9</v>
      </c>
      <c r="IW42">
        <v>2.2054309327036602E-9</v>
      </c>
      <c r="IX42">
        <v>2.9111570247933881E-9</v>
      </c>
      <c r="IY42">
        <v>4.3251180637544265E-9</v>
      </c>
      <c r="IZ42">
        <v>6.2693206414797325E-8</v>
      </c>
      <c r="JA42">
        <v>7.2134740259740271E-8</v>
      </c>
      <c r="JG42">
        <v>2.9102715466351829E-9</v>
      </c>
      <c r="JI42">
        <v>1.0534238488783942E-9</v>
      </c>
      <c r="JJ42">
        <v>2.0956316410861865E-10</v>
      </c>
      <c r="JK42">
        <v>1.2086776859504131E-10</v>
      </c>
      <c r="JL42">
        <v>2.0649350649350646E-9</v>
      </c>
      <c r="KB42" s="42">
        <v>2.1651416765053132E-9</v>
      </c>
      <c r="KT42">
        <v>1.396599763872491E-7</v>
      </c>
      <c r="KU42">
        <v>1.5282910271546636E-7</v>
      </c>
    </row>
    <row r="43" spans="5:310" x14ac:dyDescent="0.35">
      <c r="F43">
        <v>1.3552952861092555E-8</v>
      </c>
      <c r="X43">
        <v>4.4392789630029704E-9</v>
      </c>
      <c r="Y43">
        <v>9.0036224949129362E-10</v>
      </c>
      <c r="Z43">
        <v>8.4511274781796417E-10</v>
      </c>
      <c r="AA43">
        <v>4.8383102699936181E-10</v>
      </c>
      <c r="AN43">
        <v>1.6552114081557115E-8</v>
      </c>
      <c r="AO43">
        <v>2.2816225277449695E-8</v>
      </c>
      <c r="AP43">
        <v>2.5088048407984296E-8</v>
      </c>
      <c r="AZ43">
        <v>1.9844575125719592E-8</v>
      </c>
      <c r="BE43">
        <v>2.819043297725417E-8</v>
      </c>
      <c r="BF43">
        <v>3.6832773751348506E-8</v>
      </c>
      <c r="BG43">
        <v>3.6353490008437479E-8</v>
      </c>
      <c r="BH43">
        <v>3.744301927600371E-8</v>
      </c>
      <c r="BN43">
        <v>2.6744851365570925E-9</v>
      </c>
      <c r="BO43">
        <v>3.5307387303914894E-9</v>
      </c>
      <c r="BP43">
        <v>4.0916462226882118E-9</v>
      </c>
      <c r="BQ43">
        <v>3.6755697286051135E-9</v>
      </c>
      <c r="BR43">
        <v>3.4422940548732793E-9</v>
      </c>
      <c r="BS43">
        <v>3.8690566665639754E-9</v>
      </c>
      <c r="BT43">
        <v>4.8944692284846151E-9</v>
      </c>
      <c r="BU43">
        <v>3.4632115616796419E-9</v>
      </c>
      <c r="BV43">
        <v>4.7539581501549134E-9</v>
      </c>
      <c r="BW43">
        <v>3.0100747022765743E-9</v>
      </c>
      <c r="BX43">
        <v>3.8160808069348161E-9</v>
      </c>
      <c r="BY43">
        <v>3.017805085226752E-9</v>
      </c>
      <c r="CF43">
        <v>1.2463196229321905E-8</v>
      </c>
      <c r="CG43">
        <v>1.4174339231764198E-8</v>
      </c>
      <c r="CH43">
        <v>1.3977669194943499E-8</v>
      </c>
      <c r="CI43">
        <v>5.7864190024124802E-10</v>
      </c>
      <c r="CJ43">
        <v>1.0913481812015681E-9</v>
      </c>
      <c r="CK43">
        <v>6.286620252129865E-10</v>
      </c>
      <c r="CU43">
        <v>3.9711431943472055E-9</v>
      </c>
      <c r="CV43">
        <v>3.8376804063544305E-9</v>
      </c>
      <c r="DA43">
        <v>1.0664518008179071E-8</v>
      </c>
      <c r="DB43">
        <v>1.2345421571433906E-8</v>
      </c>
      <c r="DF43">
        <v>5.6993385121207716E-9</v>
      </c>
      <c r="DG43">
        <v>6.6879180729258579E-9</v>
      </c>
      <c r="DH43">
        <v>6.2493325226054792E-9</v>
      </c>
      <c r="DY43">
        <v>4.3869539551357726E-9</v>
      </c>
      <c r="ED43">
        <v>8.9118949232585605E-9</v>
      </c>
      <c r="HA43">
        <v>1.0784386068476976E-8</v>
      </c>
      <c r="HB43">
        <v>1.1649350649350649E-8</v>
      </c>
      <c r="HC43">
        <v>0</v>
      </c>
      <c r="IN43">
        <v>1.0793978748524203E-8</v>
      </c>
      <c r="IU43">
        <v>3.3865112160566706E-9</v>
      </c>
      <c r="IV43">
        <v>6.0712809917355372E-9</v>
      </c>
      <c r="IW43">
        <v>2.3082939787485242E-9</v>
      </c>
      <c r="IX43">
        <v>2.9967532467532468E-9</v>
      </c>
      <c r="IY43">
        <v>4.4396399055489961E-9</v>
      </c>
      <c r="IZ43">
        <v>6.4120179063360879E-8</v>
      </c>
      <c r="JA43">
        <v>7.2449576938213305E-8</v>
      </c>
      <c r="JG43">
        <v>3.1117178276269191E-9</v>
      </c>
      <c r="JI43">
        <v>8.631936245572609E-10</v>
      </c>
      <c r="JJ43">
        <v>2.3332349468713107E-10</v>
      </c>
      <c r="JK43">
        <v>9.9616292798110971E-11</v>
      </c>
      <c r="JL43">
        <v>2.4229634002361277E-9</v>
      </c>
      <c r="KB43" s="42">
        <v>1.1236570247933884E-8</v>
      </c>
      <c r="KT43">
        <v>1.4823937426210152E-7</v>
      </c>
      <c r="KU43">
        <v>1.4693196576151122E-7</v>
      </c>
    </row>
    <row r="44" spans="5:310" x14ac:dyDescent="0.35">
      <c r="F44">
        <v>1.4208216498222328E-8</v>
      </c>
      <c r="X44">
        <v>4.9434962642902145E-9</v>
      </c>
      <c r="Y44">
        <v>9.9153529546250801E-10</v>
      </c>
      <c r="Z44">
        <v>7.4848296094074211E-10</v>
      </c>
      <c r="AA44">
        <v>5.2452921959000368E-10</v>
      </c>
      <c r="AN44">
        <v>1.6708085925787173E-8</v>
      </c>
      <c r="AO44">
        <v>2.2981291689856434E-8</v>
      </c>
      <c r="AP44">
        <v>2.6042978066535669E-8</v>
      </c>
      <c r="AZ44">
        <v>2.0349551023729737E-8</v>
      </c>
      <c r="BE44">
        <v>2.9543704721944119E-8</v>
      </c>
      <c r="BF44">
        <v>3.8388172273765153E-8</v>
      </c>
      <c r="BG44">
        <v>3.7937309056406253E-8</v>
      </c>
      <c r="BH44">
        <v>3.9663685460544485E-8</v>
      </c>
      <c r="BN44">
        <v>2.8534207654332663E-9</v>
      </c>
      <c r="BO44">
        <v>3.5521109656066866E-9</v>
      </c>
      <c r="BP44">
        <v>4.203054682852539E-9</v>
      </c>
      <c r="BQ44">
        <v>3.8119882512553095E-9</v>
      </c>
      <c r="BR44">
        <v>3.5211894338059763E-9</v>
      </c>
      <c r="BS44">
        <v>3.8851995250775821E-9</v>
      </c>
      <c r="BT44">
        <v>4.8369460847671157E-9</v>
      </c>
      <c r="BU44">
        <v>3.4686683025856504E-9</v>
      </c>
      <c r="BV44">
        <v>4.9210708404014037E-9</v>
      </c>
      <c r="BW44">
        <v>3.0357668573756949E-9</v>
      </c>
      <c r="BX44">
        <v>3.8078956955758037E-9</v>
      </c>
      <c r="BY44">
        <v>3.0998835630212871E-9</v>
      </c>
      <c r="CF44">
        <v>1.2675327032042961E-8</v>
      </c>
      <c r="CG44">
        <v>1.4542669242919729E-8</v>
      </c>
      <c r="CH44">
        <v>1.477071553994997E-8</v>
      </c>
      <c r="CI44">
        <v>6.3252721668807544E-10</v>
      </c>
      <c r="CJ44">
        <v>1.1743361158137704E-9</v>
      </c>
      <c r="CK44">
        <v>7.7030992456477352E-10</v>
      </c>
      <c r="CU44">
        <v>4.0504933016887355E-9</v>
      </c>
      <c r="CV44">
        <v>3.8722397654258135E-9</v>
      </c>
      <c r="DA44">
        <v>1.0881650823397301E-8</v>
      </c>
      <c r="DB44">
        <v>1.2848578555808711E-8</v>
      </c>
      <c r="DF44">
        <v>5.8084733302409292E-9</v>
      </c>
      <c r="DG44">
        <v>6.6285760155730232E-9</v>
      </c>
      <c r="DH44">
        <v>6.2381916765890459E-9</v>
      </c>
      <c r="DY44">
        <v>4.5646399055489972E-9</v>
      </c>
      <c r="HA44">
        <v>1.1231847697756789E-8</v>
      </c>
      <c r="HB44">
        <v>1.2001180637544275E-8</v>
      </c>
      <c r="HC44">
        <v>0</v>
      </c>
      <c r="IN44">
        <v>1.1040879574970483E-8</v>
      </c>
      <c r="IU44">
        <v>3.5432408500590319E-9</v>
      </c>
      <c r="IV44">
        <v>6.0312868949232576E-9</v>
      </c>
      <c r="IW44">
        <v>2.4098288075560804E-9</v>
      </c>
      <c r="IX44">
        <v>3.0420602125147577E-9</v>
      </c>
      <c r="IY44">
        <v>4.6046340023612744E-9</v>
      </c>
      <c r="IZ44">
        <v>6.6280253837072025E-8</v>
      </c>
      <c r="JA44">
        <v>7.332054309327038E-8</v>
      </c>
      <c r="JG44">
        <v>3.3675226288862657E-9</v>
      </c>
      <c r="JI44">
        <v>6.6292798110979928E-10</v>
      </c>
      <c r="JJ44">
        <v>2.0764462809917353E-10</v>
      </c>
      <c r="JK44">
        <v>1.7665289256198348E-10</v>
      </c>
      <c r="JL44">
        <v>2.0050177095631644E-9</v>
      </c>
    </row>
    <row r="45" spans="5:310" x14ac:dyDescent="0.35">
      <c r="F45">
        <v>1.5610144182657512E-8</v>
      </c>
      <c r="X45">
        <v>4.6688720856962821E-9</v>
      </c>
      <c r="Y45">
        <v>1.0185916357881301E-9</v>
      </c>
      <c r="Z45">
        <v>8.4511274781796417E-10</v>
      </c>
      <c r="AA45">
        <v>6.0683506158895519E-10</v>
      </c>
      <c r="AN45">
        <v>1.6943407877358761E-8</v>
      </c>
      <c r="AO45">
        <v>2.3137490898290909E-8</v>
      </c>
      <c r="AP45">
        <v>2.7014277947805061E-8</v>
      </c>
      <c r="BE45">
        <v>3.0987012691583186E-8</v>
      </c>
      <c r="BF45">
        <v>3.9577287062866024E-8</v>
      </c>
      <c r="BG45">
        <v>3.9548411808905069E-8</v>
      </c>
      <c r="BN45">
        <v>2.9375455210675535E-9</v>
      </c>
      <c r="BO45">
        <v>3.7526461939024756E-9</v>
      </c>
      <c r="BP45">
        <v>4.2724007651997214E-9</v>
      </c>
      <c r="BQ45">
        <v>3.8390445915809324E-9</v>
      </c>
      <c r="BR45">
        <v>3.5334671008444936E-9</v>
      </c>
      <c r="BS45">
        <v>3.9381753847067415E-9</v>
      </c>
      <c r="BT45">
        <v>4.9217529330146543E-9</v>
      </c>
      <c r="BU45">
        <v>3.5086844025630411E-9</v>
      </c>
      <c r="BV45">
        <v>4.7937468859278878E-9</v>
      </c>
      <c r="BW45">
        <v>2.990066652287879E-9</v>
      </c>
      <c r="BX45">
        <v>3.8467749745311105E-9</v>
      </c>
      <c r="BY45">
        <v>3.042133055099371E-9</v>
      </c>
      <c r="CF45">
        <v>1.2933840132465084E-8</v>
      </c>
      <c r="CG45">
        <v>1.4878258808639209E-8</v>
      </c>
      <c r="CH45">
        <v>1.555125685371351E-8</v>
      </c>
      <c r="CI45">
        <v>6.5389945190327292E-10</v>
      </c>
      <c r="CJ45">
        <v>1.2798331066632555E-9</v>
      </c>
      <c r="CK45">
        <v>8.0805238249799433E-10</v>
      </c>
      <c r="CU45">
        <v>4.1314349584611862E-9</v>
      </c>
      <c r="CV45">
        <v>4.0368514494237171E-9</v>
      </c>
      <c r="DA45">
        <v>1.1204735357873849E-8</v>
      </c>
      <c r="DB45">
        <v>1.3457232531033E-8</v>
      </c>
      <c r="DF45">
        <v>5.8068817808100094E-9</v>
      </c>
      <c r="DG45">
        <v>6.5685518656069355E-9</v>
      </c>
      <c r="DH45">
        <v>6.2159099845561801E-9</v>
      </c>
      <c r="DY45">
        <v>4.6818181818181815E-9</v>
      </c>
      <c r="HA45">
        <v>1.1530991735537191E-8</v>
      </c>
      <c r="HB45">
        <v>1.2547225501770956E-8</v>
      </c>
      <c r="HC45">
        <v>0</v>
      </c>
      <c r="IU45">
        <v>3.7082349468713102E-9</v>
      </c>
      <c r="IV45">
        <v>6.3462219598583227E-9</v>
      </c>
      <c r="IW45">
        <v>2.5525383707201893E-9</v>
      </c>
      <c r="IX45">
        <v>3.197314049586777E-9</v>
      </c>
      <c r="IY45">
        <v>4.6897874852420302E-9</v>
      </c>
      <c r="JG45">
        <v>3.7729978354978358E-9</v>
      </c>
      <c r="JI45">
        <v>9.3019480519480524E-10</v>
      </c>
      <c r="JJ45">
        <v>2.2299291617473433E-10</v>
      </c>
      <c r="JK45">
        <v>1.4595631641086188E-10</v>
      </c>
      <c r="JL45">
        <v>1.6818181818181817E-9</v>
      </c>
    </row>
    <row r="46" spans="5:310" x14ac:dyDescent="0.35">
      <c r="F46">
        <v>1.7433605102081796E-8</v>
      </c>
      <c r="X46">
        <v>4.5798541722927352E-9</v>
      </c>
      <c r="Y46">
        <v>1.1143119658476842E-9</v>
      </c>
      <c r="Z46">
        <v>8.5466204440347791E-10</v>
      </c>
      <c r="AA46">
        <v>6.275252041909016E-10</v>
      </c>
      <c r="AN46">
        <v>1.7265355590813223E-8</v>
      </c>
      <c r="AO46">
        <v>2.3243669981753643E-8</v>
      </c>
      <c r="AP46">
        <v>2.7807779021220365E-8</v>
      </c>
      <c r="BE46">
        <v>3.2203638549418517E-8</v>
      </c>
      <c r="BF46">
        <v>4.0608838458305928E-8</v>
      </c>
      <c r="BG46">
        <v>4.1298661454507086E-8</v>
      </c>
      <c r="BN46">
        <v>2.9789258062714469E-9</v>
      </c>
      <c r="BO46">
        <v>3.7974369421726226E-9</v>
      </c>
      <c r="BP46">
        <v>4.4415597332859642E-9</v>
      </c>
      <c r="BQ46">
        <v>3.8535959006636201E-9</v>
      </c>
      <c r="BR46">
        <v>3.5307387303914894E-9</v>
      </c>
      <c r="BS46">
        <v>4.0866442101910376E-9</v>
      </c>
      <c r="BT46">
        <v>4.9692720517378059E-9</v>
      </c>
      <c r="BU46">
        <v>3.6858011178038792E-9</v>
      </c>
      <c r="BV46">
        <v>4.9492640017491114E-9</v>
      </c>
      <c r="BW46">
        <v>3.0419056908949531E-9</v>
      </c>
      <c r="BX46">
        <v>3.8358614927190943E-9</v>
      </c>
      <c r="BY46">
        <v>3.0844227971209313E-9</v>
      </c>
      <c r="CF46">
        <v>1.3191671140273953E-8</v>
      </c>
      <c r="CG46">
        <v>1.505082823979171E-8</v>
      </c>
      <c r="CI46">
        <v>6.8436625529514999E-10</v>
      </c>
      <c r="CJ46">
        <v>1.4858250758650513E-9</v>
      </c>
      <c r="CK46">
        <v>8.2965198191760872E-10</v>
      </c>
      <c r="CU46">
        <v>4.2128313436424696E-9</v>
      </c>
      <c r="CV46">
        <v>4.1202941124447529E-9</v>
      </c>
      <c r="DA46">
        <v>1.153736918893591E-8</v>
      </c>
      <c r="DB46">
        <v>1.4309620933392309E-8</v>
      </c>
      <c r="DF46">
        <v>6.3830226748026713E-9</v>
      </c>
      <c r="DG46">
        <v>6.4298597009125716E-9</v>
      </c>
      <c r="DH46">
        <v>6.2140910709208448E-9</v>
      </c>
      <c r="DY46">
        <v>4.9021546635182996E-9</v>
      </c>
      <c r="HA46">
        <v>1.1891676505312866E-8</v>
      </c>
      <c r="HB46">
        <v>1.3000885478158205E-8</v>
      </c>
      <c r="HC46">
        <v>0</v>
      </c>
      <c r="IU46">
        <v>3.8503541912632821E-9</v>
      </c>
      <c r="IV46">
        <v>6.608471074380165E-9</v>
      </c>
      <c r="IW46">
        <v>2.6474321133412037E-9</v>
      </c>
      <c r="IX46">
        <v>3.2836481700118062E-9</v>
      </c>
      <c r="IY46">
        <v>4.8279220779220774E-9</v>
      </c>
      <c r="JG46">
        <v>3.9851436442345545E-9</v>
      </c>
      <c r="JI46">
        <v>3.2238783943329399E-9</v>
      </c>
      <c r="JJ46">
        <v>2.3332349468713107E-10</v>
      </c>
      <c r="JK46">
        <v>1.314935064935065E-10</v>
      </c>
      <c r="JL46">
        <v>1.5671487603305784E-9</v>
      </c>
    </row>
    <row r="47" spans="5:310" x14ac:dyDescent="0.35">
      <c r="F47">
        <v>1.9393484544156282E-8</v>
      </c>
      <c r="X47">
        <v>4.5799846970924465E-9</v>
      </c>
      <c r="Y47">
        <v>1.1068089471019234E-9</v>
      </c>
      <c r="Z47">
        <v>9.2150712050207397E-10</v>
      </c>
      <c r="AA47">
        <v>6.7299804507430029E-10</v>
      </c>
      <c r="AN47">
        <v>1.7622317391747906E-8</v>
      </c>
      <c r="AO47">
        <v>2.3508776644103861E-8</v>
      </c>
      <c r="AP47">
        <v>2.8591276069641325E-8</v>
      </c>
      <c r="BE47">
        <v>3.3236781494289334E-8</v>
      </c>
      <c r="BF47">
        <v>4.1646073958856253E-8</v>
      </c>
      <c r="BG47">
        <v>4.2976381918900079E-8</v>
      </c>
      <c r="BN47">
        <v>3.1117065016509709E-9</v>
      </c>
      <c r="BO47">
        <v>3.9388574773199928E-9</v>
      </c>
      <c r="BP47">
        <v>4.4888514878046995E-9</v>
      </c>
      <c r="BQ47">
        <v>3.7999379484212094E-9</v>
      </c>
      <c r="BR47">
        <v>3.5680264599158766E-9</v>
      </c>
      <c r="BS47">
        <v>4.0507206658931534E-9</v>
      </c>
      <c r="BT47">
        <v>5.0963686420069056E-9</v>
      </c>
      <c r="BU47">
        <v>3.8297226591998353E-9</v>
      </c>
      <c r="BV47">
        <v>4.9506281869756133E-9</v>
      </c>
      <c r="BW47">
        <v>3.0589580062262283E-9</v>
      </c>
      <c r="BX47">
        <v>3.955455064242433E-9</v>
      </c>
      <c r="BY47">
        <v>2.9989338562601423E-9</v>
      </c>
      <c r="CF47">
        <v>1.3494520260557388E-8</v>
      </c>
      <c r="CG47">
        <v>1.5352085810644225E-8</v>
      </c>
      <c r="CI47">
        <v>7.4939241775840998E-10</v>
      </c>
      <c r="CJ47">
        <v>1.5542617013945664E-9</v>
      </c>
      <c r="CK47">
        <v>9.3378478754059154E-10</v>
      </c>
      <c r="CU47">
        <v>4.3997247196732381E-9</v>
      </c>
      <c r="CV47">
        <v>4.1589460271956417E-9</v>
      </c>
      <c r="DA47">
        <v>1.2092137847713373E-8</v>
      </c>
      <c r="DB47">
        <v>1.5387099898124442E-8</v>
      </c>
      <c r="DF47">
        <v>6.1729381499213693E-9</v>
      </c>
      <c r="DG47">
        <v>6.5658234951539325E-9</v>
      </c>
      <c r="DH47">
        <v>7.0737551278214968E-9</v>
      </c>
      <c r="DY47">
        <v>5.0364521841794567E-9</v>
      </c>
      <c r="HA47">
        <v>1.2244834710743801E-8</v>
      </c>
      <c r="HB47">
        <v>1.3811835891381346E-8</v>
      </c>
      <c r="HC47">
        <v>0</v>
      </c>
      <c r="IU47">
        <v>4.0622786304604477E-9</v>
      </c>
      <c r="IV47">
        <v>6.9067296340023618E-9</v>
      </c>
      <c r="IW47">
        <v>2.7035123966942151E-9</v>
      </c>
      <c r="IX47">
        <v>3.4701889020070835E-9</v>
      </c>
      <c r="IY47">
        <v>4.9892266824085E-9</v>
      </c>
      <c r="JG47">
        <v>4.1009937032664306E-9</v>
      </c>
      <c r="JI47">
        <v>3.5541617473435655E-9</v>
      </c>
      <c r="JJ47">
        <v>2.2476387249114523E-10</v>
      </c>
      <c r="JK47">
        <v>1.2396694214876031E-10</v>
      </c>
      <c r="JL47">
        <v>1.6322314049586776E-9</v>
      </c>
    </row>
    <row r="48" spans="5:310" x14ac:dyDescent="0.35">
      <c r="F48">
        <v>2.1461589347533249E-8</v>
      </c>
      <c r="X48">
        <v>5.0860293455756593E-9</v>
      </c>
      <c r="Y48">
        <v>1.23185925953127E-9</v>
      </c>
      <c r="Z48">
        <v>9.4606245457910922E-10</v>
      </c>
      <c r="AA48">
        <v>7.6303427002342968E-10</v>
      </c>
      <c r="AN48">
        <v>1.8005198711986115E-8</v>
      </c>
      <c r="AO48">
        <v>2.3520372218529125E-8</v>
      </c>
      <c r="AP48">
        <v>2.9186742921009429E-8</v>
      </c>
      <c r="BE48">
        <v>3.4189892239205376E-8</v>
      </c>
      <c r="BF48">
        <v>4.2895667626332046E-8</v>
      </c>
      <c r="BG48">
        <v>4.4400591295368125E-8</v>
      </c>
      <c r="BN48">
        <v>3.2278896101080544E-9</v>
      </c>
      <c r="BO48">
        <v>4.0780043704231926E-9</v>
      </c>
      <c r="BP48">
        <v>4.5336422360748474E-9</v>
      </c>
      <c r="BQ48">
        <v>3.8183544489789865E-9</v>
      </c>
      <c r="BR48">
        <v>3.4359278571496032E-9</v>
      </c>
      <c r="BS48">
        <v>4.088917852235208E-9</v>
      </c>
      <c r="BT48">
        <v>5.0554430852118464E-9</v>
      </c>
      <c r="BU48">
        <v>3.8281311097689162E-9</v>
      </c>
      <c r="BV48">
        <v>4.9203887477881532E-9</v>
      </c>
      <c r="BW48">
        <v>3.0605495556571474E-9</v>
      </c>
      <c r="BX48">
        <v>3.9145295074473746E-9</v>
      </c>
      <c r="BY48">
        <v>3.0753282289442517E-9</v>
      </c>
      <c r="CF48">
        <v>1.3963345250065229E-8</v>
      </c>
      <c r="CG48">
        <v>1.5671305153645682E-8</v>
      </c>
      <c r="CI48">
        <v>8.15782765448172E-10</v>
      </c>
      <c r="CJ48">
        <v>1.6959096007463533E-9</v>
      </c>
      <c r="CK48">
        <v>8.9763387903828957E-10</v>
      </c>
      <c r="CU48">
        <v>4.3292418163039702E-9</v>
      </c>
      <c r="CV48">
        <v>4.0948293215500491E-9</v>
      </c>
      <c r="DB48">
        <v>1.6319520500438529E-8</v>
      </c>
      <c r="DF48">
        <v>6.0428858249948478E-9</v>
      </c>
      <c r="DG48">
        <v>6.485791295199151E-9</v>
      </c>
      <c r="DH48">
        <v>6.8004633541122707E-9</v>
      </c>
      <c r="DY48">
        <v>5.2435064935064936E-9</v>
      </c>
      <c r="HA48">
        <v>1.2491735537190084E-8</v>
      </c>
      <c r="HB48">
        <v>1.4972107438016527E-8</v>
      </c>
      <c r="HC48">
        <v>0</v>
      </c>
      <c r="IU48">
        <v>4.1404958677685959E-9</v>
      </c>
      <c r="IV48">
        <v>7.1785714285714288E-9</v>
      </c>
      <c r="IW48">
        <v>2.8193624557260921E-9</v>
      </c>
      <c r="IX48">
        <v>3.4353600944510033E-9</v>
      </c>
      <c r="IY48">
        <v>5.1679456906729641E-9</v>
      </c>
      <c r="JG48">
        <v>4.4443624557260921E-9</v>
      </c>
      <c r="JI48">
        <v>2.5695100354191266E-9</v>
      </c>
      <c r="JJ48">
        <v>2.1236717827626917E-10</v>
      </c>
      <c r="JK48">
        <v>1.6322314049586777E-10</v>
      </c>
      <c r="JL48">
        <v>1.4611865407319952E-9</v>
      </c>
    </row>
    <row r="49" spans="24:272" x14ac:dyDescent="0.35">
      <c r="X49">
        <v>5.0006661265640466E-9</v>
      </c>
      <c r="Y49">
        <v>1.4887808105224725E-9</v>
      </c>
      <c r="Z49">
        <v>9.4788136821444518E-10</v>
      </c>
      <c r="AA49">
        <v>7.530302450290818E-10</v>
      </c>
      <c r="AN49">
        <v>1.8333512623164261E-8</v>
      </c>
      <c r="AO49">
        <v>2.3728410465570678E-8</v>
      </c>
      <c r="AP49">
        <v>2.9889980405271197E-8</v>
      </c>
      <c r="BE49">
        <v>3.503636917224984E-8</v>
      </c>
      <c r="BF49">
        <v>4.3945180793920883E-8</v>
      </c>
      <c r="BG49">
        <v>4.5886871099642012E-8</v>
      </c>
      <c r="BN49">
        <v>3.3229278475543582E-9</v>
      </c>
      <c r="BO49">
        <v>4.1832739970682608E-9</v>
      </c>
      <c r="BP49">
        <v>4.6436865110126718E-9</v>
      </c>
      <c r="BQ49">
        <v>3.8817890620113261E-9</v>
      </c>
      <c r="BR49">
        <v>3.5689359167335443E-9</v>
      </c>
      <c r="BS49">
        <v>4.052994307937323E-9</v>
      </c>
      <c r="BT49">
        <v>5.0524873505544254E-9</v>
      </c>
      <c r="BU49">
        <v>3.9054349392706946E-9</v>
      </c>
      <c r="BV49">
        <v>5.0158817136432899E-9</v>
      </c>
      <c r="BW49">
        <v>2.9832457261553698E-9</v>
      </c>
      <c r="BX49">
        <v>3.9172578779003785E-9</v>
      </c>
      <c r="BY49">
        <v>3.0539559937290537E-9</v>
      </c>
      <c r="CG49">
        <v>1.5952327310305085E-8</v>
      </c>
      <c r="CI49">
        <v>9.9994777102593664E-10</v>
      </c>
      <c r="CJ49">
        <v>1.779806992176224E-9</v>
      </c>
      <c r="CK49">
        <v>1.0133622590865391E-9</v>
      </c>
      <c r="CU49">
        <v>4.5015838832520511E-9</v>
      </c>
      <c r="CV49">
        <v>4.2128313436424696E-9</v>
      </c>
      <c r="DB49">
        <v>1.7457023615136746E-8</v>
      </c>
      <c r="DF49">
        <v>6.0997268760990958E-9</v>
      </c>
      <c r="DG49">
        <v>6.3191333333614958E-9</v>
      </c>
      <c r="DH49">
        <v>6.7338456422180913E-9</v>
      </c>
      <c r="DY49">
        <v>5.4315230224321129E-9</v>
      </c>
      <c r="HA49">
        <v>1.2971074380165289E-8</v>
      </c>
      <c r="HB49">
        <v>1.631331168831169E-8</v>
      </c>
      <c r="HC49">
        <v>0</v>
      </c>
      <c r="IU49">
        <v>4.3962514757969294E-9</v>
      </c>
      <c r="IV49">
        <v>7.8184769775678866E-9</v>
      </c>
      <c r="IW49">
        <v>3.081168831168831E-9</v>
      </c>
      <c r="IX49">
        <v>3.5705430932703655E-9</v>
      </c>
      <c r="IY49">
        <v>5.3177390791027157E-9</v>
      </c>
      <c r="JG49">
        <v>4.7883461235733975E-9</v>
      </c>
      <c r="JI49">
        <v>1.6618949232585597E-9</v>
      </c>
      <c r="JJ49">
        <v>2.5368949232585599E-10</v>
      </c>
      <c r="JK49">
        <v>1.4344746162927983E-10</v>
      </c>
      <c r="JL49">
        <v>1.1399055489964581E-9</v>
      </c>
    </row>
    <row r="50" spans="24:272" x14ac:dyDescent="0.35">
      <c r="X50">
        <v>5.2581915563957155E-9</v>
      </c>
      <c r="Y50">
        <v>1.7188733853924692E-9</v>
      </c>
      <c r="Z50">
        <v>1.0695212175775365E-9</v>
      </c>
      <c r="AA50">
        <v>8.5488940860789493E-10</v>
      </c>
      <c r="AN50">
        <v>1.8770733988258136E-8</v>
      </c>
      <c r="AO50">
        <v>2.3784342059857254E-8</v>
      </c>
      <c r="AP50">
        <v>3.0434745039054309E-8</v>
      </c>
      <c r="BE50">
        <v>3.5863747512123278E-8</v>
      </c>
      <c r="BF50">
        <v>4.5008335813774747E-8</v>
      </c>
      <c r="BG50">
        <v>4.711031788360985E-8</v>
      </c>
      <c r="BN50">
        <v>3.4311532088568464E-9</v>
      </c>
      <c r="BO50">
        <v>4.2908172657574977E-9</v>
      </c>
      <c r="BP50">
        <v>4.7428173041384809E-9</v>
      </c>
      <c r="BQ50">
        <v>3.8554148142989554E-9</v>
      </c>
      <c r="BR50">
        <v>3.4970888281377744E-9</v>
      </c>
      <c r="BS50">
        <v>4.1346180573230243E-9</v>
      </c>
      <c r="BT50">
        <v>5.5142640497253392E-9</v>
      </c>
      <c r="BU50">
        <v>3.9611391693528578E-9</v>
      </c>
      <c r="BV50">
        <v>4.9917811079750888E-9</v>
      </c>
      <c r="BW50">
        <v>3.0114388875030766E-9</v>
      </c>
      <c r="BX50">
        <v>3.9843303182033912E-9</v>
      </c>
      <c r="BY50">
        <v>3.1312598232308316E-9</v>
      </c>
      <c r="CG50">
        <v>1.6393868595282886E-8</v>
      </c>
      <c r="CI50">
        <v>1.0683843965554515E-9</v>
      </c>
      <c r="CJ50">
        <v>2.0376379999850944E-9</v>
      </c>
      <c r="CK50">
        <v>1.1074910397151746E-9</v>
      </c>
      <c r="CU50">
        <v>4.5411452548206075E-9</v>
      </c>
      <c r="CV50">
        <v>4.2317025726090801E-9</v>
      </c>
      <c r="DB50">
        <v>1.8545416061680895E-8</v>
      </c>
      <c r="DF50">
        <v>5.9744491994653331E-9</v>
      </c>
      <c r="DG50">
        <v>6.4637369673707041E-9</v>
      </c>
      <c r="DH50">
        <v>6.5687792298113542E-9</v>
      </c>
      <c r="DY50">
        <v>5.5569657615112162E-9</v>
      </c>
      <c r="IU50">
        <v>4.5050177095631636E-9</v>
      </c>
      <c r="IV50">
        <v>8.263429752066115E-9</v>
      </c>
      <c r="IW50">
        <v>3.1002066115702477E-9</v>
      </c>
      <c r="IX50">
        <v>3.6821133412042499E-9</v>
      </c>
      <c r="IY50">
        <v>5.4505608028335296E-9</v>
      </c>
      <c r="JG50">
        <v>5.0484553325462429E-9</v>
      </c>
      <c r="JI50">
        <v>1.3952184179456906E-9</v>
      </c>
      <c r="JJ50">
        <v>2.1030106257378985E-10</v>
      </c>
      <c r="JK50">
        <v>1.3857733175914996E-10</v>
      </c>
      <c r="JL50">
        <v>1.1092089728453364E-9</v>
      </c>
    </row>
    <row r="51" spans="24:272" x14ac:dyDescent="0.35">
      <c r="X51">
        <v>5.4937888198757761E-9</v>
      </c>
      <c r="Y51">
        <v>1.9855715971736027E-9</v>
      </c>
      <c r="Z51">
        <v>1.129545367543623E-9</v>
      </c>
      <c r="AA51">
        <v>1.4187526355620384E-9</v>
      </c>
      <c r="AN51">
        <v>1.9516033850337039E-8</v>
      </c>
      <c r="AO51">
        <v>2.3897796797861333E-8</v>
      </c>
      <c r="AP51">
        <v>3.1050902033024365E-8</v>
      </c>
      <c r="BE51">
        <v>3.6549705316849345E-8</v>
      </c>
      <c r="BF51">
        <v>4.5991231269469413E-8</v>
      </c>
      <c r="BG51">
        <v>4.84408532078581E-8</v>
      </c>
      <c r="BN51">
        <v>3.5659801820761238E-9</v>
      </c>
      <c r="BO51">
        <v>4.3726683793476152E-9</v>
      </c>
      <c r="BP51">
        <v>4.906519531318716E-9</v>
      </c>
      <c r="BQ51">
        <v>3.8861089818952498E-9</v>
      </c>
      <c r="BR51">
        <v>3.5423343048167569E-9</v>
      </c>
      <c r="BS51">
        <v>4.1646301323060665E-9</v>
      </c>
      <c r="BT51">
        <v>5.3896684657048271E-9</v>
      </c>
      <c r="BU51">
        <v>4.042308190329724E-9</v>
      </c>
      <c r="BV51">
        <v>5.0072418738754442E-9</v>
      </c>
      <c r="BW51">
        <v>3.1376260209545082E-9</v>
      </c>
      <c r="BX51">
        <v>4.0141150289820171E-9</v>
      </c>
      <c r="BY51">
        <v>3.0191692704532543E-9</v>
      </c>
      <c r="CG51">
        <v>1.6806761990504148E-8</v>
      </c>
      <c r="CI51">
        <v>1.1340926516319628E-9</v>
      </c>
      <c r="CJ51">
        <v>2.2402195061206355E-9</v>
      </c>
      <c r="CK51">
        <v>1.1134025090300163E-9</v>
      </c>
      <c r="CU51">
        <v>4.4883967593958653E-9</v>
      </c>
      <c r="CV51">
        <v>4.2955919140502548E-9</v>
      </c>
      <c r="DF51">
        <v>5.8284813802296246E-9</v>
      </c>
      <c r="DG51">
        <v>6.3214069754056662E-9</v>
      </c>
      <c r="DH51">
        <v>6.5476343588005741E-9</v>
      </c>
      <c r="DY51">
        <v>5.742178276269185E-9</v>
      </c>
      <c r="IU51">
        <v>4.6766528925619825E-9</v>
      </c>
      <c r="IV51">
        <v>8.8133116883116891E-9</v>
      </c>
      <c r="IW51">
        <v>3.124409681227863E-9</v>
      </c>
      <c r="IX51">
        <v>3.8333825265643444E-9</v>
      </c>
      <c r="IY51">
        <v>5.6902302243211331E-9</v>
      </c>
      <c r="JG51">
        <v>5.2839679260133811E-9</v>
      </c>
      <c r="JI51">
        <v>1.7474911452184178E-9</v>
      </c>
      <c r="JJ51">
        <v>2.6342975206611572E-10</v>
      </c>
      <c r="JK51">
        <v>1.8536009445100354E-10</v>
      </c>
      <c r="JL51">
        <v>1.3298406139315229E-9</v>
      </c>
    </row>
    <row r="52" spans="24:272" x14ac:dyDescent="0.35">
      <c r="X52">
        <v>5.9246511837249069E-9</v>
      </c>
      <c r="Y52">
        <v>2.0965253289290952E-9</v>
      </c>
      <c r="Z52">
        <v>1.0804346993895523E-9</v>
      </c>
      <c r="AA52">
        <v>1.6065554684104748E-9</v>
      </c>
      <c r="AN52">
        <v>2.0317037942498108E-8</v>
      </c>
      <c r="AO52">
        <v>2.3898706254679001E-8</v>
      </c>
      <c r="AP52">
        <v>3.1823030871224476E-8</v>
      </c>
      <c r="BE52">
        <v>3.7351164137419251E-8</v>
      </c>
      <c r="BF52">
        <v>4.7133509032460383E-8</v>
      </c>
      <c r="BG52">
        <v>4.9612688317423276E-8</v>
      </c>
      <c r="BN52">
        <v>3.6898936734833845E-9</v>
      </c>
      <c r="BO52">
        <v>4.4351935355622888E-9</v>
      </c>
      <c r="BP52">
        <v>4.9901895585441698E-9</v>
      </c>
      <c r="BQ52">
        <v>3.8269942887468314E-9</v>
      </c>
      <c r="BR52">
        <v>3.5493825951536836E-9</v>
      </c>
      <c r="BS52">
        <v>4.1414389834555339E-9</v>
      </c>
      <c r="BT52">
        <v>5.2896282157613495E-9</v>
      </c>
      <c r="BU52">
        <v>4.0227548687498629E-9</v>
      </c>
      <c r="BV52">
        <v>5.2550688566899665E-9</v>
      </c>
      <c r="BW52">
        <v>3.09283527268436E-9</v>
      </c>
      <c r="BX52">
        <v>3.983875589794557E-9</v>
      </c>
      <c r="BY52">
        <v>3.0560022715688069E-9</v>
      </c>
      <c r="CG52">
        <v>1.717099944598017E-8</v>
      </c>
      <c r="CI52">
        <v>1.2739216373484136E-9</v>
      </c>
      <c r="CJ52">
        <v>2.4241571474939831E-9</v>
      </c>
      <c r="CK52">
        <v>1.119768706753692E-9</v>
      </c>
      <c r="CU52">
        <v>4.6420949615817528E-9</v>
      </c>
      <c r="CV52">
        <v>4.2860426174647405E-9</v>
      </c>
      <c r="DY52">
        <v>5.949675324675324E-9</v>
      </c>
      <c r="IU52">
        <v>4.8912337662337659E-9</v>
      </c>
      <c r="IW52">
        <v>3.27228453364817E-9</v>
      </c>
      <c r="IX52">
        <v>3.9697461629279813E-9</v>
      </c>
      <c r="IY52">
        <v>5.9048110979929157E-9</v>
      </c>
      <c r="JG52">
        <v>5.6404958677685952E-9</v>
      </c>
      <c r="JI52">
        <v>2.4560212514757965E-9</v>
      </c>
      <c r="JJ52">
        <v>2.6608618654073202E-10</v>
      </c>
      <c r="JK52">
        <v>1.7370129870129868E-10</v>
      </c>
      <c r="JL52">
        <v>1.5110684769775677E-9</v>
      </c>
    </row>
    <row r="53" spans="24:272" x14ac:dyDescent="0.35">
      <c r="Y53">
        <v>2.4005112702346154E-9</v>
      </c>
      <c r="Z53">
        <v>1.2025292771614777E-9</v>
      </c>
      <c r="AA53">
        <v>1.4458089758876608E-9</v>
      </c>
      <c r="AN53">
        <v>2.1348589337938008E-8</v>
      </c>
      <c r="AO53">
        <v>2.4143577502836108E-8</v>
      </c>
      <c r="AP53">
        <v>3.2709069175837493E-8</v>
      </c>
      <c r="BE53">
        <v>3.7950950908671281E-8</v>
      </c>
      <c r="BF53">
        <v>4.8150509118817597E-8</v>
      </c>
      <c r="BN53">
        <v>3.7569661137863985E-9</v>
      </c>
      <c r="BO53">
        <v>4.6041251394441145E-9</v>
      </c>
      <c r="BP53">
        <v>5.0363444920408195E-9</v>
      </c>
      <c r="BQ53">
        <v>3.8076683313713874E-9</v>
      </c>
      <c r="BR53">
        <v>3.5348312860709955E-9</v>
      </c>
      <c r="BT53">
        <v>5.3446503532302621E-9</v>
      </c>
      <c r="BU53">
        <v>4.0379882704458011E-9</v>
      </c>
      <c r="BV53">
        <v>5.1609400760613317E-9</v>
      </c>
      <c r="BW53">
        <v>3.059867463043896E-9</v>
      </c>
      <c r="BX53">
        <v>4.0088856522804258E-9</v>
      </c>
      <c r="BY53">
        <v>3.1562698857167008E-9</v>
      </c>
      <c r="CI53">
        <v>1.3364467935630869E-9</v>
      </c>
      <c r="CJ53">
        <v>2.7147286007389008E-9</v>
      </c>
      <c r="CK53">
        <v>1.2107143885204894E-9</v>
      </c>
      <c r="CU53">
        <v>4.6384571343110804E-9</v>
      </c>
      <c r="CV53">
        <v>4.5461472673177818E-9</v>
      </c>
      <c r="DY53">
        <v>6.1567296340023617E-9</v>
      </c>
      <c r="IU53">
        <v>5.1207201889020082E-9</v>
      </c>
      <c r="IW53">
        <v>3.3385478158205434E-9</v>
      </c>
      <c r="IX53">
        <v>4.0746753246753246E-9</v>
      </c>
      <c r="IY53">
        <v>5.9616292798110971E-9</v>
      </c>
      <c r="JG53">
        <v>5.9802981109799296E-9</v>
      </c>
      <c r="JI53">
        <v>2.7669716646989372E-9</v>
      </c>
      <c r="JJ53">
        <v>2.1074380165289252E-10</v>
      </c>
      <c r="JK53">
        <v>2.0380755608028334E-10</v>
      </c>
      <c r="JL53">
        <v>1.4189787485242033E-9</v>
      </c>
    </row>
    <row r="54" spans="24:272" x14ac:dyDescent="0.35">
      <c r="Z54">
        <v>1.2691469890556568E-9</v>
      </c>
      <c r="AA54">
        <v>1.8011792273914211E-9</v>
      </c>
      <c r="AN54">
        <v>2.2384915381670661E-8</v>
      </c>
      <c r="AO54">
        <v>2.4435513141307524E-8</v>
      </c>
      <c r="AP54">
        <v>3.3647173883262011E-8</v>
      </c>
      <c r="BE54">
        <v>3.8709892623015205E-8</v>
      </c>
      <c r="BN54">
        <v>3.877469142127404E-9</v>
      </c>
      <c r="BO54">
        <v>4.7450909461826513E-9</v>
      </c>
      <c r="BP54">
        <v>5.1329742789180411E-9</v>
      </c>
      <c r="BQ54">
        <v>3.8399540483986001E-9</v>
      </c>
      <c r="BU54">
        <v>4.1423484402732016E-9</v>
      </c>
      <c r="BV54">
        <v>5.1486624090228144E-9</v>
      </c>
      <c r="BW54">
        <v>3.1446743112914349E-9</v>
      </c>
      <c r="BX54">
        <v>3.9627307187837768E-9</v>
      </c>
      <c r="BY54">
        <v>3.1201189772143988E-9</v>
      </c>
      <c r="CI54">
        <v>1.4792315139369587E-9</v>
      </c>
      <c r="CJ54">
        <v>3.1067044891537963E-9</v>
      </c>
      <c r="CK54">
        <v>1.2871087612045993E-9</v>
      </c>
      <c r="CU54">
        <v>4.5347790570969313E-9</v>
      </c>
      <c r="CV54">
        <v>4.4586120486172386E-9</v>
      </c>
      <c r="DY54">
        <v>6.2570838252656441E-9</v>
      </c>
      <c r="IU54">
        <v>5.3494687131050772E-9</v>
      </c>
      <c r="IW54">
        <v>3.5146103896103897E-9</v>
      </c>
      <c r="IX54">
        <v>4.1835891381345922E-9</v>
      </c>
      <c r="IY54">
        <v>6.1778335301062573E-9</v>
      </c>
      <c r="JG54">
        <v>6.3055883510428976E-9</v>
      </c>
      <c r="JJ54">
        <v>2.4763872491145222E-10</v>
      </c>
      <c r="JK54">
        <v>2.0070838252656434E-10</v>
      </c>
      <c r="JL54">
        <v>1.2995867768595041E-9</v>
      </c>
    </row>
    <row r="55" spans="24:272" x14ac:dyDescent="0.35">
      <c r="Z55">
        <v>1.3287164106129091E-9</v>
      </c>
      <c r="AA55">
        <v>2.0660585255372184E-9</v>
      </c>
      <c r="AN55">
        <v>2.3302102582288814E-8</v>
      </c>
      <c r="AO55">
        <v>2.4642414567326981E-8</v>
      </c>
      <c r="AP55">
        <v>3.442521419077696E-8</v>
      </c>
      <c r="BE55">
        <v>3.9159164290943178E-8</v>
      </c>
      <c r="BN55">
        <v>3.9665959102588655E-9</v>
      </c>
      <c r="BO55">
        <v>4.792382700701385E-9</v>
      </c>
      <c r="BP55">
        <v>5.1670789095805907E-9</v>
      </c>
      <c r="BQ55">
        <v>4.0291210664735391E-9</v>
      </c>
      <c r="BU55">
        <v>4.1637206754883988E-9</v>
      </c>
      <c r="BV55">
        <v>5.0947770925759866E-9</v>
      </c>
      <c r="BW55">
        <v>3.1212557982364848E-9</v>
      </c>
      <c r="BX55">
        <v>3.9565918852645178E-9</v>
      </c>
      <c r="BY55">
        <v>3.0953362789329471E-9</v>
      </c>
      <c r="CI55">
        <v>1.5483502320797243E-9</v>
      </c>
      <c r="CK55">
        <v>1.4553582724731743E-9</v>
      </c>
      <c r="CU55">
        <v>4.8055698245575708E-9</v>
      </c>
      <c r="CV55">
        <v>4.5775235275273275E-9</v>
      </c>
      <c r="DY55">
        <v>6.426062573789846E-9</v>
      </c>
      <c r="IU55">
        <v>5.5920897284533647E-9</v>
      </c>
      <c r="IW55">
        <v>3.6573199527744981E-9</v>
      </c>
      <c r="IX55">
        <v>4.1949527744982289E-9</v>
      </c>
      <c r="IY55">
        <v>6.4611865407319944E-9</v>
      </c>
      <c r="JG55">
        <v>8.4654171585989774E-9</v>
      </c>
      <c r="JJ55">
        <v>2.2195985832349466E-10</v>
      </c>
      <c r="JK55">
        <v>1.7089728453364816E-10</v>
      </c>
      <c r="JL55">
        <v>1.1248524203069656E-9</v>
      </c>
    </row>
    <row r="56" spans="24:272" x14ac:dyDescent="0.35">
      <c r="Z56">
        <v>1.3073441753977116E-9</v>
      </c>
      <c r="AA56">
        <v>1.7627546768449494E-9</v>
      </c>
      <c r="AN56">
        <v>2.4086963815936277E-8</v>
      </c>
      <c r="AO56">
        <v>2.4860229475158467E-8</v>
      </c>
      <c r="AP56">
        <v>3.5092300766536419E-8</v>
      </c>
      <c r="BE56">
        <v>3.9708930937223466E-8</v>
      </c>
      <c r="BN56">
        <v>4.0957387783677167E-9</v>
      </c>
      <c r="BO56">
        <v>4.9467629955005239E-9</v>
      </c>
      <c r="BP56">
        <v>5.2841714748553418E-9</v>
      </c>
      <c r="BQ56">
        <v>3.9283987239168109E-9</v>
      </c>
      <c r="BU56">
        <v>4.2271552885207393E-9</v>
      </c>
      <c r="BV56">
        <v>5.3460145384567641E-9</v>
      </c>
      <c r="BW56">
        <v>3.0537286295246374E-9</v>
      </c>
      <c r="BX56">
        <v>3.9752357500267112E-9</v>
      </c>
      <c r="BY56">
        <v>3.1567246141255355E-9</v>
      </c>
      <c r="CI56">
        <v>1.5685856462728368E-9</v>
      </c>
      <c r="CK56">
        <v>1.4478552537274135E-9</v>
      </c>
      <c r="CU56">
        <v>4.8892398517830237E-9</v>
      </c>
      <c r="CV56">
        <v>4.4806663764456872E-9</v>
      </c>
      <c r="DY56">
        <v>6.578659976387249E-9</v>
      </c>
      <c r="IU56">
        <v>5.8354486422668238E-9</v>
      </c>
      <c r="IW56">
        <v>3.7306670602125143E-9</v>
      </c>
      <c r="IX56">
        <v>4.3842975206611563E-9</v>
      </c>
      <c r="IY56">
        <v>6.6855076741440369E-9</v>
      </c>
      <c r="JJ56">
        <v>2.3966942148760328E-10</v>
      </c>
      <c r="JK56">
        <v>2.6431523022432112E-10</v>
      </c>
      <c r="JL56">
        <v>1.3698347107438015E-9</v>
      </c>
    </row>
    <row r="57" spans="24:272" x14ac:dyDescent="0.35">
      <c r="Z57">
        <v>1.3050705333535418E-9</v>
      </c>
      <c r="AA57">
        <v>1.6115574809076486E-9</v>
      </c>
      <c r="AN57">
        <v>2.4885694266053172E-8</v>
      </c>
      <c r="AO57">
        <v>2.5106919636950904E-8</v>
      </c>
      <c r="AP57">
        <v>3.5727783717881917E-8</v>
      </c>
      <c r="BE57">
        <v>4.0222546675001452E-8</v>
      </c>
      <c r="BN57">
        <v>4.1769077993445846E-9</v>
      </c>
      <c r="BO57">
        <v>5.0147448926212043E-9</v>
      </c>
      <c r="BP57">
        <v>5.3844390890032357E-9</v>
      </c>
      <c r="BQ57">
        <v>3.91180113699437E-9</v>
      </c>
      <c r="BU57">
        <v>4.2257911032942382E-9</v>
      </c>
      <c r="BV57">
        <v>5.1752640209396022E-9</v>
      </c>
      <c r="BW57">
        <v>3.1176179709658125E-9</v>
      </c>
      <c r="BX57">
        <v>3.9638675398058625E-9</v>
      </c>
      <c r="BY57">
        <v>3.2065173748928567E-9</v>
      </c>
      <c r="CI57">
        <v>1.7977687643251661E-9</v>
      </c>
      <c r="CK57">
        <v>1.6624870626970555E-9</v>
      </c>
      <c r="CU57">
        <v>4.9097026301805533E-9</v>
      </c>
      <c r="CV57">
        <v>4.6309541155653203E-9</v>
      </c>
      <c r="DY57">
        <v>6.7722845336481695E-9</v>
      </c>
      <c r="IU57">
        <v>6.0793978748524195E-9</v>
      </c>
      <c r="IW57">
        <v>3.8183293978748529E-9</v>
      </c>
      <c r="IX57">
        <v>4.481847697756789E-9</v>
      </c>
      <c r="IY57">
        <v>7.009002361275088E-9</v>
      </c>
      <c r="JJ57">
        <v>3.3367768595041326E-10</v>
      </c>
      <c r="JK57">
        <v>1.1301652892561981E-9</v>
      </c>
      <c r="JL57">
        <v>1.7491145218417944E-9</v>
      </c>
    </row>
    <row r="58" spans="24:272" x14ac:dyDescent="0.35">
      <c r="Z58">
        <v>1.3914689310319994E-9</v>
      </c>
      <c r="AA58">
        <v>1.5190202497099324E-9</v>
      </c>
      <c r="AN58">
        <v>2.550321544524972E-8</v>
      </c>
      <c r="AO58">
        <v>2.5247430715280604E-8</v>
      </c>
      <c r="AP58">
        <v>3.6240262634637817E-8</v>
      </c>
      <c r="BE58">
        <v>4.0762991388900652E-8</v>
      </c>
      <c r="BN58">
        <v>4.2980929202988415E-9</v>
      </c>
      <c r="BO58">
        <v>5.134565828348961E-9</v>
      </c>
      <c r="BP58">
        <v>5.4421895969251522E-9</v>
      </c>
      <c r="BQ58">
        <v>3.8256301035203295E-9</v>
      </c>
      <c r="BU58">
        <v>4.3137810504036148E-9</v>
      </c>
      <c r="BV58">
        <v>5.1450245817521421E-9</v>
      </c>
      <c r="BW58">
        <v>3.1389902061810097E-9</v>
      </c>
      <c r="BX58">
        <v>4.0057025534185885E-9</v>
      </c>
      <c r="BY58">
        <v>3.2685878026986957E-9</v>
      </c>
      <c r="CI58">
        <v>1.9689740102511622E-9</v>
      </c>
      <c r="CK58">
        <v>1.6795393780283297E-9</v>
      </c>
      <c r="CU58">
        <v>4.8924229506448618E-9</v>
      </c>
      <c r="CV58">
        <v>4.5998052195601925E-9</v>
      </c>
      <c r="DY58">
        <v>6.8229043683589133E-9</v>
      </c>
      <c r="IU58">
        <v>6.2756788665879578E-9</v>
      </c>
      <c r="IW58">
        <v>4.0107733175914996E-9</v>
      </c>
      <c r="IX58">
        <v>4.6512691853600947E-9</v>
      </c>
      <c r="IY58">
        <v>7.1961334120425022E-9</v>
      </c>
      <c r="JJ58">
        <v>4.6074380165289249E-10</v>
      </c>
      <c r="JK58">
        <v>1.2752361275088548E-9</v>
      </c>
      <c r="JL58">
        <v>1.7674144037780401E-9</v>
      </c>
    </row>
    <row r="59" spans="24:272" x14ac:dyDescent="0.35">
      <c r="Z59">
        <v>1.4337586730535601E-9</v>
      </c>
      <c r="AA59">
        <v>1.6124669377253169E-9</v>
      </c>
      <c r="AN59">
        <v>2.5957716489879294E-8</v>
      </c>
      <c r="AO59">
        <v>2.5523905587851665E-8</v>
      </c>
      <c r="AP59">
        <v>3.6610638923633108E-8</v>
      </c>
      <c r="BE59">
        <v>4.1247277144308849E-8</v>
      </c>
      <c r="BN59">
        <v>4.4561110423686527E-9</v>
      </c>
      <c r="BO59">
        <v>5.2350608067012711E-9</v>
      </c>
      <c r="BP59">
        <v>5.5113083150679183E-9</v>
      </c>
      <c r="BQ59">
        <v>3.9163484210827108E-9</v>
      </c>
      <c r="BU59">
        <v>4.246253881691767E-9</v>
      </c>
      <c r="BV59">
        <v>5.1116020437028438E-9</v>
      </c>
      <c r="BW59">
        <v>3.1333061010705849E-9</v>
      </c>
      <c r="BX59">
        <v>3.9775093920708816E-9</v>
      </c>
      <c r="BY59">
        <v>3.2226602334064635E-9</v>
      </c>
      <c r="CI59">
        <v>2.0264971539686615E-9</v>
      </c>
      <c r="CK59">
        <v>1.7381993427679138E-9</v>
      </c>
      <c r="CU59">
        <v>4.8956060495066999E-9</v>
      </c>
      <c r="CV59">
        <v>4.6743806786089662E-9</v>
      </c>
      <c r="DY59">
        <v>6.9480519480519479E-9</v>
      </c>
      <c r="IU59">
        <v>6.5665584415584407E-9</v>
      </c>
      <c r="IW59">
        <v>4.1611570247933877E-9</v>
      </c>
      <c r="IX59">
        <v>4.7929456906729632E-9</v>
      </c>
      <c r="IY59">
        <v>7.4430342384887836E-9</v>
      </c>
      <c r="JJ59">
        <v>1.5842680047225498E-9</v>
      </c>
      <c r="JK59">
        <v>1.4973435655253837E-9</v>
      </c>
      <c r="JL59">
        <v>1.485832349468713E-9</v>
      </c>
    </row>
    <row r="60" spans="24:272" x14ac:dyDescent="0.35">
      <c r="Z60">
        <v>1.4926460019975613E-9</v>
      </c>
      <c r="AA60">
        <v>1.9310041881135243E-9</v>
      </c>
      <c r="AN60">
        <v>2.6660726609936635E-8</v>
      </c>
      <c r="AO60">
        <v>2.5896328154686706E-8</v>
      </c>
      <c r="AP60">
        <v>3.7180640984106507E-8</v>
      </c>
      <c r="BE60">
        <v>4.1764303345153091E-8</v>
      </c>
      <c r="BN60">
        <v>4.5772961633229096E-9</v>
      </c>
      <c r="BO60">
        <v>5.3680688662852127E-9</v>
      </c>
      <c r="BP60">
        <v>5.645907924082778E-9</v>
      </c>
      <c r="BQ60">
        <v>3.9622759903749434E-9</v>
      </c>
      <c r="BU60">
        <v>4.3251492606244644E-9</v>
      </c>
      <c r="BV60">
        <v>5.5174471485871773E-9</v>
      </c>
      <c r="BW60">
        <v>3.2037890044398533E-9</v>
      </c>
      <c r="BX60">
        <v>3.91180113699437E-9</v>
      </c>
      <c r="BY60">
        <v>3.200151177169181E-9</v>
      </c>
      <c r="CI60">
        <v>2.2818271555289452E-9</v>
      </c>
      <c r="CK60">
        <v>1.7995876779605024E-9</v>
      </c>
      <c r="CU60">
        <v>4.9108394512026389E-9</v>
      </c>
      <c r="CV60">
        <v>4.6550547212335214E-9</v>
      </c>
      <c r="DY60">
        <v>7.0923848878394327E-9</v>
      </c>
      <c r="IU60">
        <v>6.8990554899645809E-9</v>
      </c>
      <c r="IW60">
        <v>4.3082939787485239E-9</v>
      </c>
      <c r="IX60">
        <v>4.959858323494687E-9</v>
      </c>
      <c r="IY60">
        <v>7.6990850059031883E-9</v>
      </c>
      <c r="JJ60">
        <v>1.4541027154663518E-9</v>
      </c>
      <c r="JK60">
        <v>1.7074970484061392E-9</v>
      </c>
      <c r="JL60">
        <v>1.3707201889020071E-9</v>
      </c>
    </row>
    <row r="61" spans="24:272" x14ac:dyDescent="0.35">
      <c r="Z61">
        <v>1.5685856462728368E-9</v>
      </c>
      <c r="AA61">
        <v>2.3184327924400807E-9</v>
      </c>
      <c r="AN61">
        <v>2.8223400786894633E-8</v>
      </c>
      <c r="AO61">
        <v>2.6028654121657393E-8</v>
      </c>
      <c r="AP61">
        <v>3.7583985082742247E-8</v>
      </c>
      <c r="BE61">
        <v>4.2151504585275229E-8</v>
      </c>
      <c r="BN61">
        <v>4.5970768491071878E-9</v>
      </c>
      <c r="BO61">
        <v>5.4706101224772762E-9</v>
      </c>
      <c r="BP61">
        <v>5.6761473632702382E-9</v>
      </c>
      <c r="BQ61">
        <v>3.8899741733703393E-9</v>
      </c>
      <c r="BU61">
        <v>4.2671713884981308E-9</v>
      </c>
      <c r="BV61">
        <v>5.3821654469590661E-9</v>
      </c>
      <c r="BW61">
        <v>3.177869485136316E-9</v>
      </c>
      <c r="BX61">
        <v>3.8883826239394202E-9</v>
      </c>
      <c r="BY61">
        <v>3.1967407141029262E-9</v>
      </c>
      <c r="CI61">
        <v>2.4230203264718975E-9</v>
      </c>
      <c r="CK61">
        <v>2.0521893090677817E-9</v>
      </c>
      <c r="CU61">
        <v>4.8292157018169385E-9</v>
      </c>
      <c r="CV61">
        <v>4.6996181052992521E-9</v>
      </c>
      <c r="DY61">
        <v>7.1943624557260919E-9</v>
      </c>
      <c r="IU61">
        <v>7.2681523022432111E-9</v>
      </c>
      <c r="IW61">
        <v>4.4557260920897287E-9</v>
      </c>
      <c r="IX61">
        <v>5.1883116883116881E-9</v>
      </c>
      <c r="IY61">
        <v>7.8291027154663516E-9</v>
      </c>
      <c r="JJ61">
        <v>1.0323199527744982E-9</v>
      </c>
      <c r="JK61">
        <v>1.9102715466351826E-9</v>
      </c>
      <c r="JL61">
        <v>1.3704250295159386E-9</v>
      </c>
    </row>
    <row r="62" spans="24:272" x14ac:dyDescent="0.35">
      <c r="Z62">
        <v>1.6427063769127765E-9</v>
      </c>
      <c r="AA62">
        <v>2.7815736768374964E-9</v>
      </c>
      <c r="AN62">
        <v>3.0257173595404641E-8</v>
      </c>
      <c r="AO62">
        <v>2.6285348308444178E-8</v>
      </c>
      <c r="AP62">
        <v>3.7929806037660501E-8</v>
      </c>
      <c r="BE62">
        <v>4.2620556938987485E-8</v>
      </c>
      <c r="BN62">
        <v>4.7485014092489057E-9</v>
      </c>
      <c r="BO62">
        <v>5.5044873889354078E-9</v>
      </c>
      <c r="BP62">
        <v>5.7941493853626578E-9</v>
      </c>
      <c r="BQ62">
        <v>3.9070264887016128E-9</v>
      </c>
      <c r="BU62">
        <v>4.3540245145854226E-9</v>
      </c>
      <c r="BV62">
        <v>5.1925437004752937E-9</v>
      </c>
      <c r="BW62">
        <v>3.1367165641368401E-9</v>
      </c>
      <c r="BX62">
        <v>3.7940264791063683E-9</v>
      </c>
      <c r="BY62">
        <v>3.2278896101080544E-9</v>
      </c>
      <c r="CI62">
        <v>2.6274207462427751E-9</v>
      </c>
      <c r="CK62">
        <v>2.1042557118792733E-9</v>
      </c>
      <c r="CU62">
        <v>4.715988328017276E-9</v>
      </c>
      <c r="CV62">
        <v>4.6591472769130272E-9</v>
      </c>
      <c r="DY62">
        <v>7.3494687131050761E-9</v>
      </c>
      <c r="IU62">
        <v>7.619539551357732E-9</v>
      </c>
      <c r="IW62">
        <v>4.6459563164108614E-9</v>
      </c>
      <c r="IX62">
        <v>5.3003246753246742E-9</v>
      </c>
      <c r="IY62">
        <v>8.0445690672963393E-9</v>
      </c>
      <c r="JJ62">
        <v>1.0368949232585597E-9</v>
      </c>
      <c r="JK62">
        <v>1.9120425029515938E-9</v>
      </c>
      <c r="JL62">
        <v>1.4391971664698936E-9</v>
      </c>
    </row>
    <row r="63" spans="24:272" x14ac:dyDescent="0.35">
      <c r="Z63">
        <v>1.6906802240447624E-9</v>
      </c>
      <c r="AN63">
        <v>3.2383483635112363E-8</v>
      </c>
      <c r="AO63">
        <v>2.6290122956736934E-8</v>
      </c>
      <c r="AP63">
        <v>3.8327920759594648E-8</v>
      </c>
      <c r="BE63">
        <v>4.3172597227311945E-8</v>
      </c>
      <c r="BN63">
        <v>4.8412660046510394E-9</v>
      </c>
      <c r="BO63">
        <v>5.7195739263138841E-9</v>
      </c>
      <c r="BP63">
        <v>5.9389803835762824E-9</v>
      </c>
      <c r="BQ63">
        <v>3.8708755801993116E-9</v>
      </c>
      <c r="BU63">
        <v>4.399497355468821E-9</v>
      </c>
      <c r="BV63">
        <v>5.0770426846314608E-9</v>
      </c>
      <c r="BW63">
        <v>3.1467205891311878E-9</v>
      </c>
      <c r="BX63">
        <v>3.7649238609409929E-9</v>
      </c>
      <c r="BY63">
        <v>3.2381209993068188E-9</v>
      </c>
      <c r="CI63">
        <v>2.8397789131682467E-9</v>
      </c>
      <c r="CK63">
        <v>2.2600001919049137E-9</v>
      </c>
      <c r="CU63">
        <v>4.7480466808400723E-9</v>
      </c>
      <c r="CV63">
        <v>4.7469098598179867E-9</v>
      </c>
      <c r="DY63">
        <v>7.4366883116883124E-9</v>
      </c>
      <c r="IU63">
        <v>8.0289256198347105E-9</v>
      </c>
      <c r="IW63">
        <v>4.8062278630460453E-9</v>
      </c>
      <c r="IX63">
        <v>5.4583825265643448E-9</v>
      </c>
      <c r="IY63">
        <v>8.4152892561983488E-9</v>
      </c>
      <c r="JJ63">
        <v>1.6307556080283351E-9</v>
      </c>
      <c r="JK63">
        <v>1.7480814639905549E-9</v>
      </c>
      <c r="JL63">
        <v>1.9656139315230224E-9</v>
      </c>
    </row>
    <row r="64" spans="24:272" x14ac:dyDescent="0.35">
      <c r="Z64">
        <v>1.7557063865080227E-9</v>
      </c>
      <c r="AN64">
        <v>3.4091898267101648E-8</v>
      </c>
      <c r="AO64">
        <v>2.6489293999806226E-8</v>
      </c>
      <c r="AP64">
        <v>3.8673969078717312E-8</v>
      </c>
      <c r="BE64">
        <v>4.3596858832754054E-8</v>
      </c>
      <c r="BN64">
        <v>4.9542660142462857E-9</v>
      </c>
      <c r="BO64">
        <v>5.8066544166055922E-9</v>
      </c>
      <c r="BP64">
        <v>6.0055980954704618E-9</v>
      </c>
      <c r="BQ64">
        <v>3.910436951767868E-9</v>
      </c>
      <c r="BU64">
        <v>4.3453846748175769E-9</v>
      </c>
      <c r="BV64">
        <v>5.0747690425872912E-9</v>
      </c>
      <c r="BW64">
        <v>3.1721853800258908E-9</v>
      </c>
      <c r="BX64">
        <v>3.6530606723678311E-9</v>
      </c>
      <c r="BY64">
        <v>3.3158795572174315E-9</v>
      </c>
      <c r="CI64">
        <v>3.0544107221378883E-9</v>
      </c>
      <c r="CK64">
        <v>2.4407547344164228E-9</v>
      </c>
      <c r="CU64">
        <v>4.9149320068821447E-9</v>
      </c>
      <c r="CV64">
        <v>4.7143967785863569E-9</v>
      </c>
      <c r="DY64">
        <v>7.6199822904368366E-9</v>
      </c>
      <c r="IU64">
        <v>8.4600059031877204E-9</v>
      </c>
      <c r="IW64">
        <v>4.9248819362455711E-9</v>
      </c>
      <c r="IX64">
        <v>5.5897284533648163E-9</v>
      </c>
      <c r="IY64">
        <v>8.6846221959858315E-9</v>
      </c>
      <c r="JJ64">
        <v>1.2061688311688312E-9</v>
      </c>
      <c r="JK64">
        <v>1.6834415584415583E-9</v>
      </c>
      <c r="JL64">
        <v>2.1598288075560802E-9</v>
      </c>
    </row>
    <row r="65" spans="26:272" x14ac:dyDescent="0.35">
      <c r="Z65">
        <v>1.8180041785182783E-9</v>
      </c>
      <c r="AN65">
        <v>3.5728465810495169E-8</v>
      </c>
      <c r="AO65">
        <v>2.6650267856533457E-8</v>
      </c>
      <c r="AP65">
        <v>3.9037979169988923E-8</v>
      </c>
      <c r="BE65">
        <v>4.4161858880730277E-8</v>
      </c>
      <c r="BN65">
        <v>5.0267951954553053E-9</v>
      </c>
      <c r="BO65">
        <v>5.8787288694057793E-9</v>
      </c>
      <c r="BP65">
        <v>6.0324270715916667E-9</v>
      </c>
      <c r="BQ65">
        <v>3.9352196500493205E-9</v>
      </c>
      <c r="BU65">
        <v>4.3758514782094542E-9</v>
      </c>
      <c r="BV65">
        <v>5.1666241811717573E-9</v>
      </c>
      <c r="BW65">
        <v>3.1255757181204073E-9</v>
      </c>
      <c r="BX65">
        <v>3.6305516161305498E-9</v>
      </c>
      <c r="BY65">
        <v>3.2906421305271443E-9</v>
      </c>
      <c r="CI65">
        <v>3.3906823804706219E-9</v>
      </c>
      <c r="CK65">
        <v>2.5946803008067278E-9</v>
      </c>
      <c r="CU65">
        <v>4.9172056489263151E-9</v>
      </c>
      <c r="CV65">
        <v>4.7480466808400723E-9</v>
      </c>
      <c r="DY65">
        <v>7.7771546635182997E-9</v>
      </c>
      <c r="IU65">
        <v>8.9197166469893732E-9</v>
      </c>
      <c r="IW65">
        <v>5.0960743801652895E-9</v>
      </c>
      <c r="IX65">
        <v>5.5827922077922087E-9</v>
      </c>
      <c r="IY65">
        <v>9.0392561983471059E-9</v>
      </c>
      <c r="JK65">
        <v>1.867621015348288E-9</v>
      </c>
      <c r="JL65">
        <v>1.9576446280991737E-9</v>
      </c>
    </row>
    <row r="66" spans="26:272" x14ac:dyDescent="0.35">
      <c r="Z66">
        <v>1.8900786313184656E-9</v>
      </c>
      <c r="AN66">
        <v>3.691257858709887E-8</v>
      </c>
      <c r="AO66">
        <v>2.6773044526918631E-8</v>
      </c>
      <c r="AP66">
        <v>3.9433365521470071E-8</v>
      </c>
      <c r="BE66">
        <v>4.4488808606681923E-8</v>
      </c>
      <c r="BN66">
        <v>5.1388857482328838E-9</v>
      </c>
      <c r="BO66">
        <v>5.9678556375372415E-9</v>
      </c>
      <c r="BP66">
        <v>6.1804411686671286E-9</v>
      </c>
      <c r="BQ66">
        <v>3.8394993199897666E-9</v>
      </c>
      <c r="BU66">
        <v>4.3447025822043255E-9</v>
      </c>
      <c r="BV66">
        <v>5.2577972271429703E-9</v>
      </c>
      <c r="BW66">
        <v>3.1819620408158214E-9</v>
      </c>
      <c r="BX66">
        <v>3.5411974837946717E-9</v>
      </c>
      <c r="BY66">
        <v>3.2522175799806727E-9</v>
      </c>
      <c r="CI66">
        <v>3.7449158109522976E-9</v>
      </c>
      <c r="CK66">
        <v>2.7868030535390869E-9</v>
      </c>
      <c r="CU66">
        <v>4.7816965830937868E-9</v>
      </c>
      <c r="CV66">
        <v>4.7330406433485504E-9</v>
      </c>
      <c r="DY66">
        <v>7.9216351829988188E-9</v>
      </c>
      <c r="IU66">
        <v>9.5239079102715469E-9</v>
      </c>
      <c r="IW66">
        <v>5.2287485242030699E-9</v>
      </c>
      <c r="IX66">
        <v>5.8707201889020075E-9</v>
      </c>
      <c r="IY66">
        <v>9.3992030696576144E-9</v>
      </c>
      <c r="JK66">
        <v>1.6487603305785122E-9</v>
      </c>
      <c r="JL66">
        <v>1.561245572609209E-9</v>
      </c>
    </row>
    <row r="67" spans="26:272" x14ac:dyDescent="0.35">
      <c r="Z67">
        <v>1.8987184710863113E-9</v>
      </c>
      <c r="AN67">
        <v>3.803803139896298E-8</v>
      </c>
      <c r="AO67">
        <v>2.6871720591635607E-8</v>
      </c>
      <c r="AP67">
        <v>3.9867858516110943E-8</v>
      </c>
      <c r="BE67">
        <v>4.5081547087597021E-8</v>
      </c>
      <c r="BN67">
        <v>5.2618897828224769E-9</v>
      </c>
      <c r="BO67">
        <v>6.0460689238566867E-9</v>
      </c>
      <c r="BP67">
        <v>6.1743023351478712E-9</v>
      </c>
      <c r="BQ67">
        <v>3.8078956955758037E-9</v>
      </c>
      <c r="BU67">
        <v>4.4888514878046995E-9</v>
      </c>
      <c r="BV67">
        <v>6.6263023735288544E-9</v>
      </c>
      <c r="BW67">
        <v>3.1235294402806544E-9</v>
      </c>
      <c r="BX67">
        <v>3.4668493889503138E-9</v>
      </c>
      <c r="BY67">
        <v>3.3306582305045354E-9</v>
      </c>
      <c r="CI67">
        <v>4.2328393936311649E-9</v>
      </c>
      <c r="CK67">
        <v>2.9898392880834623E-9</v>
      </c>
      <c r="CU67">
        <v>4.8198937694358422E-9</v>
      </c>
      <c r="CV67">
        <v>4.7116684081333531E-9</v>
      </c>
      <c r="DY67">
        <v>8.1109799291617471E-9</v>
      </c>
      <c r="IU67">
        <v>1.0289994096812279E-8</v>
      </c>
      <c r="IW67">
        <v>5.3755903187721366E-9</v>
      </c>
      <c r="IX67">
        <v>6.0968122786304594E-9</v>
      </c>
      <c r="IY67">
        <v>9.6881641086186544E-9</v>
      </c>
      <c r="JK67">
        <v>1.4210448642266824E-9</v>
      </c>
      <c r="JL67">
        <v>1.4636953955135773E-9</v>
      </c>
    </row>
    <row r="68" spans="26:272" x14ac:dyDescent="0.35">
      <c r="Z68">
        <v>1.9755675721792551E-9</v>
      </c>
      <c r="AN68">
        <v>3.8911337308128658E-8</v>
      </c>
      <c r="AO68">
        <v>2.7212084805647847E-8</v>
      </c>
      <c r="AP68">
        <v>4.0187077859112407E-8</v>
      </c>
      <c r="BE68">
        <v>4.5666327821357527E-8</v>
      </c>
      <c r="BN68">
        <v>5.3337368714182468E-9</v>
      </c>
      <c r="BO68">
        <v>6.1297389510821396E-9</v>
      </c>
      <c r="BP68">
        <v>6.3018536538258034E-9</v>
      </c>
      <c r="BQ68">
        <v>3.842909783056021E-9</v>
      </c>
      <c r="BU68">
        <v>4.3635738111709361E-9</v>
      </c>
      <c r="BV68">
        <v>6.1306484078998081E-9</v>
      </c>
      <c r="BW68">
        <v>3.1555877931034499E-9</v>
      </c>
      <c r="BX68">
        <v>3.356350385603656E-9</v>
      </c>
      <c r="BY68">
        <v>3.3072397174495849E-9</v>
      </c>
      <c r="CK68">
        <v>3.2438051044172432E-9</v>
      </c>
      <c r="CU68">
        <v>4.8967428705287855E-9</v>
      </c>
      <c r="CV68">
        <v>4.9385778841415124E-9</v>
      </c>
      <c r="DY68">
        <v>8.3286599763872498E-9</v>
      </c>
      <c r="IU68">
        <v>1.1075413223140496E-8</v>
      </c>
      <c r="IW68">
        <v>5.6021251475796924E-9</v>
      </c>
      <c r="IX68">
        <v>6.2836481700118058E-9</v>
      </c>
      <c r="IY68">
        <v>1.0284090909090909E-8</v>
      </c>
      <c r="JK68">
        <v>1.643595041322314E-9</v>
      </c>
      <c r="JL68">
        <v>1.4051062573789846E-9</v>
      </c>
    </row>
    <row r="69" spans="26:272" x14ac:dyDescent="0.35">
      <c r="Z69">
        <v>2.0255876971509934E-9</v>
      </c>
      <c r="AN69">
        <v>3.9669369565654913E-8</v>
      </c>
      <c r="AO69">
        <v>2.7796865539408353E-8</v>
      </c>
      <c r="AP69">
        <v>4.0520166418583302E-8</v>
      </c>
      <c r="BE69">
        <v>4.6053074333070831E-8</v>
      </c>
      <c r="BN69">
        <v>5.3623847611747879E-9</v>
      </c>
      <c r="BO69">
        <v>6.2550166277159031E-9</v>
      </c>
      <c r="BP69">
        <v>6.3984834407030266E-9</v>
      </c>
      <c r="BQ69">
        <v>3.8479117955531953E-9</v>
      </c>
      <c r="BU69">
        <v>4.424962146363524E-9</v>
      </c>
      <c r="BV69">
        <v>5.7573163842471052E-9</v>
      </c>
      <c r="BW69">
        <v>3.0596400988394797E-9</v>
      </c>
      <c r="BX69">
        <v>3.2563101356601784E-9</v>
      </c>
      <c r="BY69">
        <v>3.3217910265322726E-9</v>
      </c>
      <c r="CK69">
        <v>3.5057286679056193E-9</v>
      </c>
      <c r="CU69">
        <v>5.180948126050027E-9</v>
      </c>
      <c r="CV69">
        <v>5.1152398709735162E-9</v>
      </c>
      <c r="DY69">
        <v>8.5677390791027151E-9</v>
      </c>
      <c r="IW69">
        <v>5.8906434474616285E-9</v>
      </c>
      <c r="IX69">
        <v>6.3930047225501764E-9</v>
      </c>
      <c r="IY69">
        <v>1.0640495867768595E-8</v>
      </c>
      <c r="JK69">
        <v>1.9301948051948049E-9</v>
      </c>
      <c r="JL69">
        <v>1.3367768595041322E-9</v>
      </c>
    </row>
    <row r="70" spans="26:272" x14ac:dyDescent="0.35">
      <c r="Z70">
        <v>2.217028357270102E-9</v>
      </c>
      <c r="AN70">
        <v>4.0517892776539131E-8</v>
      </c>
      <c r="AO70">
        <v>2.9018266045536439E-8</v>
      </c>
      <c r="AP70">
        <v>4.0805508495126621E-8</v>
      </c>
      <c r="BE70">
        <v>4.6812016047414755E-8</v>
      </c>
      <c r="BN70">
        <v>5.4849340673555476E-9</v>
      </c>
      <c r="BO70">
        <v>6.3800669401452495E-9</v>
      </c>
      <c r="BP70">
        <v>6.5112560860938549E-9</v>
      </c>
      <c r="BQ70">
        <v>3.8163081711392332E-9</v>
      </c>
      <c r="BU70">
        <v>4.5281854951688397E-9</v>
      </c>
      <c r="BV70">
        <v>5.5140366855209221E-9</v>
      </c>
      <c r="BW70">
        <v>3.0891974454136885E-9</v>
      </c>
      <c r="BX70">
        <v>3.3108775447202568E-9</v>
      </c>
      <c r="BY70">
        <v>3.4186481776139116E-9</v>
      </c>
      <c r="CK70">
        <v>3.8194912700010713E-9</v>
      </c>
      <c r="CU70">
        <v>5.1313827294871229E-9</v>
      </c>
      <c r="CV70">
        <v>5.0718133079298702E-9</v>
      </c>
      <c r="DY70">
        <v>8.7626918536009445E-9</v>
      </c>
      <c r="IW70">
        <v>6.2135478158205415E-9</v>
      </c>
      <c r="IX70">
        <v>6.6149645808736713E-9</v>
      </c>
      <c r="IY70">
        <v>1.1140053128689494E-8</v>
      </c>
    </row>
    <row r="71" spans="26:272" x14ac:dyDescent="0.35">
      <c r="Z71">
        <v>2.46826580315088E-9</v>
      </c>
      <c r="AN71">
        <v>4.1106538701774728E-8</v>
      </c>
      <c r="AO71">
        <v>3.1058859780178958E-8</v>
      </c>
      <c r="AP71">
        <v>4.1230679557386405E-8</v>
      </c>
      <c r="BN71">
        <v>5.5754250207135101E-9</v>
      </c>
      <c r="BO71">
        <v>6.4359985344318306E-9</v>
      </c>
      <c r="BP71">
        <v>6.485791295199151E-9</v>
      </c>
      <c r="BQ71">
        <v>3.9108916801767023E-9</v>
      </c>
      <c r="BU71">
        <v>4.4849862963296101E-9</v>
      </c>
      <c r="BV71">
        <v>5.452420986123917E-9</v>
      </c>
      <c r="BW71">
        <v>3.0528191727069693E-9</v>
      </c>
      <c r="BX71">
        <v>3.5114127730160454E-9</v>
      </c>
      <c r="BY71">
        <v>3.3627165833273318E-9</v>
      </c>
      <c r="CK71">
        <v>4.3587991628781789E-9</v>
      </c>
      <c r="CU71">
        <v>4.91675092051748E-9</v>
      </c>
      <c r="CV71">
        <v>4.9240265750588247E-9</v>
      </c>
      <c r="DY71">
        <v>9.0693624557260922E-9</v>
      </c>
      <c r="IW71">
        <v>6.3940377804014167E-9</v>
      </c>
      <c r="IX71">
        <v>6.8745572609208965E-9</v>
      </c>
      <c r="IY71">
        <v>1.1520661157024793E-8</v>
      </c>
    </row>
    <row r="72" spans="26:272" x14ac:dyDescent="0.35">
      <c r="Z72">
        <v>2.9102618165375147E-9</v>
      </c>
      <c r="AN72">
        <v>4.1799544796837726E-8</v>
      </c>
      <c r="AO72">
        <v>3.3472330810065342E-8</v>
      </c>
      <c r="AP72">
        <v>4.1617880797508543E-8</v>
      </c>
      <c r="BN72">
        <v>5.6399964547679361E-9</v>
      </c>
      <c r="BO72">
        <v>6.6217550894405136E-9</v>
      </c>
      <c r="BP72">
        <v>6.644946238291047E-9</v>
      </c>
      <c r="BQ72">
        <v>3.76969850923375E-9</v>
      </c>
      <c r="BU72">
        <v>4.4963545065504589E-9</v>
      </c>
      <c r="BV72">
        <v>5.4155879850083644E-9</v>
      </c>
      <c r="BW72">
        <v>2.9682396886638483E-9</v>
      </c>
      <c r="BY72">
        <v>3.4870848031434267E-9</v>
      </c>
      <c r="CU72">
        <v>4.9956462994501775E-9</v>
      </c>
      <c r="CV72">
        <v>4.8564994063469777E-9</v>
      </c>
      <c r="DY72">
        <v>9.4148465171192465E-9</v>
      </c>
      <c r="IW72">
        <v>6.6056670602125144E-9</v>
      </c>
      <c r="IX72">
        <v>7.2818772136953962E-9</v>
      </c>
      <c r="IY72">
        <v>1.1984208972845335E-8</v>
      </c>
    </row>
    <row r="73" spans="26:272" x14ac:dyDescent="0.35">
      <c r="Z73">
        <v>3.1749137504788947E-9</v>
      </c>
      <c r="AN73">
        <v>4.246253881691767E-8</v>
      </c>
      <c r="AO73">
        <v>3.5755749515025204E-8</v>
      </c>
      <c r="AP73">
        <v>4.1993713827409831E-8</v>
      </c>
      <c r="BN73">
        <v>5.7245759388110584E-9</v>
      </c>
      <c r="BO73">
        <v>6.7108818575719766E-9</v>
      </c>
      <c r="BP73">
        <v>6.7340730064225084E-9</v>
      </c>
      <c r="BU73">
        <v>4.4522458508935632E-9</v>
      </c>
      <c r="BV73">
        <v>5.3141835498383857E-9</v>
      </c>
      <c r="BW73">
        <v>2.9138996438081866E-9</v>
      </c>
      <c r="BY73">
        <v>3.4738976792872406E-9</v>
      </c>
      <c r="CU73">
        <v>4.9904169227485869E-9</v>
      </c>
      <c r="CV73">
        <v>5.0215658187537147E-9</v>
      </c>
      <c r="DY73">
        <v>9.7113341204250306E-9</v>
      </c>
      <c r="IW73">
        <v>6.7046930342384888E-9</v>
      </c>
      <c r="IX73">
        <v>7.7231404958677688E-9</v>
      </c>
      <c r="IY73">
        <v>1.2664994096812279E-8</v>
      </c>
    </row>
    <row r="74" spans="26:272" x14ac:dyDescent="0.35">
      <c r="Z74">
        <v>3.3997769486473015E-9</v>
      </c>
      <c r="AN74">
        <v>4.3055277297832775E-8</v>
      </c>
      <c r="AO74">
        <v>3.7747687309922484E-8</v>
      </c>
      <c r="AP74">
        <v>4.244116658170248E-8</v>
      </c>
      <c r="BN74">
        <v>5.8396222262460554E-9</v>
      </c>
      <c r="BO74">
        <v>6.8016001751343546E-9</v>
      </c>
      <c r="BP74">
        <v>6.8436625529514986E-9</v>
      </c>
      <c r="BU74">
        <v>4.7696462802596867E-9</v>
      </c>
      <c r="BV74">
        <v>5.3084994447279601E-9</v>
      </c>
      <c r="BW74">
        <v>2.7019962052915488E-9</v>
      </c>
      <c r="BY74">
        <v>3.4193302702271622E-9</v>
      </c>
      <c r="CU74">
        <v>5.0915939937141476E-9</v>
      </c>
      <c r="CV74">
        <v>5.030887751134811E-9</v>
      </c>
      <c r="IW74">
        <v>6.9675324675324676E-9</v>
      </c>
      <c r="IX74">
        <v>8.0311393152302238E-9</v>
      </c>
      <c r="IY74">
        <v>1.3314639905548999E-8</v>
      </c>
    </row>
    <row r="75" spans="26:272" x14ac:dyDescent="0.35">
      <c r="AN75">
        <v>4.3704402101443294E-8</v>
      </c>
      <c r="AO75">
        <v>3.957183032196002E-8</v>
      </c>
      <c r="AP75">
        <v>4.2773573048560124E-8</v>
      </c>
      <c r="BN75">
        <v>5.9467107665264605E-9</v>
      </c>
      <c r="BO75">
        <v>6.8959563199674074E-9</v>
      </c>
      <c r="BP75">
        <v>6.8845881097465586E-9</v>
      </c>
      <c r="BU75">
        <v>4.7544128785637484E-9</v>
      </c>
      <c r="BV75">
        <v>5.3391936123242545E-9</v>
      </c>
      <c r="BW75">
        <v>2.5678513246855229E-9</v>
      </c>
      <c r="BY75">
        <v>3.4757165929225771E-9</v>
      </c>
      <c r="CU75">
        <v>5.0943223641671523E-9</v>
      </c>
      <c r="CV75">
        <v>4.9449440818651885E-9</v>
      </c>
      <c r="IW75">
        <v>7.1239669421487598E-9</v>
      </c>
      <c r="IX75">
        <v>8.2644628099173553E-9</v>
      </c>
      <c r="IY75">
        <v>1.3973288075560805E-8</v>
      </c>
    </row>
    <row r="76" spans="26:272" x14ac:dyDescent="0.35">
      <c r="AN76">
        <v>4.421324319092852E-8</v>
      </c>
      <c r="AO76">
        <v>4.1022186581936021E-8</v>
      </c>
      <c r="BN76">
        <v>6.004233910243959E-9</v>
      </c>
      <c r="BO76">
        <v>7.0430609602252016E-9</v>
      </c>
      <c r="BP76">
        <v>6.9293788580167056E-9</v>
      </c>
      <c r="BU76">
        <v>4.8594551410043978E-9</v>
      </c>
      <c r="BV76">
        <v>5.5506423224320584E-9</v>
      </c>
      <c r="BW76">
        <v>2.4307507094220755E-9</v>
      </c>
      <c r="BY76">
        <v>3.3727206083216794E-9</v>
      </c>
      <c r="CU76">
        <v>5.1131935931337629E-9</v>
      </c>
      <c r="CV76">
        <v>4.9253907602853266E-9</v>
      </c>
      <c r="IW76">
        <v>7.4098288075560797E-9</v>
      </c>
      <c r="IX76">
        <v>8.7610684769775669E-9</v>
      </c>
      <c r="IY76">
        <v>1.491720779220779E-8</v>
      </c>
    </row>
    <row r="77" spans="26:272" x14ac:dyDescent="0.35">
      <c r="AN77">
        <v>4.4866460550218541E-8</v>
      </c>
      <c r="AO77">
        <v>4.2364772209018366E-8</v>
      </c>
      <c r="BN77">
        <v>6.0565276772598678E-9</v>
      </c>
      <c r="BO77">
        <v>7.1449201238040145E-9</v>
      </c>
      <c r="BP77">
        <v>7.0758014056612485E-9</v>
      </c>
      <c r="BU77">
        <v>4.820803226253509E-9</v>
      </c>
      <c r="BV77">
        <v>5.3883042804783252E-9</v>
      </c>
      <c r="BW77">
        <v>2.3686802816162366E-9</v>
      </c>
      <c r="BY77">
        <v>3.3724932441172627E-9</v>
      </c>
      <c r="CU77">
        <v>5.1977730771768843E-9</v>
      </c>
      <c r="CV77">
        <v>4.9758656136658992E-9</v>
      </c>
      <c r="IW77">
        <v>7.6782762691853597E-9</v>
      </c>
      <c r="IX77">
        <v>9.224616292798109E-9</v>
      </c>
      <c r="IY77">
        <v>1.59840613931523E-8</v>
      </c>
    </row>
    <row r="78" spans="26:272" x14ac:dyDescent="0.35">
      <c r="AN78">
        <v>4.5598573288441264E-8</v>
      </c>
      <c r="AO78">
        <v>4.3414058012402799E-8</v>
      </c>
      <c r="BN78">
        <v>6.2029502249044123E-9</v>
      </c>
      <c r="BO78">
        <v>7.2645136953273549E-9</v>
      </c>
      <c r="BP78">
        <v>7.0180508977393336E-9</v>
      </c>
      <c r="BU78">
        <v>4.7500929586798247E-9</v>
      </c>
      <c r="BV78">
        <v>5.3878495520694909E-9</v>
      </c>
      <c r="BY78">
        <v>3.2995093344994068E-9</v>
      </c>
      <c r="CU78">
        <v>5.1573022487906601E-9</v>
      </c>
      <c r="CV78">
        <v>4.9899621943397527E-9</v>
      </c>
      <c r="IW78">
        <v>7.9806670602125151E-9</v>
      </c>
      <c r="IX78">
        <v>9.8015053128689502E-9</v>
      </c>
      <c r="IY78">
        <v>1.7243654073199526E-8</v>
      </c>
    </row>
    <row r="79" spans="26:272" x14ac:dyDescent="0.35">
      <c r="AN79">
        <v>4.654190737256737E-8</v>
      </c>
      <c r="AO79">
        <v>4.4386039986285435E-8</v>
      </c>
      <c r="BN79">
        <v>6.3064009379141443E-9</v>
      </c>
      <c r="BO79">
        <v>7.3372702407407924E-9</v>
      </c>
      <c r="BP79">
        <v>7.1624271675441232E-9</v>
      </c>
      <c r="BU79">
        <v>4.6402760479464166E-9</v>
      </c>
      <c r="BV79">
        <v>5.3546543782246098E-9</v>
      </c>
      <c r="BY79">
        <v>3.3054208038142483E-9</v>
      </c>
      <c r="CU79">
        <v>5.187086959569286E-9</v>
      </c>
      <c r="CV79">
        <v>4.9681352307157211E-9</v>
      </c>
      <c r="IW79">
        <v>8.2991440377804008E-9</v>
      </c>
      <c r="IX79">
        <v>1.0507083825265644E-8</v>
      </c>
    </row>
    <row r="80" spans="26:272" x14ac:dyDescent="0.35">
      <c r="AO80">
        <v>4.5282764408506064E-8</v>
      </c>
      <c r="BN80">
        <v>6.3693808225376513E-9</v>
      </c>
      <c r="BO80">
        <v>7.5289382650643173E-9</v>
      </c>
      <c r="BP80">
        <v>7.2440509169298244E-9</v>
      </c>
      <c r="BU80">
        <v>5.2778052771316657E-9</v>
      </c>
      <c r="BV80">
        <v>5.2989501481424466E-9</v>
      </c>
      <c r="BY80">
        <v>3.21083729477678E-9</v>
      </c>
      <c r="CU80">
        <v>5.2000467192210547E-9</v>
      </c>
      <c r="CV80">
        <v>5.0970507346201561E-9</v>
      </c>
      <c r="IW80">
        <v>8.689935064935064E-9</v>
      </c>
      <c r="IX80">
        <v>1.1165289256198345E-8</v>
      </c>
    </row>
    <row r="81" spans="41:258" x14ac:dyDescent="0.35">
      <c r="AO81">
        <v>4.6315907353376874E-8</v>
      </c>
      <c r="BN81">
        <v>6.4550971276028583E-9</v>
      </c>
      <c r="BO81">
        <v>7.6721777138470229E-9</v>
      </c>
      <c r="BP81">
        <v>7.3602340253869079E-9</v>
      </c>
      <c r="BU81">
        <v>4.9933726574060079E-9</v>
      </c>
      <c r="BV81">
        <v>5.2764410919051638E-9</v>
      </c>
      <c r="BY81">
        <v>3.1901471521748333E-9</v>
      </c>
      <c r="CU81">
        <v>0</v>
      </c>
      <c r="CV81">
        <v>5.0215658187537147E-9</v>
      </c>
      <c r="IW81">
        <v>9.1093565525383702E-9</v>
      </c>
      <c r="IX81">
        <v>1.1903187721369539E-8</v>
      </c>
    </row>
    <row r="82" spans="41:258" x14ac:dyDescent="0.35">
      <c r="BN82">
        <v>6.5817389894631229E-9</v>
      </c>
      <c r="BO82">
        <v>7.7190147399569223E-9</v>
      </c>
      <c r="BP82">
        <v>7.4216223605794959E-9</v>
      </c>
      <c r="BU82">
        <v>4.8148917569386679E-9</v>
      </c>
      <c r="BV82">
        <v>5.3723887861691356E-9</v>
      </c>
      <c r="BY82">
        <v>3.0212155482930072E-9</v>
      </c>
      <c r="IW82">
        <v>9.4768299881936245E-9</v>
      </c>
      <c r="IX82">
        <v>1.265879574970484E-8</v>
      </c>
    </row>
    <row r="83" spans="41:258" x14ac:dyDescent="0.35">
      <c r="BN83">
        <v>6.7197490615442379E-9</v>
      </c>
      <c r="BO83">
        <v>7.8797612324797382E-9</v>
      </c>
      <c r="BP83">
        <v>7.4500428861316199E-9</v>
      </c>
      <c r="BU83">
        <v>4.8469501097614634E-9</v>
      </c>
      <c r="BV83">
        <v>6.3441433958473645E-9</v>
      </c>
      <c r="BY83">
        <v>2.9152638290346881E-9</v>
      </c>
      <c r="IW83">
        <v>9.9180932703659963E-9</v>
      </c>
      <c r="IX83">
        <v>1.3598288075560803E-8</v>
      </c>
    </row>
    <row r="84" spans="41:258" x14ac:dyDescent="0.35">
      <c r="BN84">
        <v>6.8684452512329519E-9</v>
      </c>
      <c r="BO84">
        <v>8.2742381271432221E-9</v>
      </c>
      <c r="BP84">
        <v>7.6292058792122112E-9</v>
      </c>
      <c r="BU84">
        <v>4.8705959870208311E-9</v>
      </c>
      <c r="BV84">
        <v>6.8684452512329519E-9</v>
      </c>
      <c r="BY84">
        <v>2.8268191535164777E-9</v>
      </c>
      <c r="IW84">
        <v>1.0394628099173553E-8</v>
      </c>
    </row>
    <row r="85" spans="41:258" x14ac:dyDescent="0.35">
      <c r="BN85">
        <v>7.1562883340248641E-9</v>
      </c>
      <c r="BO85">
        <v>8.7878538649212079E-9</v>
      </c>
      <c r="BP85">
        <v>7.609425193427933E-9</v>
      </c>
      <c r="BU85">
        <v>4.9290285875559989E-9</v>
      </c>
      <c r="BV85">
        <v>5.9407992972116194E-9</v>
      </c>
      <c r="BY85">
        <v>2.7363282001585143E-9</v>
      </c>
      <c r="IW85">
        <v>1.0871162927981111E-8</v>
      </c>
    </row>
    <row r="86" spans="41:258" x14ac:dyDescent="0.35">
      <c r="BN86">
        <v>7.4691414793026484E-9</v>
      </c>
      <c r="BO86">
        <v>9.6311476991038369E-9</v>
      </c>
      <c r="BP86">
        <v>7.7021897888300651E-9</v>
      </c>
      <c r="BU86">
        <v>4.945398810274022E-9</v>
      </c>
      <c r="BV86">
        <v>5.5492781372055565E-9</v>
      </c>
      <c r="BY86">
        <v>2.7879398745611726E-9</v>
      </c>
      <c r="IW86">
        <v>1.1424586776859502E-8</v>
      </c>
    </row>
    <row r="87" spans="41:258" x14ac:dyDescent="0.35">
      <c r="BN87">
        <v>7.777219976287673E-9</v>
      </c>
      <c r="BO87">
        <v>1.0494676947479577E-8</v>
      </c>
      <c r="BP87">
        <v>7.8174634404694809E-9</v>
      </c>
      <c r="BU87">
        <v>4.981549718776324E-9</v>
      </c>
      <c r="BY87">
        <v>2.872519358604294E-9</v>
      </c>
      <c r="IW87">
        <v>1.2052833530106259E-8</v>
      </c>
    </row>
    <row r="88" spans="41:258" x14ac:dyDescent="0.35">
      <c r="BN88">
        <v>8.1525982777801301E-9</v>
      </c>
      <c r="BO88">
        <v>1.155396677585835E-8</v>
      </c>
      <c r="BP88">
        <v>7.8954493625845115E-9</v>
      </c>
      <c r="BU88">
        <v>5.6006624474037968E-9</v>
      </c>
      <c r="BY88">
        <v>2.7824831336551645E-9</v>
      </c>
    </row>
    <row r="89" spans="41:258" x14ac:dyDescent="0.35">
      <c r="BN89">
        <v>8.4900067571349489E-9</v>
      </c>
      <c r="BP89">
        <v>7.9857129517380568E-9</v>
      </c>
      <c r="BU89">
        <v>5.4740205855435314E-9</v>
      </c>
      <c r="BY89">
        <v>2.750879509241202E-9</v>
      </c>
    </row>
    <row r="90" spans="41:258" x14ac:dyDescent="0.35">
      <c r="BN90">
        <v>8.9094937142842999E-9</v>
      </c>
      <c r="BP90">
        <v>7.964795444931693E-9</v>
      </c>
      <c r="BU90">
        <v>4.8801452836063445E-9</v>
      </c>
    </row>
    <row r="91" spans="41:258" x14ac:dyDescent="0.35">
      <c r="BN91">
        <v>9.2191637607002461E-9</v>
      </c>
      <c r="BP91">
        <v>8.0559684909029069E-9</v>
      </c>
    </row>
    <row r="92" spans="41:258" x14ac:dyDescent="0.35">
      <c r="BN92">
        <v>9.6932181269096771E-9</v>
      </c>
      <c r="BP92">
        <v>8.1780630686748331E-9</v>
      </c>
    </row>
    <row r="93" spans="41:258" x14ac:dyDescent="0.35">
      <c r="BN93">
        <v>1.0149765449379E-8</v>
      </c>
      <c r="BP93">
        <v>8.3010671032644262E-9</v>
      </c>
    </row>
    <row r="94" spans="41:258" x14ac:dyDescent="0.35">
      <c r="BN94">
        <v>1.0550153813357324E-8</v>
      </c>
      <c r="BP94">
        <v>8.2551395339721952E-9</v>
      </c>
    </row>
    <row r="95" spans="41:258" x14ac:dyDescent="0.35">
      <c r="BN95">
        <v>1.087869508873988E-8</v>
      </c>
      <c r="BP95">
        <v>8.362455438457015E-9</v>
      </c>
    </row>
    <row r="96" spans="41:258" x14ac:dyDescent="0.35">
      <c r="BN96">
        <v>1.1362526115739242E-8</v>
      </c>
      <c r="BP96">
        <v>8.4177049401303431E-9</v>
      </c>
    </row>
    <row r="97" spans="66:68" x14ac:dyDescent="0.35">
      <c r="BN97">
        <v>1.1581705208797222E-8</v>
      </c>
      <c r="BP97">
        <v>8.5000107821292974E-9</v>
      </c>
    </row>
    <row r="98" spans="66:68" x14ac:dyDescent="0.35">
      <c r="BN98">
        <v>1.1827258549567578E-8</v>
      </c>
      <c r="BP98">
        <v>8.5739041485648181E-9</v>
      </c>
    </row>
    <row r="99" spans="66:68" x14ac:dyDescent="0.35">
      <c r="BN99">
        <v>1.233814591689256E-8</v>
      </c>
      <c r="BP99">
        <v>8.6721254848729612E-9</v>
      </c>
    </row>
    <row r="100" spans="66:68" x14ac:dyDescent="0.35">
      <c r="BN100">
        <v>1.2784234485958701E-8</v>
      </c>
      <c r="BP100">
        <v>8.7073669365575939E-9</v>
      </c>
    </row>
    <row r="101" spans="66:68" x14ac:dyDescent="0.35">
      <c r="BN101">
        <v>1.3421536350939535E-8</v>
      </c>
      <c r="BP101">
        <v>8.7669363581148457E-9</v>
      </c>
    </row>
    <row r="102" spans="66:68" x14ac:dyDescent="0.35">
      <c r="BP102">
        <v>8.9345037767701687E-9</v>
      </c>
    </row>
    <row r="103" spans="66:68" x14ac:dyDescent="0.35">
      <c r="BP103">
        <v>8.9786124324270643E-9</v>
      </c>
    </row>
    <row r="104" spans="66:68" x14ac:dyDescent="0.35">
      <c r="BP104">
        <v>9.0872925221383901E-9</v>
      </c>
    </row>
    <row r="105" spans="66:68" x14ac:dyDescent="0.35">
      <c r="BP105">
        <v>9.1818760311758575E-9</v>
      </c>
    </row>
    <row r="106" spans="66:68" x14ac:dyDescent="0.35">
      <c r="BP106">
        <v>9.203930359004307E-9</v>
      </c>
    </row>
    <row r="107" spans="66:68" x14ac:dyDescent="0.35">
      <c r="BP107">
        <v>9.2905561208871817E-9</v>
      </c>
    </row>
    <row r="108" spans="66:68" x14ac:dyDescent="0.35">
      <c r="BP108">
        <v>9.5140551338290841E-9</v>
      </c>
    </row>
    <row r="109" spans="66:68" x14ac:dyDescent="0.35">
      <c r="BP109">
        <v>9.4865440650946303E-9</v>
      </c>
    </row>
    <row r="110" spans="66:68" x14ac:dyDescent="0.35">
      <c r="BP110">
        <v>9.5565722400550632E-9</v>
      </c>
    </row>
    <row r="111" spans="66:68" x14ac:dyDescent="0.35">
      <c r="BP111">
        <v>9.7068599791746963E-9</v>
      </c>
    </row>
    <row r="112" spans="66:68" x14ac:dyDescent="0.35">
      <c r="BP112">
        <v>9.8264535506980342E-9</v>
      </c>
    </row>
    <row r="113" spans="68:68" x14ac:dyDescent="0.35">
      <c r="BP113">
        <v>9.9299042637077678E-9</v>
      </c>
    </row>
    <row r="114" spans="68:68" x14ac:dyDescent="0.35">
      <c r="BP114">
        <v>1.0004252358552123E-8</v>
      </c>
    </row>
    <row r="115" spans="68:68" x14ac:dyDescent="0.35">
      <c r="BP115">
        <v>1.012930267098147E-8</v>
      </c>
    </row>
    <row r="116" spans="68:68" x14ac:dyDescent="0.35">
      <c r="BP116">
        <v>1.0186598450494552E-8</v>
      </c>
    </row>
    <row r="117" spans="68:68" x14ac:dyDescent="0.35">
      <c r="BP117">
        <v>1.0288684978277783E-8</v>
      </c>
    </row>
    <row r="118" spans="68:68" x14ac:dyDescent="0.35">
      <c r="BP118">
        <v>1.0473077348059965E-8</v>
      </c>
    </row>
    <row r="119" spans="68:68" x14ac:dyDescent="0.35">
      <c r="BP119">
        <v>1.0524689022462621E-8</v>
      </c>
    </row>
    <row r="120" spans="68:68" x14ac:dyDescent="0.35">
      <c r="BP120">
        <v>1.0623592451384013E-8</v>
      </c>
    </row>
    <row r="121" spans="68:68" x14ac:dyDescent="0.35">
      <c r="BP121">
        <v>1.0784338943906828E-8</v>
      </c>
    </row>
    <row r="122" spans="68:68" x14ac:dyDescent="0.35">
      <c r="BP122">
        <v>1.0817079389342875E-8</v>
      </c>
    </row>
    <row r="123" spans="68:68" x14ac:dyDescent="0.35">
      <c r="BP123">
        <v>1.0974188054595019E-8</v>
      </c>
    </row>
    <row r="124" spans="68:68" x14ac:dyDescent="0.35">
      <c r="BP124">
        <v>1.1066952649997151E-8</v>
      </c>
    </row>
    <row r="125" spans="68:68" x14ac:dyDescent="0.35">
      <c r="BP125">
        <v>1.1138117645979669E-8</v>
      </c>
    </row>
    <row r="126" spans="68:68" x14ac:dyDescent="0.35">
      <c r="BP126">
        <v>1.123861262433198E-8</v>
      </c>
    </row>
    <row r="127" spans="68:68" x14ac:dyDescent="0.35">
      <c r="BP127">
        <v>1.147075147704173E-8</v>
      </c>
    </row>
    <row r="128" spans="68:68" x14ac:dyDescent="0.35">
      <c r="BP128">
        <v>1.1528729349168064E-8</v>
      </c>
    </row>
    <row r="129" spans="68:68" x14ac:dyDescent="0.35">
      <c r="BP129">
        <v>1.1655143846823912E-8</v>
      </c>
    </row>
    <row r="130" spans="68:68" x14ac:dyDescent="0.35">
      <c r="BP130">
        <v>1.164081990194564E-8</v>
      </c>
    </row>
    <row r="131" spans="68:68" x14ac:dyDescent="0.35">
      <c r="BP131">
        <v>1.1844765593307685E-8</v>
      </c>
    </row>
    <row r="132" spans="68:68" x14ac:dyDescent="0.35">
      <c r="BP132">
        <v>1.2082361186923442E-8</v>
      </c>
    </row>
    <row r="133" spans="68:68" x14ac:dyDescent="0.35">
      <c r="BP133">
        <v>1.2131926583486347E-8</v>
      </c>
    </row>
    <row r="134" spans="68:68" x14ac:dyDescent="0.35">
      <c r="BP134">
        <v>1.2130789762464261E-8</v>
      </c>
    </row>
    <row r="135" spans="68:68" x14ac:dyDescent="0.35">
      <c r="BP135">
        <v>1.2130562398259846E-8</v>
      </c>
    </row>
    <row r="136" spans="68:68" x14ac:dyDescent="0.35">
      <c r="BP136">
        <v>1.2252202247622938E-8</v>
      </c>
    </row>
    <row r="137" spans="68:68" x14ac:dyDescent="0.35">
      <c r="BP137">
        <v>1.2291763619191493E-8</v>
      </c>
    </row>
    <row r="138" spans="68:68" x14ac:dyDescent="0.35">
      <c r="BP138">
        <v>1.2319956780539201E-8</v>
      </c>
    </row>
    <row r="139" spans="68:68" x14ac:dyDescent="0.35">
      <c r="BP139">
        <v>1.2267890377727711E-8</v>
      </c>
    </row>
    <row r="140" spans="68:68" x14ac:dyDescent="0.35">
      <c r="BP140">
        <v>1.2346785756660404E-8</v>
      </c>
    </row>
    <row r="141" spans="68:68" x14ac:dyDescent="0.35">
      <c r="BP141">
        <v>1.246456041454841E-8</v>
      </c>
    </row>
    <row r="142" spans="68:68" x14ac:dyDescent="0.35">
      <c r="BP142">
        <v>1.2434548339565366E-8</v>
      </c>
    </row>
    <row r="143" spans="68:68" x14ac:dyDescent="0.35">
      <c r="BP143">
        <v>1.2533906496895593E-8</v>
      </c>
    </row>
    <row r="144" spans="68:68" x14ac:dyDescent="0.35">
      <c r="BP144">
        <v>1.2488206291807776E-8</v>
      </c>
    </row>
    <row r="145" spans="68:68" x14ac:dyDescent="0.35">
      <c r="BP145">
        <v>1.2588019177546834E-8</v>
      </c>
    </row>
    <row r="146" spans="68:68" x14ac:dyDescent="0.35">
      <c r="BP146">
        <v>1.2704657014412754E-8</v>
      </c>
    </row>
    <row r="147" spans="68:68" x14ac:dyDescent="0.35">
      <c r="BP147">
        <v>1.27962847887928E-8</v>
      </c>
    </row>
    <row r="148" spans="68:68" x14ac:dyDescent="0.35">
      <c r="BP148">
        <v>1.2807425634809233E-8</v>
      </c>
    </row>
    <row r="149" spans="68:68" x14ac:dyDescent="0.35">
      <c r="BP149">
        <v>1.2938614780757841E-8</v>
      </c>
    </row>
    <row r="150" spans="68:68" x14ac:dyDescent="0.35">
      <c r="BP150">
        <v>1.2979312973348481E-8</v>
      </c>
    </row>
    <row r="151" spans="68:68" x14ac:dyDescent="0.35">
      <c r="BP151">
        <v>1.3110502119297087E-8</v>
      </c>
    </row>
    <row r="152" spans="68:68" x14ac:dyDescent="0.35">
      <c r="BP152">
        <v>1.3075260667612453E-8</v>
      </c>
    </row>
    <row r="153" spans="68:68" x14ac:dyDescent="0.35">
      <c r="BP153">
        <v>1.3203948807312471E-8</v>
      </c>
    </row>
    <row r="154" spans="68:68" x14ac:dyDescent="0.35">
      <c r="BP154">
        <v>1.3215771745942155E-8</v>
      </c>
    </row>
    <row r="155" spans="68:68" x14ac:dyDescent="0.35">
      <c r="BP155">
        <v>1.3413805967989357E-8</v>
      </c>
    </row>
    <row r="156" spans="68:68" x14ac:dyDescent="0.35">
      <c r="BP156">
        <v>1.3471329111706853E-8</v>
      </c>
    </row>
    <row r="157" spans="68:68" x14ac:dyDescent="0.35">
      <c r="BP157">
        <v>1.3481560500905622E-8</v>
      </c>
    </row>
    <row r="158" spans="68:68" x14ac:dyDescent="0.35">
      <c r="BP158">
        <v>1.348701724181163E-8</v>
      </c>
    </row>
    <row r="159" spans="68:68" x14ac:dyDescent="0.35">
      <c r="BP159">
        <v>1.3480878408292368E-8</v>
      </c>
    </row>
    <row r="160" spans="68:68" x14ac:dyDescent="0.35">
      <c r="BP160">
        <v>1.3557954873589728E-8</v>
      </c>
    </row>
    <row r="161" spans="68:68" x14ac:dyDescent="0.35">
      <c r="BP161">
        <v>1.3775087688807959E-8</v>
      </c>
    </row>
    <row r="162" spans="68:68" x14ac:dyDescent="0.35">
      <c r="BP162">
        <v>1.3800097751293826E-8</v>
      </c>
    </row>
    <row r="163" spans="68:68" x14ac:dyDescent="0.35">
      <c r="BP163">
        <v>1.3833520289343125E-8</v>
      </c>
    </row>
    <row r="164" spans="68:68" x14ac:dyDescent="0.35">
      <c r="BP164">
        <v>1.3759399558703183E-8</v>
      </c>
    </row>
    <row r="165" spans="68:68" x14ac:dyDescent="0.35">
      <c r="BP165">
        <v>1.3762582657565022E-8</v>
      </c>
    </row>
    <row r="166" spans="68:68" x14ac:dyDescent="0.35">
      <c r="BP166">
        <v>1.3739164144510072E-8</v>
      </c>
    </row>
    <row r="167" spans="68:68" x14ac:dyDescent="0.35">
      <c r="BP167">
        <v>1.3877401580795604E-8</v>
      </c>
    </row>
    <row r="168" spans="68:68" x14ac:dyDescent="0.35">
      <c r="BP168">
        <v>1.4184343256758545E-8</v>
      </c>
    </row>
    <row r="169" spans="68:68" x14ac:dyDescent="0.35">
      <c r="BP169">
        <v>1.4530618940085626E-8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S13"/>
  <sheetViews>
    <sheetView workbookViewId="0">
      <selection activeCell="N15" sqref="N15"/>
    </sheetView>
  </sheetViews>
  <sheetFormatPr defaultRowHeight="14.5" x14ac:dyDescent="0.35"/>
  <cols>
    <col min="69" max="70" width="8.6328125" style="42"/>
    <col min="84" max="84" width="8.453125" customWidth="1"/>
    <col min="85" max="85" width="8.54296875" customWidth="1"/>
  </cols>
  <sheetData>
    <row r="1" spans="1:201" x14ac:dyDescent="0.35">
      <c r="A1" t="s">
        <v>515</v>
      </c>
    </row>
    <row r="2" spans="1:201" s="1" customFormat="1" x14ac:dyDescent="0.35"/>
    <row r="3" spans="1:201" s="1" customFormat="1" ht="87" x14ac:dyDescent="0.35">
      <c r="A3" s="1" t="str">
        <f>'Formulation Name Data'!A160&amp;"_T1"</f>
        <v>D502W_CL_C8G3_DGBE_0.2_0.19_0.5_T1</v>
      </c>
      <c r="B3" s="1" t="str">
        <f>'Formulation Name Data'!A160&amp;"_T2"</f>
        <v>D502W_CL_C8G3_DGBE_0.2_0.19_0.5_T2</v>
      </c>
      <c r="C3" s="1" t="str">
        <f>'Formulation Name Data'!A160&amp;"_T3"</f>
        <v>D502W_CL_C8G3_DGBE_0.2_0.19_0.5_T3</v>
      </c>
      <c r="D3" s="1" t="str">
        <f>'Formulation Name Data'!A56&amp;"_T1"</f>
        <v>G215_0.5_T1</v>
      </c>
      <c r="E3" s="1" t="str">
        <f>'Formulation Name Data'!A56&amp;"_T2"</f>
        <v>G215_0.5_T2</v>
      </c>
      <c r="F3" s="1" t="str">
        <f>'Formulation Name Data'!A56&amp;"_T3"</f>
        <v>G215_0.5_T3</v>
      </c>
      <c r="G3" s="1" t="str">
        <f>'Formulation Name Data'!A33&amp;"_T1"</f>
        <v>D502W_G215_DGBE_0.075_0.05_0.5_T1</v>
      </c>
      <c r="H3" s="1" t="str">
        <f>'Formulation Name Data'!A33&amp;"_T2"</f>
        <v>D502W_G215_DGBE_0.075_0.05_0.5_T2</v>
      </c>
      <c r="I3" s="1" t="str">
        <f>'Formulation Name Data'!A33&amp;"_T3"</f>
        <v>D502W_G215_DGBE_0.075_0.05_0.5_T3</v>
      </c>
      <c r="J3" s="1" t="str">
        <f>'Formulation Name Data'!A98&amp;"_T1"</f>
        <v>ComSor1830503_T1</v>
      </c>
      <c r="K3" s="1" t="str">
        <f>'Formulation Name Data'!A98&amp;"_T2"</f>
        <v>ComSor1830503_T2</v>
      </c>
      <c r="L3" s="1" t="str">
        <f>'Formulation Name Data'!A99&amp;"_T1"</f>
        <v>ComSor_26990-95B_T1</v>
      </c>
      <c r="M3" s="1" t="str">
        <f>'Formulation Name Data'!A100&amp;"_T1"</f>
        <v>ComSor_26990-95C_T1</v>
      </c>
      <c r="N3" s="1" t="str">
        <f>'Formulation Name Data'!A100&amp;"_T2"</f>
        <v>ComSor_26990-95C_T2</v>
      </c>
      <c r="O3" s="1" t="str">
        <f>'Formulation Name Data'!A101&amp;"_T1"</f>
        <v>ComSor_26990-95D_T1</v>
      </c>
      <c r="P3" s="1" t="str">
        <f>'Formulation Name Data'!A101&amp;"_T2"</f>
        <v>ComSor_26990-95D_T2</v>
      </c>
      <c r="Q3" s="1" t="str">
        <f>'Formulation Name Data'!A102&amp;"_T1"</f>
        <v>D502W_C8SG2_DGBE_0.2_0.19_0.5_T1</v>
      </c>
      <c r="R3" s="1" t="str">
        <f>'Formulation Name Data'!A102&amp;"_T2"</f>
        <v>D502W_C8SG2_DGBE_0.2_0.19_0.5_T2</v>
      </c>
      <c r="S3" s="1" t="str">
        <f>'Formulation Name Data'!A102&amp;"_T3"</f>
        <v>D502W_C8SG2_DGBE_0.2_0.19_0.5_T3</v>
      </c>
      <c r="T3" s="1" t="str">
        <f>'Formulation Name Data'!A103&amp;"_T1"</f>
        <v>D502W_Cymal_DGBE_0.2_0.19_0.5_T1</v>
      </c>
      <c r="U3" s="1" t="str">
        <f>'Formulation Name Data'!A103&amp;"_T2"</f>
        <v>D502W_Cymal_DGBE_0.2_0.19_0.5_T2</v>
      </c>
      <c r="V3" s="1" t="str">
        <f>'Formulation Name Data'!A103&amp;"_T3"</f>
        <v>D502W_Cymal_DGBE_0.2_0.19_0.5_T3</v>
      </c>
      <c r="W3" s="1" t="str">
        <f>'Formulation Name Data'!A104&amp;"_T1"</f>
        <v>D502W_iC8G2_DGBE_0.2_0.19_0.5_T1</v>
      </c>
      <c r="X3" s="1" t="str">
        <f>'Formulation Name Data'!A104&amp;"_T2"</f>
        <v>D502W_iC8G2_DGBE_0.2_0.19_0.5_T2</v>
      </c>
      <c r="Y3" s="1" t="str">
        <f>'Formulation Name Data'!A104&amp;"_T3"</f>
        <v>D502W_iC8G2_DGBE_0.2_0.19_0.5_T3</v>
      </c>
      <c r="Z3" s="1" t="str">
        <f>'Formulation Name Data'!A105&amp;"_T1"</f>
        <v>D502W_C6G2_DGBE_0.2_0.19_0.5_T1</v>
      </c>
      <c r="AA3" s="1" t="str">
        <f>'Formulation Name Data'!A105&amp;"_T2"</f>
        <v>D502W_C6G2_DGBE_0.2_0.19_0.5_T2</v>
      </c>
      <c r="AB3" s="1" t="str">
        <f>'Formulation Name Data'!A105&amp;"_T3"</f>
        <v>D502W_C6G2_DGBE_0.2_0.19_0.5_T3</v>
      </c>
      <c r="AC3" s="1" t="str">
        <f>'Formulation Name Data'!A106&amp;"_T1"</f>
        <v>D502W_C9G2_DGBE_0.2_0.19_0.5_T1</v>
      </c>
      <c r="AD3" s="1" t="str">
        <f>'Formulation Name Data'!A106&amp;"_T2"</f>
        <v>D502W_C9G2_DGBE_0.2_0.19_0.5_T2</v>
      </c>
      <c r="AE3" s="1" t="str">
        <f>'Formulation Name Data'!A106&amp;"_T3"</f>
        <v>D502W_C9G2_DGBE_0.2_0.19_0.5_T3</v>
      </c>
      <c r="AF3" s="1" t="str">
        <f>'Formulation Name Data'!A107&amp;"_T1"</f>
        <v>D502W_C6G1_DGBE_0.2_0.19_0.5_T1</v>
      </c>
      <c r="AG3" s="1" t="str">
        <f>'Formulation Name Data'!A107&amp;"_T2"</f>
        <v>D502W_C6G1_DGBE_0.2_0.19_0.5_T2</v>
      </c>
      <c r="AH3" s="1" t="str">
        <f>'Formulation Name Data'!A107&amp;"_T3"</f>
        <v>D502W_C6G1_DGBE_0.2_0.19_0.5_T3</v>
      </c>
      <c r="AI3" s="1" t="str">
        <f>'Formulation Name Data'!A108&amp;"_T1"</f>
        <v>D502W_C7G1_DGBE_0.2_0.19_0.5_T1</v>
      </c>
      <c r="AJ3" s="1" t="str">
        <f>'Formulation Name Data'!A108&amp;"_T2"</f>
        <v>D502W_C7G1_DGBE_0.2_0.19_0.5_T2</v>
      </c>
      <c r="AK3" s="1" t="str">
        <f>'Formulation Name Data'!A108&amp;"_T3"</f>
        <v>D502W_C7G1_DGBE_0.2_0.19_0.5_T3</v>
      </c>
      <c r="AL3" s="1" t="str">
        <f>'Formulation Name Data'!A44&amp;"_T1"</f>
        <v>Cap_0.5_T1</v>
      </c>
      <c r="AM3" s="1" t="str">
        <f>'Formulation Name Data'!A44&amp;"_T2"</f>
        <v>Cap_0.5_T2</v>
      </c>
      <c r="AN3" s="1" t="str">
        <f>'Formulation Name Data'!A44&amp;"_T3"</f>
        <v>Cap_0.5_T3</v>
      </c>
      <c r="AO3" s="1" t="str">
        <f>'Formulation Name Data'!A41&amp;"_T1"</f>
        <v>G225_0.5_T1</v>
      </c>
      <c r="AP3" s="1" t="str">
        <f>'Formulation Name Data'!A41&amp;"_T2"</f>
        <v>G225_0.5_T2</v>
      </c>
      <c r="AQ3" s="1" t="str">
        <f>'Formulation Name Data'!A41&amp;"_T3"</f>
        <v>G225_0.5_T3</v>
      </c>
      <c r="AR3" s="1" t="str">
        <f>'Formulation Name Data'!A38&amp;"_T1"</f>
        <v>D502W_G225_0.2_0.3_T1</v>
      </c>
      <c r="AS3" s="1" t="str">
        <f>'Formulation Name Data'!A38&amp;"_T2"</f>
        <v>D502W_G225_0.2_0.3_T2</v>
      </c>
      <c r="AT3" s="1" t="str">
        <f>'Formulation Name Data'!A38&amp;"_T3"</f>
        <v>D502W_G225_0.2_0.3_T3</v>
      </c>
      <c r="AU3" s="1" t="str">
        <f>'Formulation Name Data'!A37&amp;"_T5"</f>
        <v>D502W_G225_DGBE_0.2_0.3_0.5_T5</v>
      </c>
      <c r="AV3" s="1" t="str">
        <f>'Formulation Name Data'!A37&amp;"_T6"</f>
        <v>D502W_G225_DGBE_0.2_0.3_0.5_T6</v>
      </c>
      <c r="AW3" s="1" t="str">
        <f>'Formulation Name Data'!A37&amp;"_T7"</f>
        <v>D502W_G225_DGBE_0.2_0.3_0.5_T7</v>
      </c>
      <c r="AX3" s="1" t="str">
        <f>'Formulation Name Data'!A109&amp;"_T1"</f>
        <v>G225_DGBE_0.3_0.5_T1</v>
      </c>
      <c r="AY3" s="1" t="str">
        <f>'Formulation Name Data'!A109&amp;"_T2"</f>
        <v>G225_DGBE_0.3_0.5_T2</v>
      </c>
      <c r="AZ3" s="1" t="str">
        <f>'Formulation Name Data'!A64&amp;"_T1"</f>
        <v>Avio®F3 Green KHC_T1</v>
      </c>
      <c r="BA3" s="1" t="str">
        <f>'Formulation Name Data'!A64&amp;"_T2"</f>
        <v>Avio®F3 Green KHC_T2</v>
      </c>
      <c r="BB3" s="1" t="str">
        <f>'Formulation Name Data'!A64&amp;"_T3"</f>
        <v>Avio®F3 Green KHC_T3</v>
      </c>
      <c r="BC3" s="1" t="str">
        <f>'Formulation Name Data'!A65&amp;"_T1"</f>
        <v>JetFoam 3%_T1</v>
      </c>
      <c r="BD3" s="1" t="str">
        <f>'Formulation Name Data'!A65&amp;"_T2"</f>
        <v>JetFoam 3%_T2</v>
      </c>
      <c r="BE3" s="1" t="str">
        <f>'Formulation Name Data'!A110&amp;"_T1"</f>
        <v>ComSor_EXP-21-CH1035-B_T1</v>
      </c>
      <c r="BF3" s="1" t="str">
        <f>'Formulation Name Data'!A110&amp;"_T2"</f>
        <v>ComSor_EXP-21-CH1035-B_T2</v>
      </c>
      <c r="BG3" s="1" t="str">
        <f>'Formulation Name Data'!A117&amp;"_T1"</f>
        <v>ComSor_EXP-21-CH1035-A_T1</v>
      </c>
      <c r="BH3" s="1" t="str">
        <f>'Formulation Name Data'!A117&amp;"_T2"</f>
        <v>ComSor_EXP-21-CH1035-A_T2</v>
      </c>
      <c r="BI3" s="1" t="str">
        <f>'Formulation Name Data'!A118&amp;"_T1"</f>
        <v>ComSor_EXP-21-CH1035-C_T1</v>
      </c>
      <c r="BJ3" s="1" t="str">
        <f>'Formulation Name Data'!A63&amp;"_T1"</f>
        <v>ComSor_EXP-21-1_T1</v>
      </c>
      <c r="BK3" s="1" t="str">
        <f>'Formulation Name Data'!A63&amp;"_T2"</f>
        <v>ComSor_EXP-21-1_T2</v>
      </c>
      <c r="BL3" s="1" t="str">
        <f>'Formulation Name Data'!A62&amp;"_T1"</f>
        <v>ComSor_EXP-21-2_T1</v>
      </c>
      <c r="BM3" s="1" t="str">
        <f>'Formulation Name Data'!A62&amp;"_T2"</f>
        <v>ComSor_EXP-21-2_T2</v>
      </c>
      <c r="BN3" s="1" t="str">
        <f>'Formulation Name Data'!A68&amp;"_T1"</f>
        <v>ComSor_EXP-21-3_T1</v>
      </c>
      <c r="BO3" s="1" t="str">
        <f>'Formulation Name Data'!A69&amp;"_T1"</f>
        <v>ComSor_EXP-21-5_T1</v>
      </c>
      <c r="BP3" s="1" t="str">
        <f>'Formulation Name Data'!A69&amp;"_T2"</f>
        <v>ComSor_EXP-21-5_T2</v>
      </c>
      <c r="BQ3" s="1" t="str">
        <f>'Formulation Name Data'!A70&amp;"_T1"</f>
        <v>ComSor_EXP-21-6_T1</v>
      </c>
      <c r="BR3" s="1" t="str">
        <f>'Formulation Name Data'!A70&amp;"_T2"</f>
        <v>ComSor_EXP-21-6_T2</v>
      </c>
      <c r="BS3" s="1" t="str">
        <f>'Formulation Name Data'!A71&amp;"_T1"</f>
        <v>ComSor_EXP-21-7_T1</v>
      </c>
      <c r="BT3" s="1" t="str">
        <f>'Formulation Name Data'!A71&amp;"_T2"</f>
        <v>ComSor_EXP-21-7_T2</v>
      </c>
      <c r="BU3" s="1" t="str">
        <f>'Formulation Name Data'!A8&amp;"_T1"</f>
        <v>Cap_G215_DGBE_0.3_0.2_0.5_T1</v>
      </c>
      <c r="BV3" s="1" t="str">
        <f>'Formulation Name Data'!A8&amp;"_T2"</f>
        <v>Cap_G215_DGBE_0.3_0.2_0.5_T2</v>
      </c>
      <c r="BW3" s="1" t="str">
        <f>'Formulation Name Data'!A37&amp;"_T1"</f>
        <v>D502W_G225_DGBE_0.2_0.3_0.5_T1</v>
      </c>
      <c r="BX3" s="1" t="str">
        <f>'Formulation Name Data'!A37&amp;"_T2"</f>
        <v>D502W_G225_DGBE_0.2_0.3_0.5_T2</v>
      </c>
      <c r="BY3" s="1" t="str">
        <f>'Formulation Name Data'!A37&amp;"_T3"</f>
        <v>D502W_G225_DGBE_0.2_0.3_0.5_T3</v>
      </c>
      <c r="BZ3" s="1" t="str">
        <f>'Formulation Name Data'!A37&amp;"_T4"</f>
        <v>D502W_G225_DGBE_0.2_0.3_0.5_T4</v>
      </c>
      <c r="CA3" s="1" t="str">
        <f>'Formulation Name Data'!A54&amp;"_T1"</f>
        <v>D502W_0.5_T1</v>
      </c>
      <c r="CB3" s="1" t="str">
        <f>'Formulation Name Data'!A54&amp;"_T2"</f>
        <v>D502W_0.5_T2</v>
      </c>
      <c r="CC3" s="1" t="str">
        <f>'Formulation Name Data'!A54&amp;"_T3"</f>
        <v>D502W_0.5_T3</v>
      </c>
      <c r="CD3" s="1" t="str">
        <f>'Formulation Name Data'!A55&amp;"_T1"</f>
        <v>D193_0.5_T1</v>
      </c>
      <c r="CE3" s="1" t="str">
        <f>'Formulation Name Data'!A55&amp;"_T2"</f>
        <v>D193_0.5_T2</v>
      </c>
      <c r="CF3" s="1" t="str">
        <f>'Formulation Name Data'!A42&amp;"_T1"</f>
        <v>D501W_0.5_T1</v>
      </c>
      <c r="CG3" s="1" t="str">
        <f>'Formulation Name Data'!A42&amp;"_T2"</f>
        <v>D501W_0.5_T2</v>
      </c>
      <c r="CH3" s="1" t="str">
        <f>'Formulation Name Data'!A42&amp;"_T3"</f>
        <v>D501W_0.5_T3</v>
      </c>
      <c r="CI3" s="1" t="str">
        <f>'Formulation Name Data'!A52&amp;"_T1"</f>
        <v>L77_0.5_T1</v>
      </c>
      <c r="CJ3" s="1" t="str">
        <f>'Formulation Name Data'!A52&amp;"_T2"</f>
        <v>L77_0.5_T2</v>
      </c>
      <c r="CK3" s="1" t="str">
        <f>'Formulation Name Data'!A52&amp;"_T3"</f>
        <v>L77_0.5_T3</v>
      </c>
      <c r="CL3" s="1" t="str">
        <f>'Formulation Name Data'!A43&amp;"_T2"</f>
        <v>D67_0.5_T2</v>
      </c>
      <c r="CM3" s="1" t="str">
        <f>'Formulation Name Data'!A43&amp;"_T3"</f>
        <v>D67_0.5_T3</v>
      </c>
      <c r="CN3" s="1" t="str">
        <f>'Formulation Name Data'!A53&amp;"_T1"</f>
        <v>Gel6185_0.5_T1</v>
      </c>
      <c r="CO3" s="1" t="str">
        <f>'Formulation Name Data'!A53&amp;"_T2"</f>
        <v>Gel6185_0.5_T2</v>
      </c>
      <c r="CP3" s="1" t="str">
        <f>'Formulation Name Data'!A53&amp;"_T3"</f>
        <v>Gel6185_0.5_T3</v>
      </c>
      <c r="CQ3" s="1" t="str">
        <f>'Formulation Name Data'!A32&amp;"_T1"</f>
        <v>D501W_G215_DGBE_0.04_0.027_0.5_T1</v>
      </c>
      <c r="CR3" s="1" t="str">
        <f>'Formulation Name Data'!A32&amp;"_T2"</f>
        <v>D501W_G215_DGBE_0.04_0.027_0.5_T2</v>
      </c>
      <c r="CS3" s="1" t="str">
        <f>'Formulation Name Data'!A35&amp;"_T1"</f>
        <v>L77_G215_DGBE_0.11_0.08_0.5_T1</v>
      </c>
      <c r="CT3" s="1" t="str">
        <f>'Formulation Name Data'!A35&amp;"_T2"</f>
        <v>L77_G215_DGBE_0.11_0.08_0.5_T2</v>
      </c>
      <c r="CU3" s="1" t="str">
        <f>'Formulation Name Data'!A36&amp;"_T1"</f>
        <v>D67_G215_DGBE_0.06_0.04_0.5_T1</v>
      </c>
      <c r="CV3" s="1" t="str">
        <f>'Formulation Name Data'!A36&amp;"_T2"</f>
        <v>D67_G215_DGBE_0.06_0.04_0.5_T2</v>
      </c>
      <c r="CW3" s="1" t="str">
        <f>'Formulation Name Data'!A36&amp;"_T3"</f>
        <v>D67_G215_DGBE_0.06_0.04_0.5_T3</v>
      </c>
      <c r="CX3" s="1" t="str">
        <f>'Formulation Name Data'!A45&amp;"_T1"</f>
        <v>Gel6185_G215_DGBE_0.06_0.04_0.5_T1</v>
      </c>
      <c r="CY3" s="1" t="str">
        <f>'Formulation Name Data'!A45&amp;"_T2"</f>
        <v>Gel6185_G215_DGBE_0.06_0.04_0.5_T2</v>
      </c>
      <c r="CZ3" s="1" t="str">
        <f>'Formulation Name Data'!A45&amp;"_T3"</f>
        <v>Gel6185_G215_DGBE_0.06_0.04_0.5_T3</v>
      </c>
      <c r="DA3" s="12" t="str">
        <f>'Formulation Name Data'!A120&amp;"_T1"</f>
        <v>NRL_N10477-03_G225_DGBE_0.2_0.3_0.5_T1</v>
      </c>
      <c r="DB3" s="12" t="str">
        <f>'Formulation Name Data'!A120&amp;"_T2"</f>
        <v>NRL_N10477-03_G225_DGBE_0.2_0.3_0.5_T2</v>
      </c>
      <c r="DC3" s="12" t="str">
        <f>'Formulation Name Data'!A120&amp;"_T3"</f>
        <v>NRL_N10477-03_G225_DGBE_0.2_0.3_0.5_T3</v>
      </c>
      <c r="DD3" s="12" t="str">
        <f>'Formulation Name Data'!A121&amp;"_T1"</f>
        <v>NRL_N10477-01_G225_DGBE_0.2_0.3_0.5_T1</v>
      </c>
      <c r="DE3" s="12" t="str">
        <f>'Formulation Name Data'!A121&amp;"_T2"</f>
        <v>NRL_N10477-01_G225_DGBE_0.2_0.3_0.5_T2</v>
      </c>
      <c r="DF3" s="12" t="str">
        <f>'Formulation Name Data'!A75&amp;"_T1"</f>
        <v>D193_G215_DGBE_0.3_0.2_0.5_T1</v>
      </c>
      <c r="DG3" s="12" t="str">
        <f>'Formulation Name Data'!A75&amp;"_T2"</f>
        <v>D193_G215_DGBE_0.3_0.2_0.5_T2</v>
      </c>
      <c r="DH3" s="12" t="str">
        <f>'Formulation Name Data'!A92&amp;"_T1"</f>
        <v>NRL_N10477-09_G225_DGBE_0.2_0.3_0.5_T1</v>
      </c>
      <c r="DI3" s="12" t="str">
        <f>'Formulation Name Data'!A92&amp;"_T2"</f>
        <v>NRL_N10477-09_G225_DGBE_0.2_0.3_0.5_T2</v>
      </c>
      <c r="DJ3" s="12" t="str">
        <f>'Formulation Name Data'!A92&amp;"_T3"</f>
        <v>NRL_N10477-09_G225_DGBE_0.2_0.3_0.5_T3</v>
      </c>
      <c r="DK3" s="12" t="str">
        <f>'Formulation Name Data'!A93&amp;"_T1"</f>
        <v>TrX100_G215_DGBE_0.06_0.04_0.5_T1</v>
      </c>
      <c r="DL3" s="12" t="str">
        <f>'Formulation Name Data'!A93&amp;"_T2"</f>
        <v>TrX100_G215_DGBE_0.06_0.04_0.5_T2</v>
      </c>
      <c r="DM3" s="12" t="str">
        <f>'Formulation Name Data'!A93&amp;"_T3"</f>
        <v>TrX100_G215_DGBE_0.06_0.04_0.5_T3</v>
      </c>
      <c r="DN3" s="12" t="str">
        <f>'Formulation Name Data'!A21&amp;"_T1"</f>
        <v>TrX45_G215_DGBE_0.022_0.015_0.5_T1</v>
      </c>
      <c r="DO3" s="12" t="str">
        <f>'Formulation Name Data'!A21&amp;"_T2"</f>
        <v>TrX45_G215_DGBE_0.022_0.015_0.5_T2</v>
      </c>
      <c r="DP3" s="12" t="str">
        <f>'Formulation Name Data'!A21&amp;"_T3"</f>
        <v>TrX45_G215_DGBE_0.022_0.015_0.5_T3</v>
      </c>
      <c r="DQ3" s="12" t="str">
        <f>'Formulation Name Data'!A22&amp;"_T1"</f>
        <v>TrX114_G215_DGBE_0.04_0.027_0.5_T1</v>
      </c>
      <c r="DR3" s="12" t="str">
        <f>'Formulation Name Data'!A22&amp;"_T2"</f>
        <v>TrX114_G215_DGBE_0.04_0.027_0.5_T2</v>
      </c>
      <c r="DS3" s="12" t="str">
        <f>'Formulation Name Data'!A22&amp;"_T3"</f>
        <v>TrX114_G215_DGBE_0.04_0.027_0.5_T3</v>
      </c>
      <c r="DT3" s="12" t="str">
        <f>'Formulation Name Data'!A20&amp;"_T1"</f>
        <v>T15-S-7_G215_DGBE_0.03_0.02_0.5_T1</v>
      </c>
      <c r="DU3" s="12" t="str">
        <f>'Formulation Name Data'!A20&amp;"_T2"</f>
        <v>T15-S-7_G215_DGBE_0.03_0.02_0.5_T2</v>
      </c>
      <c r="DV3" s="12" t="str">
        <f>'Formulation Name Data'!A20&amp;"_T3"</f>
        <v>T15-S-7_G215_DGBE_0.03_0.02_0.5_T3</v>
      </c>
      <c r="DW3" s="12" t="str">
        <f>'Formulation Name Data'!A114&amp;"_T1"</f>
        <v>T15-S-9_G215_DGBE_0.03_0.02_0.5_T1</v>
      </c>
      <c r="DX3" s="12" t="str">
        <f>'Formulation Name Data'!A114&amp;"_T2"</f>
        <v>T15-S-9_G215_DGBE_0.03_0.02_0.5_T2</v>
      </c>
      <c r="DY3" s="12" t="str">
        <f>'Formulation Name Data'!A114&amp;"_T3"</f>
        <v>T15-S-9_G215_DGBE_0.03_0.02_0.5_T3</v>
      </c>
      <c r="DZ3" s="12" t="str">
        <f>'Formulation Name Data'!A115&amp;"_T1"</f>
        <v>T15-S-12_G215_DGBE_0.03_0.02_0.5_T1</v>
      </c>
      <c r="EA3" s="12" t="str">
        <f>'Formulation Name Data'!A115&amp;"_T2"</f>
        <v>T15-S-12_G215_DGBE_0.03_0.02_0.5_T2</v>
      </c>
      <c r="EB3" s="12" t="str">
        <f>'Formulation Name Data'!A115&amp;"_T3"</f>
        <v>T15-S-12_G215_DGBE_0.03_0.02_0.5_T3</v>
      </c>
      <c r="EC3" s="12" t="str">
        <f>'Formulation Name Data'!A95&amp;"_T2"</f>
        <v>SDS_G215_DGBE_0.22_0.15_0.5_T2</v>
      </c>
      <c r="ED3" s="12" t="str">
        <f>'Formulation Name Data'!A95&amp;"_T3"</f>
        <v>SDS_G215_DGBE_0.22_0.15_0.5_T3</v>
      </c>
      <c r="EE3" s="12" t="str">
        <f>'Formulation Name Data'!A28&amp;"_T1"</f>
        <v>Mys_G215_DGBE_0.068_0.045_0.5_T1</v>
      </c>
      <c r="EF3" s="12" t="str">
        <f>'Formulation Name Data'!A28&amp;"_T2"</f>
        <v>Mys_G215_DGBE_0.068_0.045_0.5_T2</v>
      </c>
      <c r="EG3" s="12" t="str">
        <f>'Formulation Name Data'!A28&amp;"_T3"</f>
        <v>Mys_G215_DGBE_0.068_0.045_0.5_T3</v>
      </c>
      <c r="EH3" s="12" t="str">
        <f>'Formulation Name Data'!A94&amp;"_T1"</f>
        <v>Gel6492.6_G215_DGBE_0.06_0.04_0.5_T1</v>
      </c>
      <c r="EI3" s="12" t="str">
        <f>'Formulation Name Data'!A94&amp;"_T2"</f>
        <v>Gel6492.6_G215_DGBE_0.06_0.04_0.5_T2</v>
      </c>
      <c r="EJ3" s="12" t="str">
        <f>'Formulation Name Data'!A94&amp;"_T3"</f>
        <v>Gel6492.6_G215_DGBE_0.06_0.04_0.5_T3</v>
      </c>
      <c r="EK3" s="12" t="str">
        <f>'Formulation Name Data'!A96&amp;"_T1"</f>
        <v>NRL_N10477-12_G225_DGBE_0.2_0.3_0.5_T1</v>
      </c>
      <c r="EL3" s="12" t="str">
        <f>'Formulation Name Data'!A96&amp;"_T2"</f>
        <v>NRL_N10477-12_G225_DGBE_0.2_0.3_0.5_T2</v>
      </c>
      <c r="EM3" s="12" t="str">
        <f>'Formulation Name Data'!A96&amp;"_T3"</f>
        <v>NRL_N10477-12_G225_DGBE_0.2_0.3_0.5_T3</v>
      </c>
      <c r="EN3" s="12" t="str">
        <f>'Formulation Name Data'!A97&amp;"_T1"</f>
        <v>NRL_N10477-07_G225_DGBE_0.2_0.3_0.5_T1</v>
      </c>
      <c r="EO3" s="12" t="str">
        <f>'Formulation Name Data'!A97&amp;"_T2"</f>
        <v>NRL_N10477-07_G225_DGBE_0.2_0.3_0.5_T2</v>
      </c>
      <c r="EP3" s="12" t="str">
        <f>'Formulation Name Data'!A97&amp;"_T3"</f>
        <v>NRL_N10477-07_G225_DGBE_0.2_0.3_0.5_T3</v>
      </c>
      <c r="EQ3" s="12" t="str">
        <f>'Formulation Name Data'!A39&amp;"_T1"</f>
        <v>NRL_N10358-176_G225_DGBE_0.2_0.3_0.5_T1</v>
      </c>
      <c r="ER3" s="12" t="str">
        <f>'Formulation Name Data'!A39&amp;"_T2"</f>
        <v>NRL_N10358-176_G225_DGBE_0.2_0.3_0.5_T2</v>
      </c>
      <c r="ES3" s="12" t="str">
        <f>'Formulation Name Data'!A39&amp;"_T3"</f>
        <v>NRL_N10358-176_G225_DGBE_0.2_0.3_0.5_T3</v>
      </c>
      <c r="ET3" s="12" t="str">
        <f>'Formulation Name Data'!A116&amp;"_T1"</f>
        <v>NRL_N10477-05_G215_DGBE_0.2_0.3_0.5_T1</v>
      </c>
      <c r="EU3" s="12" t="str">
        <f>'Formulation Name Data'!A116&amp;"_T2"</f>
        <v>NRL_N10477-05_G215_DGBE_0.2_0.3_0.5_T2</v>
      </c>
      <c r="EV3" s="12" t="str">
        <f>'Formulation Name Data'!A116&amp;"_T3"</f>
        <v>NRL_N10477-05_G215_DGBE_0.2_0.3_0.5_T3</v>
      </c>
      <c r="EW3" s="12" t="str">
        <f>'Formulation Name Data'!A40&amp;"_T1"</f>
        <v>NRL_N10358-174_G225_DGBE_0.2_0.3_0.5_T1</v>
      </c>
      <c r="EX3" s="12" t="str">
        <f>'Formulation Name Data'!A40&amp;"_T2"</f>
        <v>NRL_N10358-174_G225_DGBE_0.2_0.3_0.5_T2</v>
      </c>
      <c r="EY3" s="12" t="str">
        <f>'Formulation Name Data'!A40&amp;"_T3"</f>
        <v>NRL_N10358-174_G225_DGBE_0.2_0.3_0.5_T3</v>
      </c>
      <c r="EZ3" s="12" t="str">
        <f>'Formulation Name Data'!A46&amp;"_T1"</f>
        <v>ComSor181360_G225_DGBE_0.2_0.3_0.5_T1</v>
      </c>
      <c r="FA3" s="12" t="str">
        <f>'Formulation Name Data'!A48&amp;"_T1"</f>
        <v>D502W_C8G2_DGBE_0.2_0.19_0.5_T1</v>
      </c>
      <c r="FB3" s="12" t="str">
        <f>'Formulation Name Data'!A48&amp;"_T2"</f>
        <v>D502W_C8G2_DGBE_0.2_0.19_0.5_T2</v>
      </c>
      <c r="FC3" s="12" t="str">
        <f>'Formulation Name Data'!A48&amp;"_T3"</f>
        <v>D502W_C8G2_DGBE_0.2_0.19_0.5_T3</v>
      </c>
      <c r="FD3" s="12" t="str">
        <f>'Formulation Name Data'!A51&amp;"_T1"</f>
        <v>D502W_C8G1_DGBE_0.2_0.19_0.5_T1</v>
      </c>
      <c r="FE3" s="12" t="str">
        <f>'Formulation Name Data'!A51&amp;"_T2"</f>
        <v>D502W_C8G1_DGBE_0.2_0.19_0.5_T2</v>
      </c>
      <c r="FF3" s="12" t="str">
        <f>'Formulation Name Data'!A51&amp;"_T3"</f>
        <v>D502W_C8G1_DGBE_0.2_0.19_0.5_T3</v>
      </c>
      <c r="FG3" s="12" t="str">
        <f>'Formulation Name Data'!A49&amp;"_T1"</f>
        <v>D502W_C10G2_DGBE_0.2_0.19_0.5_T1</v>
      </c>
      <c r="FH3" s="12" t="str">
        <f>'Formulation Name Data'!A49&amp;"_T2"</f>
        <v>D502W_C10G2_DGBE_0.2_0.19_0.5_T2</v>
      </c>
      <c r="FI3" s="12" t="str">
        <f>'Formulation Name Data'!A50&amp;"_T3"</f>
        <v>D502W_C12G2_DGBE_0.2_0.19_0.5_T3</v>
      </c>
      <c r="FJ3" s="12" t="str">
        <f>'Formulation Name Data'!A187&amp;"_T1"</f>
        <v>NRL_N10478-240_G225_DGBE_#_0.3_0.5_T1</v>
      </c>
      <c r="FK3" s="12" t="str">
        <f>'Formulation Name Data'!A187&amp;"_T2"</f>
        <v>NRL_N10478-240_G225_DGBE_#_0.3_0.5_T2</v>
      </c>
      <c r="FL3" s="12" t="str">
        <f>'Formulation Name Data'!A188&amp;"_T1"</f>
        <v>CL_MD2102-90_G225_DGBE_0.2_0.3_0.5_T1</v>
      </c>
      <c r="FM3" s="12" t="str">
        <f>'Formulation Name Data'!A189&amp;"_T1"</f>
        <v>CL_MD2102-112_G225_DGBE_0.05_0.3_0.5_T1</v>
      </c>
      <c r="FN3" s="12" t="str">
        <f>'Formulation Name Data'!A189&amp;"_T2"</f>
        <v>CL_MD2102-112_G225_DGBE_0.05_0.3_0.5_T2</v>
      </c>
      <c r="FO3" s="12" t="str">
        <f>'Formulation Name Data'!A191&amp;"_T1"</f>
        <v>ComSor_EXP-21-CH1070-1_3_T1</v>
      </c>
      <c r="FP3" s="12" t="str">
        <f>'Formulation Name Data'!A191&amp;"_T2"</f>
        <v>ComSor_EXP-21-CH1070-1_3_T2</v>
      </c>
      <c r="FQ3" s="12" t="str">
        <f>'Formulation Name Data'!A190&amp;"_T1"</f>
        <v>CL_MD2102-118_G225_DGBE_0.2_0.3_0.5_T1</v>
      </c>
      <c r="FR3" s="12" t="str">
        <f>'Formulation Name Data'!A190&amp;"_T2"</f>
        <v>CL_MD2102-118_G225_DGBE_0.2_0.3_0.5_T2</v>
      </c>
      <c r="FS3" s="12" t="str">
        <f>'Formulation Name Data'!A192&amp;"_T1"</f>
        <v>ComSor_EXP-21-CH1070-2_3_T1</v>
      </c>
      <c r="FT3" s="12" t="str">
        <f>'Formulation Name Data'!A192&amp;"_T2"</f>
        <v>ComSor_EXP-21-CH1070-2_3_T2</v>
      </c>
      <c r="FU3" s="12" t="str">
        <f>'Formulation Name Data'!A193&amp;"_T1"</f>
        <v>ComSor_EXP-21-CH1070-4_1_T1</v>
      </c>
      <c r="FV3" s="12" t="str">
        <f>'Formulation Name Data'!A193&amp;"_T2"</f>
        <v>ComSor_EXP-21-CH1070-4_1_T2</v>
      </c>
      <c r="FW3" s="12" t="str">
        <f>'Formulation Name Data'!A182&amp;"_T1"</f>
        <v>NRL_LBII43_G225_DGBE_0.2_0.3_0.5_T1</v>
      </c>
      <c r="FX3" s="12" t="str">
        <f>'Formulation Name Data'!A182&amp;"_T2"</f>
        <v>NRL_LBII43_G225_DGBE_0.2_0.3_0.5_T2</v>
      </c>
      <c r="FY3" s="1" t="str">
        <f>'Formulation Name Data'!A185&amp;"_T1"</f>
        <v>NRL_N10478-227_G225_DGBE_0.063_0.3_0.5_T1</v>
      </c>
      <c r="FZ3" s="1" t="str">
        <f>'Formulation Name Data'!A72&amp;"_T1"</f>
        <v>D502W_DGBE_0.1_0.5_T1</v>
      </c>
      <c r="GA3" s="1" t="str">
        <f>'Formulation Name Data'!A72&amp;"_T2"</f>
        <v>D502W_DGBE_0.1_0.5_T2</v>
      </c>
      <c r="GB3" s="1" t="str">
        <f>'Formulation Name Data'!A72&amp;"_T3"</f>
        <v>D502W_DGBE_0.1_0.5_T3</v>
      </c>
      <c r="GC3" s="1" t="str">
        <f>'Formulation Name Data'!A183&amp;"_T1"</f>
        <v>NRL_CB_DTBTS_SB_G225_DGBE_0.02_0.3_0.5_T1</v>
      </c>
      <c r="GD3" s="1" t="str">
        <f>'Formulation Name Data'!A183&amp;"_T2"</f>
        <v>NRL_CB_DTBTS_SB_G225_DGBE_0.02_0.3_0.5_T2</v>
      </c>
      <c r="GE3" s="1" t="str">
        <f>'Formulation Name Data'!A184&amp;"_T1"</f>
        <v>NRL_CB-1-123_G225_DGBE_0.2_0.3_0.5_T1</v>
      </c>
      <c r="GF3" s="1" t="str">
        <f>'Formulation Name Data'!A138&amp;"_T1"</f>
        <v>CL_MD2086-97_G225_DGBE_0.34_0.56_0.5_T1</v>
      </c>
      <c r="GG3" s="1" t="str">
        <f>'Formulation Name Data'!A67&amp;"_T1"</f>
        <v>FomtecEnviroUSP 3%_T1</v>
      </c>
      <c r="GH3" s="1" t="str">
        <f>'Formulation Name Data'!A67&amp;"_T2"</f>
        <v>FomtecEnviroUSP 3%_T2</v>
      </c>
      <c r="GI3" s="1" t="str">
        <f>'Formulation Name Data'!A66&amp;"_T1"</f>
        <v>Solberg® Rehealing RF3 3%_T1</v>
      </c>
      <c r="GJ3" s="1" t="str">
        <f>'Formulation Name Data'!A66&amp;"_T2"</f>
        <v>Solberg® Rehealing RF3 3%_T2</v>
      </c>
      <c r="GK3" s="1" t="str">
        <f>'Formulation Name Data'!A197&amp;"_T1"</f>
        <v>NRL_CB-1-192_G225_DGBE_0.14_0.21_0.5_T1</v>
      </c>
      <c r="GL3" s="1" t="str">
        <f>'Formulation Name Data'!A197&amp;"_T2"</f>
        <v>NRL_CB-1-192_G225_DGBE_0.14_0.21_0.5_T2</v>
      </c>
      <c r="GM3" s="1" t="str">
        <f>'Formulation Name Data'!A166&amp;"_T1"</f>
        <v>ComSor_EXP-22-CH1050_T1</v>
      </c>
      <c r="GN3" s="1" t="str">
        <f>'Formulation Name Data'!A111&amp;"_T1"</f>
        <v>G225_DGBE_0.5_0.5_T1</v>
      </c>
      <c r="GO3" s="1" t="str">
        <f>'Formulation Name Data'!A111&amp;"_T2"</f>
        <v>G225_DGBE_0.5_0.5_T2</v>
      </c>
      <c r="GP3" s="1" t="str">
        <f>'Formulation Name Data'!A111&amp;"_T3"</f>
        <v>G225_DGBE_0.5_0.5_T3</v>
      </c>
      <c r="GQ3" s="1" t="str">
        <f>'Formulation Name Data'!A112&amp;"_T1"</f>
        <v>G600_DGBE_0.5_0.5_T1</v>
      </c>
      <c r="GR3" s="1" t="str">
        <f>'Formulation Name Data'!A112&amp;"_T2"</f>
        <v>G600_DGBE_0.5_0.5_T2</v>
      </c>
      <c r="GS3" s="1" t="str">
        <f>'Formulation Name Data'!A112&amp;"_T3"</f>
        <v>G600_DGBE_0.5_0.5_T3</v>
      </c>
    </row>
    <row r="4" spans="1:201" x14ac:dyDescent="0.35">
      <c r="A4" s="11">
        <v>0</v>
      </c>
      <c r="B4" s="11">
        <v>0</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c r="AF4" s="11">
        <v>0</v>
      </c>
      <c r="AG4" s="11">
        <v>0</v>
      </c>
      <c r="AH4" s="11">
        <v>0</v>
      </c>
      <c r="AI4" s="11">
        <v>0</v>
      </c>
      <c r="AJ4" s="11">
        <v>0</v>
      </c>
      <c r="AK4" s="11">
        <v>0</v>
      </c>
      <c r="AL4" s="11">
        <v>0</v>
      </c>
      <c r="AM4" s="11">
        <v>0</v>
      </c>
      <c r="AN4" s="11">
        <v>0</v>
      </c>
      <c r="AO4" s="11">
        <v>0</v>
      </c>
      <c r="AP4" s="11">
        <v>0</v>
      </c>
      <c r="AQ4" s="11">
        <v>0</v>
      </c>
      <c r="AR4" s="11">
        <v>0</v>
      </c>
      <c r="AS4" s="11">
        <v>0</v>
      </c>
      <c r="AT4" s="11">
        <v>0</v>
      </c>
      <c r="AU4" s="11">
        <v>0</v>
      </c>
      <c r="AV4" s="11">
        <v>0</v>
      </c>
      <c r="AW4" s="11">
        <v>0</v>
      </c>
      <c r="AX4" s="11">
        <v>0</v>
      </c>
      <c r="AY4" s="11">
        <v>0</v>
      </c>
      <c r="AZ4" s="11">
        <v>0</v>
      </c>
      <c r="BA4" s="11">
        <v>0</v>
      </c>
      <c r="BB4" s="11">
        <v>0</v>
      </c>
      <c r="BC4" s="11">
        <v>0</v>
      </c>
      <c r="BD4" s="11">
        <v>0</v>
      </c>
      <c r="BE4" s="11">
        <v>0</v>
      </c>
      <c r="BF4" s="11">
        <v>0</v>
      </c>
      <c r="BG4" s="11">
        <v>0</v>
      </c>
      <c r="BH4" s="11">
        <v>0</v>
      </c>
      <c r="BI4" s="11">
        <v>0</v>
      </c>
      <c r="BJ4" s="11">
        <v>0</v>
      </c>
      <c r="BK4" s="11">
        <v>0</v>
      </c>
      <c r="BL4" s="11">
        <v>0</v>
      </c>
      <c r="BM4" s="11">
        <v>0</v>
      </c>
      <c r="BN4" s="11">
        <v>0</v>
      </c>
      <c r="BO4" s="11">
        <v>0</v>
      </c>
      <c r="BP4" s="11">
        <v>0</v>
      </c>
      <c r="BQ4" s="42">
        <v>0</v>
      </c>
      <c r="BR4" s="42">
        <v>0</v>
      </c>
      <c r="BS4" s="11">
        <v>0</v>
      </c>
      <c r="BT4" s="11">
        <v>0</v>
      </c>
      <c r="BU4" s="11">
        <v>0</v>
      </c>
      <c r="BV4" s="11">
        <v>0</v>
      </c>
      <c r="BW4" s="11">
        <v>0</v>
      </c>
      <c r="BX4" s="11">
        <v>0</v>
      </c>
      <c r="BY4" s="11">
        <v>0</v>
      </c>
      <c r="BZ4" s="11">
        <v>0</v>
      </c>
      <c r="CA4" s="11">
        <v>0</v>
      </c>
      <c r="CB4" s="11">
        <v>0</v>
      </c>
      <c r="CC4" s="11">
        <v>0</v>
      </c>
      <c r="CD4" s="11">
        <v>0</v>
      </c>
      <c r="CE4" s="11">
        <v>0</v>
      </c>
      <c r="CF4">
        <v>0</v>
      </c>
      <c r="CG4" s="30">
        <v>0</v>
      </c>
      <c r="CH4" s="30">
        <v>0</v>
      </c>
      <c r="CI4">
        <v>0</v>
      </c>
      <c r="CJ4" s="31">
        <v>0</v>
      </c>
      <c r="CK4" s="31">
        <v>0</v>
      </c>
      <c r="CL4" s="31">
        <v>0</v>
      </c>
      <c r="CM4" s="31">
        <v>0</v>
      </c>
      <c r="CN4" s="33">
        <v>0</v>
      </c>
      <c r="CO4" s="34">
        <v>0</v>
      </c>
      <c r="CP4" s="36">
        <v>0</v>
      </c>
      <c r="CQ4">
        <v>0</v>
      </c>
      <c r="CR4" s="35">
        <v>0</v>
      </c>
      <c r="CS4" s="37">
        <v>0</v>
      </c>
      <c r="CT4" s="37">
        <v>0</v>
      </c>
      <c r="CU4" s="40">
        <v>0</v>
      </c>
      <c r="CV4" s="40">
        <v>0</v>
      </c>
      <c r="CW4" s="40">
        <v>0</v>
      </c>
      <c r="CX4" s="41">
        <v>0</v>
      </c>
      <c r="CY4" s="41">
        <v>0</v>
      </c>
      <c r="CZ4" s="41">
        <v>0</v>
      </c>
      <c r="DA4" s="42">
        <v>0</v>
      </c>
      <c r="DB4" s="42">
        <v>0</v>
      </c>
      <c r="DC4" s="42">
        <v>0</v>
      </c>
      <c r="DD4" s="42">
        <v>0</v>
      </c>
      <c r="DE4" s="42">
        <v>0</v>
      </c>
      <c r="DF4" s="42">
        <v>0</v>
      </c>
      <c r="DG4" s="42">
        <v>0</v>
      </c>
      <c r="DH4" s="42">
        <v>0</v>
      </c>
      <c r="DI4" s="42">
        <v>0</v>
      </c>
      <c r="DJ4" s="42">
        <v>0</v>
      </c>
      <c r="DK4" s="42">
        <v>0</v>
      </c>
      <c r="DL4" s="42">
        <v>0</v>
      </c>
      <c r="DM4" s="42">
        <v>0</v>
      </c>
      <c r="DN4" s="42">
        <v>0</v>
      </c>
      <c r="DO4" s="42">
        <v>0</v>
      </c>
      <c r="DP4" s="42">
        <v>0</v>
      </c>
      <c r="DQ4" s="42">
        <v>0</v>
      </c>
      <c r="DR4" s="42">
        <v>0</v>
      </c>
      <c r="DS4" s="42">
        <v>0</v>
      </c>
      <c r="DT4" s="42">
        <v>0</v>
      </c>
      <c r="DU4" s="42">
        <v>0</v>
      </c>
      <c r="DV4" s="42">
        <v>0</v>
      </c>
      <c r="DW4" s="42">
        <v>0</v>
      </c>
      <c r="DX4" s="42">
        <v>0</v>
      </c>
      <c r="DY4" s="42">
        <v>0</v>
      </c>
      <c r="DZ4" s="42">
        <v>0</v>
      </c>
      <c r="EA4" s="42">
        <v>0</v>
      </c>
      <c r="EB4" s="42">
        <v>0</v>
      </c>
      <c r="EC4" s="42">
        <v>0</v>
      </c>
      <c r="ED4" s="42">
        <v>0</v>
      </c>
      <c r="EE4" s="42">
        <v>0</v>
      </c>
      <c r="EF4" s="42">
        <v>0</v>
      </c>
      <c r="EG4" s="42">
        <v>0</v>
      </c>
      <c r="EH4" s="42">
        <v>0</v>
      </c>
      <c r="EI4" s="42">
        <v>0</v>
      </c>
      <c r="EJ4" s="42">
        <v>0</v>
      </c>
      <c r="EK4" s="42">
        <v>0</v>
      </c>
      <c r="EL4" s="42">
        <v>0</v>
      </c>
      <c r="EM4" s="42">
        <v>0</v>
      </c>
      <c r="EN4" s="42">
        <v>0</v>
      </c>
      <c r="EO4" s="42">
        <v>0</v>
      </c>
      <c r="EP4" s="42">
        <v>0</v>
      </c>
      <c r="EQ4" s="42">
        <v>0</v>
      </c>
      <c r="ER4" s="42">
        <v>0</v>
      </c>
      <c r="ES4" s="42">
        <v>0</v>
      </c>
      <c r="ET4" s="42">
        <v>0</v>
      </c>
      <c r="EU4" s="42">
        <v>0</v>
      </c>
      <c r="EV4" s="42">
        <v>0</v>
      </c>
      <c r="EW4" s="42">
        <v>0</v>
      </c>
      <c r="EX4" s="42">
        <v>0</v>
      </c>
      <c r="EY4" s="42">
        <v>0</v>
      </c>
      <c r="EZ4" s="42">
        <v>0</v>
      </c>
      <c r="FA4" s="42">
        <v>0</v>
      </c>
      <c r="FB4" s="42">
        <v>0</v>
      </c>
      <c r="FC4" s="42">
        <v>0</v>
      </c>
      <c r="FD4" s="42">
        <v>0</v>
      </c>
      <c r="FE4" s="42">
        <v>0</v>
      </c>
      <c r="FF4" s="42">
        <v>0</v>
      </c>
      <c r="FG4" s="42">
        <v>0</v>
      </c>
      <c r="FH4" s="42">
        <v>0</v>
      </c>
      <c r="FI4" s="42">
        <v>0</v>
      </c>
      <c r="FJ4" s="42">
        <v>0</v>
      </c>
      <c r="FK4" s="42">
        <v>0</v>
      </c>
      <c r="FL4" s="42">
        <v>0</v>
      </c>
      <c r="FM4">
        <v>0</v>
      </c>
      <c r="FN4">
        <v>0</v>
      </c>
      <c r="FO4">
        <v>0</v>
      </c>
      <c r="FP4">
        <v>0</v>
      </c>
      <c r="FQ4">
        <v>0</v>
      </c>
      <c r="FR4">
        <v>0</v>
      </c>
      <c r="FS4" s="42">
        <v>0</v>
      </c>
      <c r="FT4" s="42">
        <v>0</v>
      </c>
      <c r="FU4" s="42">
        <v>0</v>
      </c>
      <c r="FV4" s="42">
        <v>0</v>
      </c>
      <c r="FW4" s="48">
        <v>0</v>
      </c>
      <c r="FX4" s="48">
        <v>0</v>
      </c>
      <c r="FY4" s="42">
        <v>0</v>
      </c>
      <c r="FZ4" s="42">
        <v>0</v>
      </c>
      <c r="GA4" s="42">
        <v>0</v>
      </c>
      <c r="GB4" s="42">
        <v>0</v>
      </c>
      <c r="GC4" s="42">
        <v>0</v>
      </c>
      <c r="GD4" s="42">
        <v>0</v>
      </c>
      <c r="GE4" s="42">
        <v>0</v>
      </c>
      <c r="GF4" s="42">
        <v>0</v>
      </c>
      <c r="GG4" s="42">
        <v>0</v>
      </c>
      <c r="GH4" s="42">
        <v>0</v>
      </c>
      <c r="GI4" s="42">
        <v>0</v>
      </c>
      <c r="GJ4" s="42">
        <v>0</v>
      </c>
      <c r="GK4" s="42">
        <v>0</v>
      </c>
      <c r="GL4" s="42">
        <v>0</v>
      </c>
      <c r="GM4">
        <v>0</v>
      </c>
      <c r="GN4">
        <v>0</v>
      </c>
      <c r="GO4">
        <v>0</v>
      </c>
      <c r="GP4">
        <v>0</v>
      </c>
      <c r="GQ4" s="42">
        <v>0</v>
      </c>
      <c r="GR4" s="42">
        <v>0</v>
      </c>
      <c r="GS4" s="42">
        <v>0</v>
      </c>
    </row>
    <row r="5" spans="1:201" x14ac:dyDescent="0.35">
      <c r="A5" s="11">
        <v>2</v>
      </c>
      <c r="B5" s="11">
        <v>2</v>
      </c>
      <c r="C5" s="11">
        <v>2</v>
      </c>
      <c r="D5" s="11">
        <v>2</v>
      </c>
      <c r="E5" s="11">
        <v>2</v>
      </c>
      <c r="F5" s="11">
        <v>2</v>
      </c>
      <c r="G5" s="11">
        <v>4</v>
      </c>
      <c r="H5" s="11">
        <v>4</v>
      </c>
      <c r="I5" s="11">
        <v>4</v>
      </c>
      <c r="J5" s="11">
        <v>4</v>
      </c>
      <c r="K5" s="11">
        <v>4</v>
      </c>
      <c r="L5" s="11">
        <v>5</v>
      </c>
      <c r="M5" s="11">
        <v>4</v>
      </c>
      <c r="N5" s="11">
        <v>4</v>
      </c>
      <c r="O5" s="11">
        <v>2</v>
      </c>
      <c r="P5" s="11">
        <v>2</v>
      </c>
      <c r="Q5" s="11">
        <v>1</v>
      </c>
      <c r="R5" s="11">
        <v>1</v>
      </c>
      <c r="S5" s="11">
        <v>1</v>
      </c>
      <c r="T5" s="11">
        <v>1</v>
      </c>
      <c r="U5" s="11">
        <v>1</v>
      </c>
      <c r="V5" s="11">
        <v>1</v>
      </c>
      <c r="W5" s="11">
        <v>1</v>
      </c>
      <c r="X5" s="11">
        <v>1</v>
      </c>
      <c r="Y5" s="11">
        <v>1</v>
      </c>
      <c r="Z5" s="11">
        <v>1</v>
      </c>
      <c r="AA5" s="11">
        <v>1</v>
      </c>
      <c r="AB5" s="11">
        <v>1</v>
      </c>
      <c r="AC5" s="11">
        <v>1</v>
      </c>
      <c r="AD5" s="11">
        <v>1</v>
      </c>
      <c r="AE5" s="11">
        <v>1</v>
      </c>
      <c r="AF5" s="11">
        <v>2</v>
      </c>
      <c r="AG5" s="11">
        <v>2</v>
      </c>
      <c r="AH5" s="11">
        <v>2</v>
      </c>
      <c r="AI5" s="11">
        <v>2</v>
      </c>
      <c r="AJ5" s="11">
        <v>2</v>
      </c>
      <c r="AK5" s="11">
        <v>2</v>
      </c>
      <c r="AL5" s="11">
        <v>10</v>
      </c>
      <c r="AM5" s="11">
        <v>10</v>
      </c>
      <c r="AN5" s="11">
        <v>10</v>
      </c>
      <c r="AO5" s="11">
        <v>5</v>
      </c>
      <c r="AP5" s="11">
        <v>5</v>
      </c>
      <c r="AQ5" s="11">
        <v>5</v>
      </c>
      <c r="AR5" s="11">
        <v>5</v>
      </c>
      <c r="AS5" s="11">
        <v>5</v>
      </c>
      <c r="AT5" s="11">
        <v>5</v>
      </c>
      <c r="AU5" s="11">
        <v>5</v>
      </c>
      <c r="AV5" s="11">
        <v>5</v>
      </c>
      <c r="AW5" s="11">
        <v>5</v>
      </c>
      <c r="AX5" s="11">
        <v>4</v>
      </c>
      <c r="AY5" s="11">
        <v>4</v>
      </c>
      <c r="AZ5" s="11">
        <v>4</v>
      </c>
      <c r="BA5" s="11">
        <v>4</v>
      </c>
      <c r="BB5" s="11">
        <v>4</v>
      </c>
      <c r="BC5" s="11">
        <v>4</v>
      </c>
      <c r="BD5" s="11">
        <v>4</v>
      </c>
      <c r="BE5" s="11">
        <v>2</v>
      </c>
      <c r="BF5" s="11">
        <v>2</v>
      </c>
      <c r="BG5" s="11">
        <v>2</v>
      </c>
      <c r="BH5" s="11">
        <v>2</v>
      </c>
      <c r="BI5" s="11">
        <v>1</v>
      </c>
      <c r="BJ5" s="11">
        <v>5</v>
      </c>
      <c r="BK5" s="11">
        <v>5</v>
      </c>
      <c r="BL5" s="11">
        <v>5</v>
      </c>
      <c r="BM5" s="11">
        <v>5</v>
      </c>
      <c r="BN5" s="11">
        <v>20</v>
      </c>
      <c r="BO5" s="11">
        <v>10</v>
      </c>
      <c r="BP5" s="11">
        <v>10</v>
      </c>
      <c r="BQ5" s="42">
        <v>10</v>
      </c>
      <c r="BR5" s="42">
        <v>10</v>
      </c>
      <c r="BS5" s="11">
        <v>20</v>
      </c>
      <c r="BT5" s="11">
        <v>20</v>
      </c>
      <c r="BU5" s="11">
        <v>10</v>
      </c>
      <c r="BV5" s="11">
        <v>10</v>
      </c>
      <c r="BW5" s="11">
        <v>6</v>
      </c>
      <c r="BX5" s="11">
        <v>6</v>
      </c>
      <c r="BY5" s="11">
        <v>6</v>
      </c>
      <c r="BZ5" s="11">
        <v>3</v>
      </c>
      <c r="CA5" s="11">
        <v>2</v>
      </c>
      <c r="CB5" s="11">
        <v>2</v>
      </c>
      <c r="CC5" s="11">
        <v>2</v>
      </c>
      <c r="CD5" s="11">
        <v>2</v>
      </c>
      <c r="CE5" s="11">
        <v>2</v>
      </c>
      <c r="CF5">
        <v>1</v>
      </c>
      <c r="CG5" s="30">
        <v>1</v>
      </c>
      <c r="CH5" s="30">
        <v>1</v>
      </c>
      <c r="CI5">
        <v>1</v>
      </c>
      <c r="CJ5" s="31">
        <v>1</v>
      </c>
      <c r="CK5" s="31">
        <v>1</v>
      </c>
      <c r="CL5" s="31">
        <v>1</v>
      </c>
      <c r="CM5" s="31">
        <v>1</v>
      </c>
      <c r="CN5" s="33">
        <v>1</v>
      </c>
      <c r="CO5" s="34">
        <v>1</v>
      </c>
      <c r="CP5" s="36">
        <v>1</v>
      </c>
      <c r="CQ5">
        <v>2</v>
      </c>
      <c r="CR5" s="35">
        <v>2</v>
      </c>
      <c r="CS5" s="37">
        <v>4</v>
      </c>
      <c r="CT5" s="37">
        <v>4</v>
      </c>
      <c r="CU5" s="40">
        <v>4</v>
      </c>
      <c r="CV5" s="40">
        <v>4</v>
      </c>
      <c r="CW5" s="40">
        <v>4</v>
      </c>
      <c r="CX5" s="41" t="s">
        <v>76</v>
      </c>
      <c r="CY5" s="41">
        <v>4</v>
      </c>
      <c r="CZ5" s="41">
        <v>4</v>
      </c>
      <c r="DA5" s="42">
        <v>5</v>
      </c>
      <c r="DB5" s="42">
        <v>5</v>
      </c>
      <c r="DC5" s="42">
        <v>5</v>
      </c>
      <c r="DD5" s="42">
        <v>5</v>
      </c>
      <c r="DE5" s="42">
        <v>5</v>
      </c>
      <c r="DF5" s="42">
        <v>4</v>
      </c>
      <c r="DG5" s="42">
        <v>4</v>
      </c>
      <c r="DH5" s="42">
        <v>4</v>
      </c>
      <c r="DI5" s="42">
        <v>4</v>
      </c>
      <c r="DJ5" s="42">
        <v>4</v>
      </c>
      <c r="DK5" s="42">
        <v>3</v>
      </c>
      <c r="DL5" s="42">
        <v>3</v>
      </c>
      <c r="DM5" s="42">
        <v>3</v>
      </c>
      <c r="DN5" s="42">
        <v>1</v>
      </c>
      <c r="DO5" s="42">
        <v>1</v>
      </c>
      <c r="DP5" s="42">
        <v>1</v>
      </c>
      <c r="DQ5" s="42">
        <v>2</v>
      </c>
      <c r="DR5" s="42">
        <v>2</v>
      </c>
      <c r="DS5" s="42">
        <v>2</v>
      </c>
      <c r="DT5" s="42">
        <v>3</v>
      </c>
      <c r="DU5" s="42">
        <v>3</v>
      </c>
      <c r="DV5" s="42">
        <v>3</v>
      </c>
      <c r="DW5" s="42">
        <v>3</v>
      </c>
      <c r="DX5" s="42">
        <v>3</v>
      </c>
      <c r="DY5" s="42">
        <v>3</v>
      </c>
      <c r="DZ5" s="42">
        <v>3</v>
      </c>
      <c r="EA5" s="42">
        <v>3</v>
      </c>
      <c r="EB5" s="42">
        <v>3</v>
      </c>
      <c r="EC5" s="42">
        <v>2</v>
      </c>
      <c r="ED5" s="42">
        <v>2</v>
      </c>
      <c r="EE5" s="42">
        <v>4</v>
      </c>
      <c r="EF5" s="42">
        <v>4</v>
      </c>
      <c r="EG5" s="42">
        <v>4</v>
      </c>
      <c r="EH5" s="42">
        <v>4</v>
      </c>
      <c r="EI5" s="42">
        <v>4</v>
      </c>
      <c r="EJ5" s="42">
        <v>4</v>
      </c>
      <c r="EK5" s="42">
        <v>2</v>
      </c>
      <c r="EL5" s="42">
        <v>2</v>
      </c>
      <c r="EM5" s="42">
        <v>2</v>
      </c>
      <c r="EN5" s="42">
        <v>3</v>
      </c>
      <c r="EO5" s="42">
        <v>3</v>
      </c>
      <c r="EP5" s="42">
        <v>3</v>
      </c>
      <c r="EQ5" s="42">
        <v>3</v>
      </c>
      <c r="ER5" s="42">
        <v>3</v>
      </c>
      <c r="ES5" s="42">
        <v>3</v>
      </c>
      <c r="ET5" s="42">
        <v>5</v>
      </c>
      <c r="EU5" s="42">
        <v>5</v>
      </c>
      <c r="EV5" s="42">
        <v>5</v>
      </c>
      <c r="EW5" s="42">
        <v>3</v>
      </c>
      <c r="EX5" s="42">
        <v>3</v>
      </c>
      <c r="EY5" s="42">
        <v>3</v>
      </c>
      <c r="EZ5" s="42">
        <v>2</v>
      </c>
      <c r="FA5" s="42">
        <v>2</v>
      </c>
      <c r="FB5" s="42">
        <v>2</v>
      </c>
      <c r="FC5" s="42">
        <v>2</v>
      </c>
      <c r="FD5" s="42">
        <v>2</v>
      </c>
      <c r="FE5" s="42">
        <v>2</v>
      </c>
      <c r="FF5" s="42">
        <v>2</v>
      </c>
      <c r="FG5" s="42">
        <v>2</v>
      </c>
      <c r="FH5" s="42">
        <v>2</v>
      </c>
      <c r="FI5" s="42">
        <v>2</v>
      </c>
      <c r="FJ5" s="42">
        <v>1</v>
      </c>
      <c r="FK5" s="42">
        <v>1</v>
      </c>
      <c r="FL5" s="42">
        <v>1</v>
      </c>
      <c r="FM5">
        <v>2</v>
      </c>
      <c r="FN5">
        <v>2</v>
      </c>
      <c r="FO5">
        <v>10</v>
      </c>
      <c r="FP5">
        <v>20</v>
      </c>
      <c r="FQ5">
        <v>1</v>
      </c>
      <c r="FR5">
        <v>1</v>
      </c>
      <c r="FS5" s="42">
        <v>10</v>
      </c>
      <c r="FT5" s="42">
        <v>10</v>
      </c>
      <c r="FU5" s="42">
        <v>5</v>
      </c>
      <c r="FV5" s="42">
        <v>5</v>
      </c>
      <c r="FW5" s="48">
        <v>3</v>
      </c>
      <c r="FX5" s="48">
        <v>5</v>
      </c>
      <c r="FY5" s="42">
        <f>1/60</f>
        <v>1.6666666666666666E-2</v>
      </c>
      <c r="FZ5" s="42">
        <v>2</v>
      </c>
      <c r="GA5" s="42">
        <v>2</v>
      </c>
      <c r="GB5" s="42">
        <v>2</v>
      </c>
      <c r="GC5" s="42">
        <v>1</v>
      </c>
      <c r="GD5" s="42">
        <v>1</v>
      </c>
      <c r="GE5" s="42">
        <v>1</v>
      </c>
      <c r="GF5" s="42">
        <v>1</v>
      </c>
      <c r="GG5" s="42">
        <v>3</v>
      </c>
      <c r="GH5" s="42">
        <v>3</v>
      </c>
      <c r="GI5" s="42">
        <v>3</v>
      </c>
      <c r="GJ5" s="42">
        <v>3</v>
      </c>
      <c r="GK5" s="42">
        <v>3</v>
      </c>
      <c r="GL5" s="42">
        <v>3</v>
      </c>
      <c r="GM5">
        <v>2</v>
      </c>
      <c r="GN5">
        <v>4</v>
      </c>
      <c r="GO5">
        <v>4</v>
      </c>
      <c r="GP5">
        <v>4</v>
      </c>
      <c r="GQ5" s="42">
        <v>4</v>
      </c>
      <c r="GR5" s="42">
        <v>4</v>
      </c>
      <c r="GS5" s="42">
        <v>4</v>
      </c>
    </row>
    <row r="6" spans="1:201" x14ac:dyDescent="0.35">
      <c r="A6" s="11">
        <v>4</v>
      </c>
      <c r="B6" s="11">
        <v>4</v>
      </c>
      <c r="C6" s="11">
        <v>4</v>
      </c>
      <c r="D6" s="11">
        <v>4</v>
      </c>
      <c r="E6" s="11">
        <v>4</v>
      </c>
      <c r="F6" s="11">
        <v>4</v>
      </c>
      <c r="G6" s="11">
        <v>8</v>
      </c>
      <c r="H6" s="11">
        <v>8</v>
      </c>
      <c r="I6" s="11">
        <v>8</v>
      </c>
      <c r="J6" s="11">
        <v>8</v>
      </c>
      <c r="K6" s="11">
        <v>8</v>
      </c>
      <c r="L6" s="11">
        <v>10</v>
      </c>
      <c r="M6" s="11">
        <v>8</v>
      </c>
      <c r="N6" s="11">
        <v>8</v>
      </c>
      <c r="O6" s="11">
        <v>4</v>
      </c>
      <c r="P6" s="11">
        <v>4</v>
      </c>
      <c r="Q6" s="11">
        <v>3</v>
      </c>
      <c r="R6" s="11">
        <v>3</v>
      </c>
      <c r="S6" s="11">
        <v>3</v>
      </c>
      <c r="T6" s="11">
        <v>3</v>
      </c>
      <c r="U6" s="11">
        <v>3</v>
      </c>
      <c r="V6" s="11">
        <v>3</v>
      </c>
      <c r="W6" s="11">
        <v>2</v>
      </c>
      <c r="X6" s="11">
        <v>2</v>
      </c>
      <c r="Y6" s="11">
        <v>2</v>
      </c>
      <c r="Z6" s="11">
        <v>3</v>
      </c>
      <c r="AA6" s="11">
        <v>3</v>
      </c>
      <c r="AB6" s="11">
        <v>3</v>
      </c>
      <c r="AC6" s="11">
        <v>2</v>
      </c>
      <c r="AD6" s="11">
        <v>2</v>
      </c>
      <c r="AE6" s="11">
        <v>2</v>
      </c>
      <c r="AF6" s="11">
        <v>4</v>
      </c>
      <c r="AG6" s="11">
        <v>4</v>
      </c>
      <c r="AH6" s="11">
        <v>4</v>
      </c>
      <c r="AI6" s="11">
        <v>4</v>
      </c>
      <c r="AJ6" s="11">
        <v>4</v>
      </c>
      <c r="AK6" s="11">
        <v>4</v>
      </c>
      <c r="AL6" s="11">
        <v>30</v>
      </c>
      <c r="AM6" s="11">
        <v>30</v>
      </c>
      <c r="AN6" s="11">
        <v>30</v>
      </c>
      <c r="AO6" s="11">
        <v>10</v>
      </c>
      <c r="AP6" s="11">
        <v>10</v>
      </c>
      <c r="AQ6" s="11">
        <v>10</v>
      </c>
      <c r="AR6" s="11">
        <v>10</v>
      </c>
      <c r="AS6" s="11">
        <v>10</v>
      </c>
      <c r="AT6" s="11">
        <v>10</v>
      </c>
      <c r="AU6" s="11">
        <v>10</v>
      </c>
      <c r="AV6" s="11">
        <v>10</v>
      </c>
      <c r="AW6" s="11">
        <v>10</v>
      </c>
      <c r="AX6" s="11">
        <v>8</v>
      </c>
      <c r="AY6" s="11">
        <v>8</v>
      </c>
      <c r="AZ6" s="11">
        <v>8</v>
      </c>
      <c r="BA6" s="11">
        <v>8</v>
      </c>
      <c r="BB6" s="11">
        <v>8</v>
      </c>
      <c r="BC6" s="11">
        <v>8</v>
      </c>
      <c r="BD6" s="11">
        <v>8</v>
      </c>
      <c r="BE6" s="11">
        <v>4</v>
      </c>
      <c r="BF6" s="11">
        <v>4</v>
      </c>
      <c r="BG6" s="11">
        <v>5</v>
      </c>
      <c r="BH6" s="11">
        <v>5</v>
      </c>
      <c r="BI6" s="11">
        <v>2</v>
      </c>
      <c r="BJ6" s="11">
        <v>10</v>
      </c>
      <c r="BK6" s="11">
        <v>10</v>
      </c>
      <c r="BL6" s="11">
        <v>10</v>
      </c>
      <c r="BM6" s="11">
        <v>10</v>
      </c>
      <c r="BN6" s="11">
        <v>40</v>
      </c>
      <c r="BO6" s="11">
        <v>20</v>
      </c>
      <c r="BP6" s="11">
        <v>20</v>
      </c>
      <c r="BQ6" s="42">
        <v>20</v>
      </c>
      <c r="BR6" s="42">
        <v>20</v>
      </c>
      <c r="BS6" s="11">
        <v>30</v>
      </c>
      <c r="BT6" s="11">
        <v>30</v>
      </c>
      <c r="BU6" s="11">
        <v>20</v>
      </c>
      <c r="BV6" s="11">
        <v>20</v>
      </c>
      <c r="BW6" s="11">
        <v>10</v>
      </c>
      <c r="BX6" s="11">
        <v>10</v>
      </c>
      <c r="BY6" s="11">
        <v>10</v>
      </c>
      <c r="BZ6" s="11">
        <v>6</v>
      </c>
      <c r="CA6" s="11">
        <v>4</v>
      </c>
      <c r="CB6" s="11">
        <v>4</v>
      </c>
      <c r="CC6" s="11">
        <v>4</v>
      </c>
      <c r="CD6" s="11">
        <v>3</v>
      </c>
      <c r="CE6" s="11">
        <v>3</v>
      </c>
      <c r="CF6">
        <v>3</v>
      </c>
      <c r="CG6" s="30">
        <v>3</v>
      </c>
      <c r="CH6" s="30">
        <v>3</v>
      </c>
      <c r="CI6">
        <v>3</v>
      </c>
      <c r="CJ6" s="31">
        <v>3</v>
      </c>
      <c r="CK6" s="31">
        <v>3</v>
      </c>
      <c r="CL6" s="31">
        <v>2</v>
      </c>
      <c r="CM6" s="31">
        <v>2</v>
      </c>
      <c r="CN6" s="33">
        <v>2</v>
      </c>
      <c r="CO6" s="34">
        <v>2</v>
      </c>
      <c r="CP6" s="36">
        <v>2</v>
      </c>
      <c r="CQ6">
        <v>4</v>
      </c>
      <c r="CR6" s="35">
        <v>4</v>
      </c>
      <c r="CS6" s="37">
        <v>8</v>
      </c>
      <c r="CT6" s="37">
        <v>8</v>
      </c>
      <c r="CU6" s="40">
        <v>8</v>
      </c>
      <c r="CV6" s="40">
        <v>8</v>
      </c>
      <c r="CW6" s="40">
        <v>8</v>
      </c>
      <c r="CX6" s="41">
        <v>8</v>
      </c>
      <c r="CY6" s="41">
        <v>8</v>
      </c>
      <c r="CZ6" s="41">
        <v>8</v>
      </c>
      <c r="DA6" s="42">
        <v>10</v>
      </c>
      <c r="DB6" s="42">
        <v>10</v>
      </c>
      <c r="DC6" s="42">
        <v>10</v>
      </c>
      <c r="DD6" s="42">
        <v>10</v>
      </c>
      <c r="DE6" s="42">
        <v>10</v>
      </c>
      <c r="DF6" s="42">
        <v>8</v>
      </c>
      <c r="DG6" s="42">
        <v>8</v>
      </c>
      <c r="DH6" s="42">
        <v>8</v>
      </c>
      <c r="DI6" s="42">
        <v>8</v>
      </c>
      <c r="DJ6" s="42">
        <v>8</v>
      </c>
      <c r="DK6" s="42">
        <v>6</v>
      </c>
      <c r="DL6" s="42">
        <v>6</v>
      </c>
      <c r="DM6" s="42">
        <v>6</v>
      </c>
      <c r="DN6" s="42">
        <v>2</v>
      </c>
      <c r="DO6" s="42">
        <v>2</v>
      </c>
      <c r="DP6" s="42">
        <v>2</v>
      </c>
      <c r="DQ6" s="42">
        <v>4</v>
      </c>
      <c r="DR6" s="42">
        <v>4</v>
      </c>
      <c r="DS6" s="42">
        <v>4</v>
      </c>
      <c r="DT6" s="42">
        <v>6</v>
      </c>
      <c r="DU6" s="42">
        <v>6</v>
      </c>
      <c r="DV6" s="42">
        <v>6</v>
      </c>
      <c r="DW6" s="42">
        <v>6</v>
      </c>
      <c r="DX6" s="42">
        <v>6</v>
      </c>
      <c r="DY6" s="42">
        <v>6</v>
      </c>
      <c r="DZ6" s="42">
        <v>6</v>
      </c>
      <c r="EA6" s="42">
        <v>6</v>
      </c>
      <c r="EB6" s="42">
        <v>6</v>
      </c>
      <c r="EC6" s="42">
        <v>4</v>
      </c>
      <c r="ED6" s="42">
        <v>4</v>
      </c>
      <c r="EE6" s="42">
        <v>6</v>
      </c>
      <c r="EF6" s="42">
        <v>6</v>
      </c>
      <c r="EG6" s="42">
        <v>6</v>
      </c>
      <c r="EH6" s="42">
        <v>6</v>
      </c>
      <c r="EI6" s="42">
        <v>6</v>
      </c>
      <c r="EJ6" s="42">
        <v>6</v>
      </c>
      <c r="EK6" s="42">
        <v>4</v>
      </c>
      <c r="EL6" s="42">
        <v>4</v>
      </c>
      <c r="EM6" s="42">
        <v>4</v>
      </c>
      <c r="EN6" s="42">
        <v>6</v>
      </c>
      <c r="EO6" s="42">
        <v>6</v>
      </c>
      <c r="EP6" s="42">
        <v>6</v>
      </c>
      <c r="EQ6" s="42">
        <v>6</v>
      </c>
      <c r="ER6" s="42">
        <v>6</v>
      </c>
      <c r="ES6" s="42">
        <v>6</v>
      </c>
      <c r="ET6" s="42">
        <v>10</v>
      </c>
      <c r="EU6" s="42">
        <v>10</v>
      </c>
      <c r="EV6" s="42">
        <v>10</v>
      </c>
      <c r="EW6" s="42">
        <v>6</v>
      </c>
      <c r="EX6" s="42">
        <v>6</v>
      </c>
      <c r="EY6" s="42">
        <v>6</v>
      </c>
      <c r="EZ6" s="42">
        <v>3</v>
      </c>
      <c r="FA6" s="42">
        <v>4</v>
      </c>
      <c r="FB6" s="42">
        <v>4</v>
      </c>
      <c r="FC6" s="42">
        <v>4</v>
      </c>
      <c r="FD6" s="42">
        <v>4</v>
      </c>
      <c r="FE6" s="42">
        <v>4</v>
      </c>
      <c r="FF6" s="42">
        <v>4</v>
      </c>
      <c r="FG6" s="42">
        <v>4</v>
      </c>
      <c r="FH6" s="42">
        <v>4</v>
      </c>
      <c r="FI6" s="42">
        <v>4</v>
      </c>
      <c r="FJ6" s="42">
        <v>2</v>
      </c>
      <c r="FK6" s="42">
        <v>2</v>
      </c>
      <c r="FL6" s="42">
        <v>2</v>
      </c>
      <c r="FM6">
        <v>4</v>
      </c>
      <c r="FN6">
        <v>4</v>
      </c>
      <c r="FO6">
        <v>20</v>
      </c>
      <c r="FP6">
        <v>40</v>
      </c>
      <c r="FQ6">
        <v>2</v>
      </c>
      <c r="FR6">
        <v>2</v>
      </c>
      <c r="FS6" s="42">
        <v>20</v>
      </c>
      <c r="FT6" s="42">
        <v>20</v>
      </c>
      <c r="FU6" s="42">
        <v>10</v>
      </c>
      <c r="FV6" s="42">
        <v>10</v>
      </c>
      <c r="FW6" s="48">
        <v>6</v>
      </c>
      <c r="FX6" s="48">
        <v>10</v>
      </c>
      <c r="FY6" s="43" t="s">
        <v>76</v>
      </c>
      <c r="FZ6" s="42">
        <v>4</v>
      </c>
      <c r="GA6" s="42">
        <v>4</v>
      </c>
      <c r="GB6" s="42">
        <v>4</v>
      </c>
      <c r="GC6" s="42">
        <v>3</v>
      </c>
      <c r="GD6" s="42">
        <v>3</v>
      </c>
      <c r="GE6" s="43" t="s">
        <v>76</v>
      </c>
      <c r="GF6" s="42">
        <v>2</v>
      </c>
      <c r="GG6" s="42">
        <v>6</v>
      </c>
      <c r="GH6" s="42">
        <v>6</v>
      </c>
      <c r="GI6" s="42">
        <v>6</v>
      </c>
      <c r="GJ6" s="42">
        <v>6</v>
      </c>
      <c r="GK6" s="42">
        <v>6</v>
      </c>
      <c r="GL6" s="42">
        <v>6</v>
      </c>
      <c r="GM6">
        <v>3</v>
      </c>
      <c r="GN6">
        <v>8</v>
      </c>
      <c r="GO6">
        <v>8</v>
      </c>
      <c r="GP6">
        <v>8</v>
      </c>
      <c r="GQ6" s="42">
        <v>8</v>
      </c>
      <c r="GR6" s="42">
        <v>8</v>
      </c>
      <c r="GS6" s="42">
        <v>8</v>
      </c>
    </row>
    <row r="7" spans="1:201" x14ac:dyDescent="0.35">
      <c r="A7" s="11">
        <v>6</v>
      </c>
      <c r="B7" s="11">
        <v>6</v>
      </c>
      <c r="C7" s="11">
        <v>6</v>
      </c>
      <c r="D7" s="11">
        <v>6</v>
      </c>
      <c r="E7" s="11">
        <v>6</v>
      </c>
      <c r="F7" s="11">
        <v>6</v>
      </c>
      <c r="G7" s="11">
        <v>12</v>
      </c>
      <c r="H7" s="11">
        <v>12</v>
      </c>
      <c r="I7" s="11">
        <v>12</v>
      </c>
      <c r="J7" s="11">
        <v>12</v>
      </c>
      <c r="K7" s="11">
        <v>12</v>
      </c>
      <c r="L7" s="11">
        <v>15</v>
      </c>
      <c r="M7" s="11">
        <v>12</v>
      </c>
      <c r="N7" s="11">
        <v>12</v>
      </c>
      <c r="O7" s="11">
        <v>6</v>
      </c>
      <c r="P7" s="11">
        <v>6</v>
      </c>
      <c r="Q7" s="11">
        <v>5</v>
      </c>
      <c r="R7" s="11">
        <v>5</v>
      </c>
      <c r="S7" s="11">
        <v>5</v>
      </c>
      <c r="T7" s="11">
        <v>5</v>
      </c>
      <c r="U7" s="11">
        <v>5</v>
      </c>
      <c r="V7" s="11">
        <v>5</v>
      </c>
      <c r="W7" s="11">
        <v>3</v>
      </c>
      <c r="X7" s="11">
        <v>3</v>
      </c>
      <c r="Y7" s="11">
        <v>3</v>
      </c>
      <c r="Z7" s="11">
        <v>5</v>
      </c>
      <c r="AA7" s="11">
        <v>5</v>
      </c>
      <c r="AB7" s="11">
        <v>5</v>
      </c>
      <c r="AC7" s="11">
        <v>4</v>
      </c>
      <c r="AD7" s="11">
        <v>4</v>
      </c>
      <c r="AE7" s="11">
        <v>4</v>
      </c>
      <c r="AF7" s="11">
        <v>5</v>
      </c>
      <c r="AG7" s="11">
        <v>5</v>
      </c>
      <c r="AH7" s="11">
        <v>5</v>
      </c>
      <c r="AI7" s="11">
        <v>5</v>
      </c>
      <c r="AJ7" s="11">
        <v>5</v>
      </c>
      <c r="AK7" s="11">
        <v>5</v>
      </c>
      <c r="AL7" s="11">
        <v>40</v>
      </c>
      <c r="AM7" s="11">
        <v>40</v>
      </c>
      <c r="AN7" s="11">
        <v>40</v>
      </c>
      <c r="AO7" s="11">
        <v>15</v>
      </c>
      <c r="AP7" s="11">
        <v>15</v>
      </c>
      <c r="AQ7" s="11">
        <v>15</v>
      </c>
      <c r="AR7" s="11">
        <v>15</v>
      </c>
      <c r="AS7" s="11">
        <v>15</v>
      </c>
      <c r="AT7" s="11">
        <v>15</v>
      </c>
      <c r="AU7" s="11">
        <v>15</v>
      </c>
      <c r="AV7" s="11">
        <v>15</v>
      </c>
      <c r="AW7" s="11">
        <v>15</v>
      </c>
      <c r="AX7" s="11">
        <v>12</v>
      </c>
      <c r="AY7" s="11">
        <v>12</v>
      </c>
      <c r="AZ7" s="11">
        <v>12</v>
      </c>
      <c r="BA7" s="11">
        <v>12</v>
      </c>
      <c r="BB7" s="11">
        <v>12</v>
      </c>
      <c r="BC7" s="11">
        <v>12</v>
      </c>
      <c r="BD7" s="11">
        <v>12</v>
      </c>
      <c r="BE7" s="11">
        <v>6</v>
      </c>
      <c r="BF7" s="11">
        <v>6</v>
      </c>
      <c r="BG7" s="11">
        <v>10</v>
      </c>
      <c r="BH7" s="11">
        <v>10</v>
      </c>
      <c r="BI7" s="11">
        <v>3</v>
      </c>
      <c r="BJ7" s="11">
        <v>15</v>
      </c>
      <c r="BK7" s="11">
        <v>15</v>
      </c>
      <c r="BL7" s="11">
        <v>20</v>
      </c>
      <c r="BM7" s="11">
        <v>20</v>
      </c>
      <c r="BN7" s="11">
        <v>60</v>
      </c>
      <c r="BO7" s="11">
        <v>30</v>
      </c>
      <c r="BP7" s="11">
        <v>30</v>
      </c>
      <c r="BQ7" s="42">
        <v>30</v>
      </c>
      <c r="BR7" s="42">
        <v>30</v>
      </c>
      <c r="BS7" s="11">
        <v>40</v>
      </c>
      <c r="BT7" s="11">
        <v>40</v>
      </c>
      <c r="BU7" s="11">
        <v>30</v>
      </c>
      <c r="BV7" s="11">
        <v>30</v>
      </c>
      <c r="BW7" s="11">
        <v>14</v>
      </c>
      <c r="BX7" s="11">
        <v>14</v>
      </c>
      <c r="BY7" s="11">
        <v>14</v>
      </c>
      <c r="BZ7" s="11">
        <v>9</v>
      </c>
      <c r="CA7" s="11">
        <v>6</v>
      </c>
      <c r="CB7" s="11">
        <v>6</v>
      </c>
      <c r="CC7" s="11">
        <v>6</v>
      </c>
      <c r="CD7" s="11">
        <v>4</v>
      </c>
      <c r="CE7" s="11">
        <v>4</v>
      </c>
      <c r="CF7">
        <v>5</v>
      </c>
      <c r="CG7" s="30">
        <v>5</v>
      </c>
      <c r="CH7" s="30">
        <v>5</v>
      </c>
      <c r="CI7">
        <v>5</v>
      </c>
      <c r="CJ7" s="31">
        <v>5</v>
      </c>
      <c r="CK7" s="31">
        <v>5</v>
      </c>
      <c r="CL7" s="31">
        <v>3</v>
      </c>
      <c r="CM7" s="31">
        <v>3</v>
      </c>
      <c r="CN7" s="33">
        <v>3</v>
      </c>
      <c r="CO7" s="34">
        <v>3</v>
      </c>
      <c r="CP7" s="36">
        <v>3</v>
      </c>
      <c r="CQ7">
        <v>6</v>
      </c>
      <c r="CR7" s="35">
        <v>6</v>
      </c>
      <c r="CS7" s="37" t="s">
        <v>76</v>
      </c>
      <c r="CT7" s="37">
        <v>12</v>
      </c>
      <c r="CU7" s="40">
        <v>12</v>
      </c>
      <c r="CV7" s="40">
        <v>12</v>
      </c>
      <c r="CW7" s="40">
        <v>12</v>
      </c>
      <c r="CX7" s="41">
        <v>12</v>
      </c>
      <c r="CY7" s="41">
        <v>12</v>
      </c>
      <c r="CZ7" s="41">
        <v>12</v>
      </c>
      <c r="DA7" s="42">
        <v>15</v>
      </c>
      <c r="DB7" s="42">
        <v>15</v>
      </c>
      <c r="DC7" s="42">
        <v>15</v>
      </c>
      <c r="DD7" s="42">
        <v>15</v>
      </c>
      <c r="DE7" s="42">
        <v>15</v>
      </c>
      <c r="DF7" s="42">
        <v>10</v>
      </c>
      <c r="DG7" s="42">
        <v>10</v>
      </c>
      <c r="DH7" s="42">
        <v>12</v>
      </c>
      <c r="DI7" s="42">
        <v>12</v>
      </c>
      <c r="DJ7" s="42">
        <v>12</v>
      </c>
      <c r="DK7" s="42">
        <v>9</v>
      </c>
      <c r="DL7" s="42">
        <v>9</v>
      </c>
      <c r="DM7" s="42">
        <v>9</v>
      </c>
      <c r="DN7" s="42">
        <v>3</v>
      </c>
      <c r="DO7" s="42">
        <v>3</v>
      </c>
      <c r="DP7" s="42">
        <v>3</v>
      </c>
      <c r="DQ7" s="42">
        <v>6</v>
      </c>
      <c r="DR7" s="42">
        <v>6</v>
      </c>
      <c r="DS7" s="42">
        <v>6</v>
      </c>
      <c r="DT7" s="42">
        <v>8.5</v>
      </c>
      <c r="DU7" s="42">
        <v>8.5</v>
      </c>
      <c r="DV7" s="42">
        <v>8.5</v>
      </c>
      <c r="DW7" s="42">
        <v>9</v>
      </c>
      <c r="DX7" s="42">
        <v>9</v>
      </c>
      <c r="DY7" s="42">
        <v>9</v>
      </c>
      <c r="DZ7" s="42">
        <v>9</v>
      </c>
      <c r="EA7" s="42">
        <v>9</v>
      </c>
      <c r="EB7" s="42">
        <v>9</v>
      </c>
      <c r="EC7" s="42">
        <v>6</v>
      </c>
      <c r="ED7" s="42">
        <v>6</v>
      </c>
      <c r="EE7" s="42">
        <v>8</v>
      </c>
      <c r="EF7" s="42">
        <v>8</v>
      </c>
      <c r="EG7" s="42">
        <v>8</v>
      </c>
      <c r="EH7" s="42">
        <v>8</v>
      </c>
      <c r="EI7" s="42">
        <v>8</v>
      </c>
      <c r="EJ7" s="42">
        <v>8</v>
      </c>
      <c r="EK7" s="42">
        <v>5</v>
      </c>
      <c r="EL7" s="42">
        <v>5</v>
      </c>
      <c r="EM7" s="42">
        <v>5</v>
      </c>
      <c r="EN7" s="42">
        <v>9</v>
      </c>
      <c r="EO7" s="42">
        <v>9</v>
      </c>
      <c r="EP7" s="42">
        <v>9</v>
      </c>
      <c r="EQ7" s="42">
        <v>9</v>
      </c>
      <c r="ER7" s="42">
        <v>9</v>
      </c>
      <c r="ES7" s="42">
        <v>9</v>
      </c>
      <c r="ET7" s="42">
        <v>15</v>
      </c>
      <c r="EU7" s="42">
        <v>15</v>
      </c>
      <c r="EV7" s="42">
        <v>15</v>
      </c>
      <c r="EW7" s="42">
        <v>16</v>
      </c>
      <c r="EX7" s="42">
        <v>9</v>
      </c>
      <c r="EY7" s="42">
        <v>9</v>
      </c>
      <c r="EZ7">
        <v>4</v>
      </c>
      <c r="FA7" s="42">
        <v>6</v>
      </c>
      <c r="FB7" s="42">
        <v>6</v>
      </c>
      <c r="FC7" s="42">
        <v>6</v>
      </c>
      <c r="FD7" s="42">
        <v>7</v>
      </c>
      <c r="FE7" s="42">
        <v>7</v>
      </c>
      <c r="FF7" s="42">
        <v>7</v>
      </c>
      <c r="FG7" s="42">
        <v>6</v>
      </c>
      <c r="FH7" s="42">
        <v>6</v>
      </c>
      <c r="FI7" s="42">
        <v>8</v>
      </c>
      <c r="FJ7" s="42">
        <v>2.5</v>
      </c>
      <c r="FK7" s="42">
        <v>2.5</v>
      </c>
      <c r="FL7" s="43" t="s">
        <v>76</v>
      </c>
      <c r="FM7">
        <v>8</v>
      </c>
      <c r="FN7">
        <v>8</v>
      </c>
      <c r="FO7">
        <v>40</v>
      </c>
      <c r="FP7">
        <v>67</v>
      </c>
      <c r="FQ7">
        <v>3</v>
      </c>
      <c r="FR7">
        <v>3</v>
      </c>
      <c r="FS7" s="42">
        <v>40</v>
      </c>
      <c r="FT7" s="42">
        <v>40</v>
      </c>
      <c r="FU7" s="42">
        <v>20</v>
      </c>
      <c r="FV7" s="42">
        <v>20</v>
      </c>
      <c r="FW7" s="48">
        <v>9</v>
      </c>
      <c r="FX7" s="48">
        <v>14</v>
      </c>
      <c r="FY7" s="43" t="s">
        <v>76</v>
      </c>
      <c r="FZ7" s="42">
        <v>6</v>
      </c>
      <c r="GA7" s="42">
        <v>6</v>
      </c>
      <c r="GB7" s="42">
        <v>6</v>
      </c>
      <c r="GC7" s="42">
        <v>5</v>
      </c>
      <c r="GD7" s="42">
        <v>5</v>
      </c>
      <c r="GE7" s="43" t="s">
        <v>76</v>
      </c>
      <c r="GF7" s="42">
        <v>3</v>
      </c>
      <c r="GG7" s="42">
        <v>9</v>
      </c>
      <c r="GH7" s="42">
        <v>9</v>
      </c>
      <c r="GI7" s="42">
        <v>9</v>
      </c>
      <c r="GJ7" s="42">
        <v>9</v>
      </c>
      <c r="GK7" s="42">
        <v>8.75</v>
      </c>
      <c r="GL7" s="42">
        <v>8.5</v>
      </c>
      <c r="GM7">
        <v>4</v>
      </c>
      <c r="GN7">
        <v>12</v>
      </c>
      <c r="GO7">
        <v>12</v>
      </c>
      <c r="GP7">
        <v>12</v>
      </c>
      <c r="GQ7" s="42">
        <v>12</v>
      </c>
      <c r="GR7" s="42">
        <v>12</v>
      </c>
      <c r="GS7" s="42">
        <v>12</v>
      </c>
    </row>
    <row r="8" spans="1:201" x14ac:dyDescent="0.35">
      <c r="A8" s="11">
        <v>7.5</v>
      </c>
      <c r="B8" s="11">
        <v>7.5</v>
      </c>
      <c r="C8" s="11">
        <v>7.5</v>
      </c>
      <c r="D8" s="11">
        <v>8.5</v>
      </c>
      <c r="E8" s="11">
        <v>8.5</v>
      </c>
      <c r="F8" s="11">
        <v>8.5</v>
      </c>
      <c r="G8" s="11">
        <v>16</v>
      </c>
      <c r="H8" s="11">
        <v>16</v>
      </c>
      <c r="I8" s="11">
        <v>16</v>
      </c>
      <c r="J8" s="11">
        <v>13</v>
      </c>
      <c r="K8" s="11">
        <v>13</v>
      </c>
      <c r="L8" s="11">
        <v>20</v>
      </c>
      <c r="M8" s="11">
        <v>15.5</v>
      </c>
      <c r="N8" s="11">
        <v>15.5</v>
      </c>
      <c r="O8" s="11">
        <v>12</v>
      </c>
      <c r="P8" s="11">
        <v>12</v>
      </c>
      <c r="Q8" s="11">
        <v>5.5</v>
      </c>
      <c r="R8" s="11">
        <v>5.5</v>
      </c>
      <c r="S8" s="11">
        <v>5.5</v>
      </c>
      <c r="T8" s="11">
        <v>7</v>
      </c>
      <c r="U8" s="11">
        <v>7</v>
      </c>
      <c r="V8" s="11">
        <v>7</v>
      </c>
      <c r="W8" s="11">
        <v>5</v>
      </c>
      <c r="X8" s="11">
        <v>5</v>
      </c>
      <c r="Y8" s="11">
        <v>5</v>
      </c>
      <c r="Z8" s="11">
        <v>7</v>
      </c>
      <c r="AA8" s="11">
        <v>7</v>
      </c>
      <c r="AB8" s="11">
        <v>7</v>
      </c>
      <c r="AC8" s="11">
        <v>5.5</v>
      </c>
      <c r="AD8" s="11">
        <v>5.5</v>
      </c>
      <c r="AE8" s="11">
        <v>5.5</v>
      </c>
      <c r="AF8" s="11">
        <v>6</v>
      </c>
      <c r="AG8" s="11">
        <v>6</v>
      </c>
      <c r="AH8" s="11">
        <v>6</v>
      </c>
      <c r="AI8" s="11">
        <v>6</v>
      </c>
      <c r="AJ8" s="11">
        <v>6</v>
      </c>
      <c r="AK8" s="11">
        <v>6</v>
      </c>
      <c r="AL8" s="11">
        <v>50</v>
      </c>
      <c r="AM8" s="11">
        <v>50</v>
      </c>
      <c r="AN8" s="11">
        <v>50</v>
      </c>
      <c r="AO8" s="11">
        <v>20</v>
      </c>
      <c r="AP8" s="11">
        <v>20</v>
      </c>
      <c r="AQ8" s="11">
        <v>20</v>
      </c>
      <c r="AR8" s="11">
        <v>20</v>
      </c>
      <c r="AS8" s="11">
        <v>20</v>
      </c>
      <c r="AT8" s="11">
        <v>20</v>
      </c>
      <c r="AU8" s="11">
        <v>18</v>
      </c>
      <c r="AV8" s="11">
        <v>18</v>
      </c>
      <c r="AW8" s="11">
        <v>18</v>
      </c>
      <c r="AX8" s="11">
        <v>14</v>
      </c>
      <c r="AY8" s="11">
        <v>14</v>
      </c>
      <c r="AZ8" s="11">
        <f>AVERAGE(9,13,17)</f>
        <v>13</v>
      </c>
      <c r="BA8" s="11">
        <f>AVERAGE(9,13,17)</f>
        <v>13</v>
      </c>
      <c r="BB8" s="11">
        <f>AVERAGE(9,13,17)</f>
        <v>13</v>
      </c>
      <c r="BC8" s="11">
        <v>14.5</v>
      </c>
      <c r="BD8" s="11">
        <v>14.5</v>
      </c>
      <c r="BE8" s="11">
        <v>7</v>
      </c>
      <c r="BF8" s="11">
        <v>7</v>
      </c>
      <c r="BG8" s="11">
        <v>15</v>
      </c>
      <c r="BH8" s="11">
        <v>15</v>
      </c>
      <c r="BI8" s="11">
        <v>5</v>
      </c>
      <c r="BJ8" s="11">
        <v>20</v>
      </c>
      <c r="BK8" s="11">
        <v>20</v>
      </c>
      <c r="BL8" s="11">
        <v>24</v>
      </c>
      <c r="BM8" s="11">
        <v>24</v>
      </c>
      <c r="BN8" s="11">
        <v>80</v>
      </c>
      <c r="BO8" s="11">
        <v>37</v>
      </c>
      <c r="BP8" s="11">
        <v>37</v>
      </c>
      <c r="BQ8" s="42">
        <v>40</v>
      </c>
      <c r="BR8" s="42">
        <v>40</v>
      </c>
      <c r="BS8" s="11">
        <v>47</v>
      </c>
      <c r="BT8" s="11">
        <v>47</v>
      </c>
      <c r="BU8" s="11">
        <v>40</v>
      </c>
      <c r="BV8" s="11">
        <v>40</v>
      </c>
      <c r="BW8" s="11">
        <v>18</v>
      </c>
      <c r="BX8" s="11">
        <v>18</v>
      </c>
      <c r="BY8" s="11">
        <v>18</v>
      </c>
      <c r="BZ8" s="11">
        <v>12</v>
      </c>
      <c r="CA8" s="11">
        <v>8</v>
      </c>
      <c r="CB8" s="11">
        <v>8</v>
      </c>
      <c r="CC8" s="11">
        <v>8</v>
      </c>
      <c r="CD8" s="11">
        <v>5</v>
      </c>
      <c r="CE8" s="11">
        <v>5</v>
      </c>
      <c r="CF8">
        <v>7</v>
      </c>
      <c r="CG8" s="30">
        <v>7</v>
      </c>
      <c r="CH8" s="30">
        <v>7</v>
      </c>
      <c r="CI8">
        <v>7</v>
      </c>
      <c r="CJ8" s="31">
        <v>7</v>
      </c>
      <c r="CK8" s="31">
        <v>7</v>
      </c>
      <c r="CL8" s="31">
        <v>4</v>
      </c>
      <c r="CM8" s="31">
        <v>4</v>
      </c>
      <c r="CN8" s="33">
        <v>4</v>
      </c>
      <c r="CO8" s="34">
        <v>4</v>
      </c>
      <c r="CP8" s="36">
        <v>4</v>
      </c>
      <c r="CQ8">
        <v>8</v>
      </c>
      <c r="CR8" s="35">
        <v>8</v>
      </c>
      <c r="CS8" s="37">
        <v>14</v>
      </c>
      <c r="CT8" s="37">
        <v>14</v>
      </c>
      <c r="CU8" s="40">
        <v>16</v>
      </c>
      <c r="CV8" s="40">
        <v>16</v>
      </c>
      <c r="CW8" s="40">
        <v>16</v>
      </c>
      <c r="CX8" s="41">
        <v>14</v>
      </c>
      <c r="CY8" s="41">
        <v>14</v>
      </c>
      <c r="CZ8" s="41">
        <v>14</v>
      </c>
      <c r="DA8" s="42">
        <v>20</v>
      </c>
      <c r="DB8" s="42">
        <v>20</v>
      </c>
      <c r="DC8" s="42">
        <v>20</v>
      </c>
      <c r="DD8" s="42">
        <v>20</v>
      </c>
      <c r="DE8" s="42">
        <v>20</v>
      </c>
      <c r="DF8" s="42">
        <v>12</v>
      </c>
      <c r="DG8" s="42">
        <v>12</v>
      </c>
      <c r="DH8" s="42">
        <v>16</v>
      </c>
      <c r="DI8" s="42">
        <v>16</v>
      </c>
      <c r="DJ8" s="42">
        <v>16</v>
      </c>
      <c r="DK8" s="42">
        <v>12</v>
      </c>
      <c r="DL8" s="42">
        <v>12</v>
      </c>
      <c r="DM8" s="42">
        <v>12</v>
      </c>
      <c r="DN8" s="43" t="s">
        <v>76</v>
      </c>
      <c r="DO8">
        <v>3.5</v>
      </c>
      <c r="DP8" s="43" t="s">
        <v>76</v>
      </c>
      <c r="DQ8" s="42">
        <v>7.5</v>
      </c>
      <c r="DR8" s="42">
        <v>7.5</v>
      </c>
      <c r="DS8" s="42">
        <v>7.5</v>
      </c>
      <c r="DT8" t="s">
        <v>76</v>
      </c>
      <c r="DU8" s="42" t="s">
        <v>76</v>
      </c>
      <c r="DV8" s="42" t="s">
        <v>76</v>
      </c>
      <c r="DW8" s="42">
        <v>10</v>
      </c>
      <c r="DX8" s="42">
        <v>10</v>
      </c>
      <c r="DY8" s="42">
        <v>10</v>
      </c>
      <c r="DZ8" s="42">
        <v>10.5</v>
      </c>
      <c r="EA8" s="42">
        <v>10.5</v>
      </c>
      <c r="EB8" s="42">
        <v>10.5</v>
      </c>
      <c r="EC8" t="s">
        <v>76</v>
      </c>
      <c r="ED8" t="s">
        <v>76</v>
      </c>
      <c r="EE8" s="42">
        <v>10</v>
      </c>
      <c r="EF8" s="42">
        <v>10</v>
      </c>
      <c r="EG8" s="42">
        <v>10</v>
      </c>
      <c r="EH8" s="42">
        <v>10</v>
      </c>
      <c r="EI8" s="42">
        <v>10</v>
      </c>
      <c r="EJ8" s="42">
        <v>10</v>
      </c>
      <c r="EK8" s="42">
        <v>6</v>
      </c>
      <c r="EL8" s="42">
        <v>6</v>
      </c>
      <c r="EM8" s="42">
        <v>6</v>
      </c>
      <c r="EN8" s="42">
        <v>12</v>
      </c>
      <c r="EO8" s="42">
        <v>12</v>
      </c>
      <c r="EP8" s="42">
        <v>12</v>
      </c>
      <c r="EQ8" s="42">
        <v>12</v>
      </c>
      <c r="ER8" s="42">
        <v>12</v>
      </c>
      <c r="ES8" s="42">
        <v>12</v>
      </c>
      <c r="ET8" s="42">
        <v>19</v>
      </c>
      <c r="EU8" s="42">
        <v>19</v>
      </c>
      <c r="EV8" s="42">
        <v>19</v>
      </c>
      <c r="EW8" s="43" t="s">
        <v>76</v>
      </c>
      <c r="EX8" s="42">
        <v>12</v>
      </c>
      <c r="EY8" s="42">
        <v>12</v>
      </c>
      <c r="EZ8" s="43" t="s">
        <v>76</v>
      </c>
      <c r="FA8" s="42">
        <v>7</v>
      </c>
      <c r="FB8" s="42">
        <v>7</v>
      </c>
      <c r="FC8" s="42">
        <v>7</v>
      </c>
      <c r="FD8" s="43" t="s">
        <v>76</v>
      </c>
      <c r="FE8" s="43" t="s">
        <v>76</v>
      </c>
      <c r="FF8" s="43" t="s">
        <v>76</v>
      </c>
      <c r="FG8" s="42">
        <v>6.5</v>
      </c>
      <c r="FH8" s="42">
        <v>6.5</v>
      </c>
      <c r="FI8" s="42">
        <v>10</v>
      </c>
      <c r="FJ8" s="42">
        <v>3.25</v>
      </c>
      <c r="FK8" s="42">
        <v>3.75</v>
      </c>
      <c r="FL8" s="43" t="s">
        <v>76</v>
      </c>
      <c r="FM8">
        <v>9</v>
      </c>
      <c r="FN8">
        <v>8.5</v>
      </c>
      <c r="FO8">
        <v>63</v>
      </c>
      <c r="FP8" s="43" t="s">
        <v>76</v>
      </c>
      <c r="FQ8">
        <v>4</v>
      </c>
      <c r="FR8">
        <v>3.75</v>
      </c>
      <c r="FS8" s="42">
        <v>45</v>
      </c>
      <c r="FT8" s="42">
        <v>50</v>
      </c>
      <c r="FU8" s="42">
        <v>36</v>
      </c>
      <c r="FV8" s="42">
        <v>35</v>
      </c>
      <c r="FW8" s="48">
        <v>10</v>
      </c>
      <c r="FX8" s="43" t="s">
        <v>76</v>
      </c>
      <c r="FY8" s="43" t="s">
        <v>76</v>
      </c>
      <c r="FZ8" s="42">
        <v>8</v>
      </c>
      <c r="GA8" s="43" t="s">
        <v>76</v>
      </c>
      <c r="GB8" s="42">
        <v>8</v>
      </c>
      <c r="GC8" s="42">
        <v>9</v>
      </c>
      <c r="GD8" s="42">
        <v>10</v>
      </c>
      <c r="GE8" s="43" t="s">
        <v>76</v>
      </c>
      <c r="GF8" s="42">
        <v>4</v>
      </c>
      <c r="GG8" s="42">
        <v>12</v>
      </c>
      <c r="GH8" s="42">
        <v>12</v>
      </c>
      <c r="GI8" s="42">
        <v>13</v>
      </c>
      <c r="GJ8" s="42">
        <v>13</v>
      </c>
      <c r="GK8" s="43" t="s">
        <v>76</v>
      </c>
      <c r="GL8" s="43" t="s">
        <v>76</v>
      </c>
      <c r="GM8" s="43" t="s">
        <v>76</v>
      </c>
      <c r="GN8">
        <v>15</v>
      </c>
      <c r="GO8">
        <v>16</v>
      </c>
      <c r="GP8">
        <v>16</v>
      </c>
      <c r="GQ8" s="42">
        <v>16</v>
      </c>
      <c r="GR8" s="42">
        <v>14</v>
      </c>
      <c r="GS8" s="43" t="s">
        <v>76</v>
      </c>
    </row>
    <row r="9" spans="1:201" x14ac:dyDescent="0.35">
      <c r="A9" s="42" t="s">
        <v>76</v>
      </c>
      <c r="B9" s="42" t="s">
        <v>76</v>
      </c>
      <c r="C9" s="42" t="s">
        <v>76</v>
      </c>
      <c r="D9" s="42" t="s">
        <v>76</v>
      </c>
      <c r="E9" s="42" t="s">
        <v>76</v>
      </c>
      <c r="F9" s="42" t="s">
        <v>76</v>
      </c>
      <c r="G9" s="42" t="s">
        <v>76</v>
      </c>
      <c r="H9" s="42" t="s">
        <v>76</v>
      </c>
      <c r="I9" s="42" t="s">
        <v>76</v>
      </c>
      <c r="J9" s="42" t="s">
        <v>76</v>
      </c>
      <c r="K9" s="42" t="s">
        <v>76</v>
      </c>
      <c r="L9" s="11">
        <v>22</v>
      </c>
      <c r="M9" s="42" t="s">
        <v>76</v>
      </c>
      <c r="N9" s="42" t="s">
        <v>76</v>
      </c>
      <c r="O9" s="42" t="s">
        <v>76</v>
      </c>
      <c r="P9" s="42" t="s">
        <v>76</v>
      </c>
      <c r="Q9" s="11">
        <v>7.5</v>
      </c>
      <c r="R9" s="11" t="s">
        <v>76</v>
      </c>
      <c r="S9" s="11" t="s">
        <v>76</v>
      </c>
      <c r="T9" s="42" t="s">
        <v>76</v>
      </c>
      <c r="U9" s="42" t="s">
        <v>76</v>
      </c>
      <c r="V9" s="42" t="s">
        <v>76</v>
      </c>
      <c r="W9" s="42" t="s">
        <v>76</v>
      </c>
      <c r="X9" s="42" t="s">
        <v>76</v>
      </c>
      <c r="Y9" s="42" t="s">
        <v>76</v>
      </c>
      <c r="Z9" s="42" t="s">
        <v>76</v>
      </c>
      <c r="AA9" s="42" t="s">
        <v>76</v>
      </c>
      <c r="AB9" s="42" t="s">
        <v>76</v>
      </c>
      <c r="AC9" s="42" t="s">
        <v>76</v>
      </c>
      <c r="AD9" s="42" t="s">
        <v>76</v>
      </c>
      <c r="AE9" s="42" t="s">
        <v>76</v>
      </c>
      <c r="AF9" s="42" t="s">
        <v>76</v>
      </c>
      <c r="AG9" s="42" t="s">
        <v>76</v>
      </c>
      <c r="AH9" s="42" t="s">
        <v>76</v>
      </c>
      <c r="AI9" s="42" t="s">
        <v>76</v>
      </c>
      <c r="AJ9" s="42" t="s">
        <v>76</v>
      </c>
      <c r="AK9" s="42" t="s">
        <v>76</v>
      </c>
      <c r="AL9" s="42" t="s">
        <v>76</v>
      </c>
      <c r="AM9" s="42" t="s">
        <v>76</v>
      </c>
      <c r="AN9" s="42" t="s">
        <v>76</v>
      </c>
      <c r="AO9" s="42" t="s">
        <v>76</v>
      </c>
      <c r="AP9" s="42" t="s">
        <v>76</v>
      </c>
      <c r="AQ9" s="42" t="s">
        <v>76</v>
      </c>
      <c r="AR9" s="42" t="s">
        <v>76</v>
      </c>
      <c r="AS9" s="42" t="s">
        <v>76</v>
      </c>
      <c r="AT9" s="42" t="s">
        <v>76</v>
      </c>
      <c r="AU9" s="42" t="s">
        <v>76</v>
      </c>
      <c r="AV9" s="42" t="s">
        <v>76</v>
      </c>
      <c r="AW9" s="42" t="s">
        <v>76</v>
      </c>
      <c r="AX9" s="42" t="s">
        <v>76</v>
      </c>
      <c r="AY9" s="42" t="s">
        <v>76</v>
      </c>
      <c r="AZ9" s="42" t="s">
        <v>76</v>
      </c>
      <c r="BA9" s="42" t="s">
        <v>76</v>
      </c>
      <c r="BB9" s="42" t="s">
        <v>76</v>
      </c>
      <c r="BC9" s="42" t="s">
        <v>76</v>
      </c>
      <c r="BD9" s="42" t="s">
        <v>76</v>
      </c>
      <c r="BE9" s="42" t="s">
        <v>76</v>
      </c>
      <c r="BF9" s="42" t="s">
        <v>76</v>
      </c>
      <c r="BG9" s="42" t="s">
        <v>76</v>
      </c>
      <c r="BH9" s="42" t="s">
        <v>76</v>
      </c>
      <c r="BI9" s="42" t="s">
        <v>76</v>
      </c>
      <c r="BJ9" s="42" t="s">
        <v>76</v>
      </c>
      <c r="BK9" s="42" t="s">
        <v>76</v>
      </c>
      <c r="BL9" s="42" t="s">
        <v>76</v>
      </c>
      <c r="BM9" s="42" t="s">
        <v>76</v>
      </c>
      <c r="BN9" s="42" t="s">
        <v>76</v>
      </c>
      <c r="BO9" s="42" t="s">
        <v>76</v>
      </c>
      <c r="BP9" s="42" t="s">
        <v>76</v>
      </c>
      <c r="BQ9" s="42" t="s">
        <v>76</v>
      </c>
      <c r="BR9" s="42" t="s">
        <v>76</v>
      </c>
      <c r="BS9" s="42" t="s">
        <v>76</v>
      </c>
      <c r="BT9" t="s">
        <v>76</v>
      </c>
      <c r="BU9" s="11">
        <v>50</v>
      </c>
      <c r="BV9" s="11">
        <v>50</v>
      </c>
      <c r="BW9" s="11">
        <v>22</v>
      </c>
      <c r="BX9" s="11">
        <v>22</v>
      </c>
      <c r="BY9" s="11">
        <v>22</v>
      </c>
      <c r="BZ9" s="11">
        <v>14.5</v>
      </c>
      <c r="CA9" s="43" t="s">
        <v>76</v>
      </c>
      <c r="CB9" s="43" t="s">
        <v>76</v>
      </c>
      <c r="CC9" s="43" t="s">
        <v>76</v>
      </c>
      <c r="CD9" s="11">
        <v>6</v>
      </c>
      <c r="CE9" s="11">
        <v>6</v>
      </c>
      <c r="CF9">
        <v>8</v>
      </c>
      <c r="CG9" s="30">
        <v>8</v>
      </c>
      <c r="CH9" s="30">
        <v>8</v>
      </c>
      <c r="CI9" s="43" t="s">
        <v>76</v>
      </c>
      <c r="CJ9" s="43" t="s">
        <v>76</v>
      </c>
      <c r="CK9" s="43" t="s">
        <v>76</v>
      </c>
      <c r="CL9" s="43" t="s">
        <v>76</v>
      </c>
      <c r="CM9" s="43" t="s">
        <v>76</v>
      </c>
      <c r="CN9" s="43" t="s">
        <v>76</v>
      </c>
      <c r="CO9" s="43" t="s">
        <v>76</v>
      </c>
      <c r="CP9" s="43" t="s">
        <v>76</v>
      </c>
      <c r="CQ9" s="43" t="s">
        <v>76</v>
      </c>
      <c r="CR9" s="43" t="s">
        <v>76</v>
      </c>
      <c r="CS9" s="43" t="s">
        <v>76</v>
      </c>
      <c r="CT9" s="43" t="s">
        <v>76</v>
      </c>
      <c r="CU9" s="43" t="s">
        <v>76</v>
      </c>
      <c r="CV9" s="43" t="s">
        <v>76</v>
      </c>
      <c r="CW9" s="43" t="s">
        <v>76</v>
      </c>
      <c r="CX9" s="43" t="s">
        <v>76</v>
      </c>
      <c r="CY9" s="43" t="s">
        <v>76</v>
      </c>
      <c r="CZ9" s="43" t="s">
        <v>76</v>
      </c>
      <c r="DA9" s="43" t="s">
        <v>76</v>
      </c>
      <c r="DB9" s="43" t="s">
        <v>76</v>
      </c>
      <c r="DC9" s="43" t="s">
        <v>76</v>
      </c>
      <c r="DD9" s="42">
        <v>24</v>
      </c>
      <c r="DE9" s="42">
        <v>24</v>
      </c>
      <c r="DF9" s="43" t="s">
        <v>76</v>
      </c>
      <c r="DG9" s="43" t="s">
        <v>76</v>
      </c>
      <c r="DH9" s="43" t="s">
        <v>76</v>
      </c>
      <c r="DI9" s="43" t="s">
        <v>76</v>
      </c>
      <c r="DJ9" s="43" t="s">
        <v>76</v>
      </c>
      <c r="DK9" s="43" t="s">
        <v>76</v>
      </c>
      <c r="DL9" s="43" t="s">
        <v>76</v>
      </c>
      <c r="DM9" s="43" t="s">
        <v>76</v>
      </c>
      <c r="DN9" s="43" t="s">
        <v>76</v>
      </c>
      <c r="DO9" s="43" t="s">
        <v>76</v>
      </c>
      <c r="DP9" s="43" t="s">
        <v>76</v>
      </c>
      <c r="DQ9" s="43" t="s">
        <v>76</v>
      </c>
      <c r="DR9" s="43" t="s">
        <v>76</v>
      </c>
      <c r="DS9" s="43" t="s">
        <v>76</v>
      </c>
      <c r="DT9" s="43" t="s">
        <v>76</v>
      </c>
      <c r="DU9" s="43" t="s">
        <v>76</v>
      </c>
      <c r="DV9" s="43" t="s">
        <v>76</v>
      </c>
      <c r="DW9" s="43" t="s">
        <v>76</v>
      </c>
      <c r="DX9" s="43" t="s">
        <v>76</v>
      </c>
      <c r="DY9" s="43" t="s">
        <v>76</v>
      </c>
      <c r="DZ9" s="43" t="s">
        <v>76</v>
      </c>
      <c r="EA9" s="43" t="s">
        <v>76</v>
      </c>
      <c r="EB9" s="43" t="s">
        <v>76</v>
      </c>
      <c r="EC9" s="43" t="s">
        <v>76</v>
      </c>
      <c r="ED9" s="43" t="s">
        <v>76</v>
      </c>
      <c r="EE9" s="43" t="s">
        <v>76</v>
      </c>
      <c r="EF9" s="43" t="s">
        <v>76</v>
      </c>
      <c r="EG9" s="43" t="s">
        <v>76</v>
      </c>
      <c r="EH9" s="42">
        <v>11</v>
      </c>
      <c r="EI9" s="42">
        <v>11</v>
      </c>
      <c r="EJ9" s="42">
        <v>11</v>
      </c>
      <c r="EK9" s="43" t="s">
        <v>76</v>
      </c>
      <c r="EL9" s="43" t="s">
        <v>76</v>
      </c>
      <c r="EM9" s="43" t="s">
        <v>76</v>
      </c>
      <c r="EN9" s="42">
        <v>15</v>
      </c>
      <c r="EO9" s="42">
        <v>15</v>
      </c>
      <c r="EP9" s="42">
        <v>15</v>
      </c>
      <c r="EQ9" s="42">
        <v>14.5</v>
      </c>
      <c r="ER9" s="42">
        <v>14.5</v>
      </c>
      <c r="ES9" s="42">
        <v>14.5</v>
      </c>
      <c r="ET9" s="43" t="s">
        <v>76</v>
      </c>
      <c r="EU9" s="43" t="s">
        <v>76</v>
      </c>
      <c r="EV9" s="43" t="s">
        <v>76</v>
      </c>
      <c r="EW9" s="43" t="s">
        <v>76</v>
      </c>
      <c r="EX9" s="42">
        <v>16</v>
      </c>
      <c r="EY9" s="42">
        <v>16</v>
      </c>
      <c r="EZ9" s="43" t="s">
        <v>76</v>
      </c>
      <c r="FA9" s="43" t="s">
        <v>76</v>
      </c>
      <c r="FB9" s="43" t="s">
        <v>76</v>
      </c>
      <c r="FC9" s="43" t="s">
        <v>76</v>
      </c>
      <c r="FD9" s="43" t="s">
        <v>76</v>
      </c>
      <c r="FE9" s="43" t="s">
        <v>76</v>
      </c>
      <c r="FF9" s="43" t="s">
        <v>76</v>
      </c>
      <c r="FG9" s="43" t="s">
        <v>76</v>
      </c>
      <c r="FH9" s="43" t="s">
        <v>76</v>
      </c>
      <c r="FI9" s="43" t="s">
        <v>76</v>
      </c>
      <c r="FJ9" s="43" t="s">
        <v>76</v>
      </c>
      <c r="FK9" s="43" t="s">
        <v>76</v>
      </c>
      <c r="FL9" s="43" t="s">
        <v>76</v>
      </c>
      <c r="FM9" s="43" t="s">
        <v>76</v>
      </c>
      <c r="FN9" s="43" t="s">
        <v>76</v>
      </c>
      <c r="FO9" s="43" t="s">
        <v>76</v>
      </c>
      <c r="FP9" s="43" t="s">
        <v>76</v>
      </c>
      <c r="FQ9" s="43" t="s">
        <v>76</v>
      </c>
      <c r="FR9" s="43" t="s">
        <v>76</v>
      </c>
      <c r="FS9" s="43" t="s">
        <v>76</v>
      </c>
      <c r="FT9" s="43" t="s">
        <v>76</v>
      </c>
      <c r="FU9" s="43" t="s">
        <v>76</v>
      </c>
      <c r="FV9" s="43" t="s">
        <v>76</v>
      </c>
      <c r="FW9" s="43" t="s">
        <v>76</v>
      </c>
      <c r="FX9" s="43" t="s">
        <v>76</v>
      </c>
      <c r="FY9" s="43" t="s">
        <v>76</v>
      </c>
      <c r="FZ9" s="43" t="s">
        <v>76</v>
      </c>
      <c r="GA9" s="43" t="s">
        <v>76</v>
      </c>
      <c r="GB9" s="43" t="s">
        <v>76</v>
      </c>
      <c r="GC9" s="43" t="s">
        <v>76</v>
      </c>
      <c r="GD9" s="43" t="s">
        <v>76</v>
      </c>
      <c r="GE9" s="43" t="s">
        <v>76</v>
      </c>
      <c r="GF9" s="43" t="s">
        <v>76</v>
      </c>
      <c r="GG9" s="43" t="s">
        <v>76</v>
      </c>
      <c r="GH9" s="43" t="s">
        <v>76</v>
      </c>
      <c r="GI9" s="43" t="s">
        <v>76</v>
      </c>
      <c r="GJ9" s="43" t="s">
        <v>76</v>
      </c>
      <c r="GK9" s="43" t="s">
        <v>76</v>
      </c>
      <c r="GL9" s="43" t="s">
        <v>76</v>
      </c>
      <c r="GM9" s="43" t="s">
        <v>76</v>
      </c>
      <c r="GN9" s="43" t="s">
        <v>76</v>
      </c>
      <c r="GO9">
        <v>20</v>
      </c>
      <c r="GP9">
        <v>20</v>
      </c>
      <c r="GQ9" s="43" t="s">
        <v>76</v>
      </c>
      <c r="GR9" s="43" t="s">
        <v>76</v>
      </c>
      <c r="GS9" s="43" t="s">
        <v>76</v>
      </c>
    </row>
    <row r="10" spans="1:201" x14ac:dyDescent="0.35">
      <c r="A10" s="42" t="s">
        <v>76</v>
      </c>
      <c r="B10" s="42" t="s">
        <v>76</v>
      </c>
      <c r="C10" s="42" t="s">
        <v>76</v>
      </c>
      <c r="D10" s="42" t="s">
        <v>76</v>
      </c>
      <c r="E10" s="42" t="s">
        <v>76</v>
      </c>
      <c r="F10" s="42" t="s">
        <v>76</v>
      </c>
      <c r="G10" s="42" t="s">
        <v>76</v>
      </c>
      <c r="H10" s="42" t="s">
        <v>76</v>
      </c>
      <c r="I10" s="42" t="s">
        <v>76</v>
      </c>
      <c r="J10" s="42" t="s">
        <v>76</v>
      </c>
      <c r="K10" s="42" t="s">
        <v>76</v>
      </c>
      <c r="L10" s="42" t="s">
        <v>76</v>
      </c>
      <c r="M10" s="42" t="s">
        <v>76</v>
      </c>
      <c r="N10" s="42" t="s">
        <v>76</v>
      </c>
      <c r="O10" s="42" t="s">
        <v>76</v>
      </c>
      <c r="P10" s="42" t="s">
        <v>76</v>
      </c>
      <c r="Q10" s="42" t="s">
        <v>76</v>
      </c>
      <c r="R10" s="42" t="s">
        <v>76</v>
      </c>
      <c r="S10" s="42" t="s">
        <v>76</v>
      </c>
      <c r="T10" s="42" t="s">
        <v>76</v>
      </c>
      <c r="U10" s="42" t="s">
        <v>76</v>
      </c>
      <c r="V10" s="42" t="s">
        <v>76</v>
      </c>
      <c r="W10" s="42" t="s">
        <v>76</v>
      </c>
      <c r="X10" s="42" t="s">
        <v>76</v>
      </c>
      <c r="Y10" s="42" t="s">
        <v>76</v>
      </c>
      <c r="Z10" s="42" t="s">
        <v>76</v>
      </c>
      <c r="AA10" s="42" t="s">
        <v>76</v>
      </c>
      <c r="AB10" s="42" t="s">
        <v>76</v>
      </c>
      <c r="AC10" s="42" t="s">
        <v>76</v>
      </c>
      <c r="AD10" s="42" t="s">
        <v>76</v>
      </c>
      <c r="AE10" s="42" t="s">
        <v>76</v>
      </c>
      <c r="AF10" s="42" t="s">
        <v>76</v>
      </c>
      <c r="AG10" s="42" t="s">
        <v>76</v>
      </c>
      <c r="AH10" s="42" t="s">
        <v>76</v>
      </c>
      <c r="AI10" s="42" t="s">
        <v>76</v>
      </c>
      <c r="AJ10" s="42" t="s">
        <v>76</v>
      </c>
      <c r="AK10" s="42" t="s">
        <v>76</v>
      </c>
      <c r="AL10" s="42" t="s">
        <v>76</v>
      </c>
      <c r="AM10" s="42" t="s">
        <v>76</v>
      </c>
      <c r="AN10" s="42" t="s">
        <v>76</v>
      </c>
      <c r="AO10" s="42" t="s">
        <v>76</v>
      </c>
      <c r="AP10" s="42" t="s">
        <v>76</v>
      </c>
      <c r="AQ10" s="42" t="s">
        <v>76</v>
      </c>
      <c r="AR10" s="42" t="s">
        <v>76</v>
      </c>
      <c r="AS10" s="42" t="s">
        <v>76</v>
      </c>
      <c r="AT10" s="42" t="s">
        <v>76</v>
      </c>
      <c r="AU10" s="42" t="s">
        <v>76</v>
      </c>
      <c r="AV10" s="42" t="s">
        <v>76</v>
      </c>
      <c r="AW10" s="42" t="s">
        <v>76</v>
      </c>
      <c r="AX10" s="42" t="s">
        <v>76</v>
      </c>
      <c r="AY10" s="42" t="s">
        <v>76</v>
      </c>
      <c r="AZ10" s="42" t="s">
        <v>76</v>
      </c>
      <c r="BA10" s="42" t="s">
        <v>76</v>
      </c>
      <c r="BB10" s="42" t="s">
        <v>76</v>
      </c>
      <c r="BC10" s="42" t="s">
        <v>76</v>
      </c>
      <c r="BD10" s="42" t="s">
        <v>76</v>
      </c>
      <c r="BE10" s="42" t="s">
        <v>76</v>
      </c>
      <c r="BF10" s="42" t="s">
        <v>76</v>
      </c>
      <c r="BG10" s="42" t="s">
        <v>76</v>
      </c>
      <c r="BH10" s="42" t="s">
        <v>76</v>
      </c>
      <c r="BI10" s="42" t="s">
        <v>76</v>
      </c>
      <c r="BJ10" s="42" t="s">
        <v>76</v>
      </c>
      <c r="BK10" s="42" t="s">
        <v>76</v>
      </c>
      <c r="BL10" s="42" t="s">
        <v>76</v>
      </c>
      <c r="BM10" s="42" t="s">
        <v>76</v>
      </c>
      <c r="BN10" s="42" t="s">
        <v>76</v>
      </c>
      <c r="BO10" s="42" t="s">
        <v>76</v>
      </c>
      <c r="BP10" s="42" t="s">
        <v>76</v>
      </c>
      <c r="BQ10" s="42" t="s">
        <v>76</v>
      </c>
      <c r="BR10" s="42" t="s">
        <v>76</v>
      </c>
      <c r="BS10" s="42" t="s">
        <v>76</v>
      </c>
      <c r="BT10" s="42" t="s">
        <v>76</v>
      </c>
      <c r="BU10" s="11">
        <v>60</v>
      </c>
      <c r="BV10" s="11">
        <v>60</v>
      </c>
      <c r="BW10" s="43" t="s">
        <v>76</v>
      </c>
      <c r="BX10" s="43" t="s">
        <v>76</v>
      </c>
      <c r="BY10" s="43" t="s">
        <v>76</v>
      </c>
      <c r="BZ10" s="43" t="s">
        <v>76</v>
      </c>
      <c r="CA10" s="43" t="s">
        <v>76</v>
      </c>
      <c r="CB10" s="43" t="s">
        <v>76</v>
      </c>
      <c r="CC10" s="43" t="s">
        <v>76</v>
      </c>
      <c r="CD10" s="11">
        <v>8</v>
      </c>
      <c r="CE10" s="11">
        <v>8</v>
      </c>
      <c r="CF10" s="43" t="s">
        <v>76</v>
      </c>
      <c r="CG10" s="43" t="s">
        <v>76</v>
      </c>
      <c r="CH10" s="43" t="s">
        <v>76</v>
      </c>
      <c r="CI10" s="43" t="s">
        <v>76</v>
      </c>
      <c r="CJ10" s="43" t="s">
        <v>76</v>
      </c>
      <c r="CK10" s="43" t="s">
        <v>76</v>
      </c>
      <c r="CL10" s="43" t="s">
        <v>76</v>
      </c>
      <c r="CM10" s="43" t="s">
        <v>76</v>
      </c>
      <c r="CN10" s="43" t="s">
        <v>76</v>
      </c>
      <c r="CO10" s="43" t="s">
        <v>76</v>
      </c>
      <c r="CP10" s="43" t="s">
        <v>76</v>
      </c>
      <c r="CQ10" s="43" t="s">
        <v>76</v>
      </c>
      <c r="CR10" s="43" t="s">
        <v>76</v>
      </c>
      <c r="CS10" s="43" t="s">
        <v>76</v>
      </c>
      <c r="CT10" s="43" t="s">
        <v>76</v>
      </c>
      <c r="CU10" s="43" t="s">
        <v>76</v>
      </c>
      <c r="CV10" s="43" t="s">
        <v>76</v>
      </c>
      <c r="CW10" s="43" t="s">
        <v>76</v>
      </c>
      <c r="CX10" s="43" t="s">
        <v>76</v>
      </c>
      <c r="CY10" s="43" t="s">
        <v>76</v>
      </c>
      <c r="CZ10" s="43" t="s">
        <v>76</v>
      </c>
      <c r="DA10" s="43" t="s">
        <v>76</v>
      </c>
      <c r="DB10" s="43" t="s">
        <v>76</v>
      </c>
      <c r="DC10" s="43" t="s">
        <v>76</v>
      </c>
      <c r="DD10" s="43" t="s">
        <v>76</v>
      </c>
      <c r="DE10" s="43" t="s">
        <v>76</v>
      </c>
      <c r="DF10" s="43" t="s">
        <v>76</v>
      </c>
      <c r="DG10" s="43" t="s">
        <v>76</v>
      </c>
      <c r="DH10" s="43" t="s">
        <v>76</v>
      </c>
      <c r="DI10" s="43" t="s">
        <v>76</v>
      </c>
      <c r="DJ10" s="43" t="s">
        <v>76</v>
      </c>
      <c r="DK10" s="43" t="s">
        <v>76</v>
      </c>
      <c r="DL10" s="43" t="s">
        <v>76</v>
      </c>
      <c r="DM10" s="43" t="s">
        <v>76</v>
      </c>
      <c r="DN10" s="43" t="s">
        <v>76</v>
      </c>
      <c r="DO10" s="43" t="s">
        <v>76</v>
      </c>
      <c r="DP10" s="43" t="s">
        <v>76</v>
      </c>
      <c r="DQ10" s="43" t="s">
        <v>76</v>
      </c>
      <c r="DR10" s="43" t="s">
        <v>76</v>
      </c>
      <c r="DS10" s="43" t="s">
        <v>76</v>
      </c>
      <c r="DT10" s="43" t="s">
        <v>76</v>
      </c>
      <c r="DU10" s="43" t="s">
        <v>76</v>
      </c>
      <c r="DV10" s="43" t="s">
        <v>76</v>
      </c>
      <c r="DW10" s="43" t="s">
        <v>76</v>
      </c>
      <c r="DX10" s="43" t="s">
        <v>76</v>
      </c>
      <c r="DY10" s="43" t="s">
        <v>76</v>
      </c>
      <c r="DZ10" s="43" t="s">
        <v>76</v>
      </c>
      <c r="EA10" s="43" t="s">
        <v>76</v>
      </c>
      <c r="EB10" s="43" t="s">
        <v>76</v>
      </c>
      <c r="EC10" s="43" t="s">
        <v>76</v>
      </c>
      <c r="ED10" s="43" t="s">
        <v>76</v>
      </c>
      <c r="EE10" s="43" t="s">
        <v>76</v>
      </c>
      <c r="EF10" s="43" t="s">
        <v>76</v>
      </c>
      <c r="EG10" s="43" t="s">
        <v>76</v>
      </c>
      <c r="EH10" s="43" t="s">
        <v>76</v>
      </c>
      <c r="EI10" s="43" t="s">
        <v>76</v>
      </c>
      <c r="EJ10" s="43" t="s">
        <v>76</v>
      </c>
      <c r="EK10" s="43" t="s">
        <v>76</v>
      </c>
      <c r="EL10" s="43" t="s">
        <v>76</v>
      </c>
      <c r="EM10" s="43" t="s">
        <v>76</v>
      </c>
      <c r="EN10" s="43" t="s">
        <v>76</v>
      </c>
      <c r="EO10" s="43" t="s">
        <v>76</v>
      </c>
      <c r="EP10" s="43" t="s">
        <v>76</v>
      </c>
      <c r="EQ10" s="43" t="s">
        <v>76</v>
      </c>
      <c r="ER10" s="43" t="s">
        <v>76</v>
      </c>
      <c r="ES10" s="43" t="s">
        <v>76</v>
      </c>
      <c r="ET10" s="43" t="s">
        <v>76</v>
      </c>
      <c r="EU10" s="43" t="s">
        <v>76</v>
      </c>
      <c r="EV10" s="43" t="s">
        <v>76</v>
      </c>
      <c r="EW10" s="43" t="s">
        <v>76</v>
      </c>
      <c r="EX10" s="43" t="s">
        <v>76</v>
      </c>
      <c r="EY10" s="43" t="s">
        <v>76</v>
      </c>
      <c r="EZ10" s="43" t="s">
        <v>76</v>
      </c>
      <c r="FA10" s="43" t="s">
        <v>76</v>
      </c>
      <c r="FB10" s="43" t="s">
        <v>76</v>
      </c>
      <c r="FC10" s="43" t="s">
        <v>76</v>
      </c>
      <c r="FD10" s="43" t="s">
        <v>76</v>
      </c>
      <c r="FE10" s="43" t="s">
        <v>76</v>
      </c>
      <c r="FF10" s="43" t="s">
        <v>76</v>
      </c>
      <c r="FG10" s="43" t="s">
        <v>76</v>
      </c>
      <c r="FH10" s="43" t="s">
        <v>76</v>
      </c>
      <c r="FI10" s="43" t="s">
        <v>76</v>
      </c>
      <c r="FJ10" s="43" t="s">
        <v>76</v>
      </c>
      <c r="FK10" s="43" t="s">
        <v>76</v>
      </c>
      <c r="FL10" s="43" t="s">
        <v>76</v>
      </c>
      <c r="FM10" s="43" t="s">
        <v>76</v>
      </c>
      <c r="FN10" s="43" t="s">
        <v>76</v>
      </c>
      <c r="FO10" s="43" t="s">
        <v>76</v>
      </c>
      <c r="FP10" s="43" t="s">
        <v>76</v>
      </c>
      <c r="FQ10" s="43" t="s">
        <v>76</v>
      </c>
      <c r="FR10" s="43" t="s">
        <v>76</v>
      </c>
      <c r="FS10" s="43" t="s">
        <v>76</v>
      </c>
      <c r="FT10" s="43" t="s">
        <v>76</v>
      </c>
      <c r="FU10" s="43" t="s">
        <v>76</v>
      </c>
      <c r="FV10" s="43" t="s">
        <v>76</v>
      </c>
      <c r="FW10" s="43" t="s">
        <v>76</v>
      </c>
      <c r="FX10" s="43" t="s">
        <v>76</v>
      </c>
      <c r="FY10" s="43" t="s">
        <v>76</v>
      </c>
      <c r="FZ10" s="43" t="s">
        <v>76</v>
      </c>
      <c r="GA10" s="43" t="s">
        <v>76</v>
      </c>
      <c r="GB10" s="43" t="s">
        <v>76</v>
      </c>
      <c r="GC10" s="43" t="s">
        <v>76</v>
      </c>
      <c r="GD10" s="43" t="s">
        <v>76</v>
      </c>
      <c r="GE10" s="43" t="s">
        <v>76</v>
      </c>
      <c r="GF10" s="43" t="s">
        <v>76</v>
      </c>
      <c r="GG10" s="43" t="s">
        <v>76</v>
      </c>
      <c r="GH10" s="43" t="s">
        <v>76</v>
      </c>
      <c r="GI10" s="43" t="s">
        <v>76</v>
      </c>
      <c r="GJ10" s="43" t="s">
        <v>76</v>
      </c>
      <c r="GK10" s="43" t="s">
        <v>76</v>
      </c>
      <c r="GL10" s="43" t="s">
        <v>76</v>
      </c>
      <c r="GM10" s="43" t="s">
        <v>76</v>
      </c>
      <c r="GN10" s="43" t="s">
        <v>76</v>
      </c>
      <c r="GO10" s="43" t="s">
        <v>76</v>
      </c>
      <c r="GP10" s="43" t="s">
        <v>76</v>
      </c>
      <c r="GQ10" s="43" t="s">
        <v>76</v>
      </c>
      <c r="GR10" s="43" t="s">
        <v>76</v>
      </c>
      <c r="GS10" s="43" t="s">
        <v>76</v>
      </c>
    </row>
    <row r="11" spans="1:201" x14ac:dyDescent="0.35">
      <c r="A11" s="42" t="s">
        <v>76</v>
      </c>
      <c r="B11" s="42" t="s">
        <v>76</v>
      </c>
      <c r="C11" s="42" t="s">
        <v>76</v>
      </c>
      <c r="D11" s="42" t="s">
        <v>76</v>
      </c>
      <c r="E11" s="42" t="s">
        <v>76</v>
      </c>
      <c r="F11" s="42" t="s">
        <v>76</v>
      </c>
      <c r="G11" s="42" t="s">
        <v>76</v>
      </c>
      <c r="H11" s="42" t="s">
        <v>76</v>
      </c>
      <c r="I11" s="42" t="s">
        <v>76</v>
      </c>
      <c r="J11" s="42" t="s">
        <v>76</v>
      </c>
      <c r="K11" s="42" t="s">
        <v>76</v>
      </c>
      <c r="L11" s="42" t="s">
        <v>76</v>
      </c>
      <c r="M11" s="42" t="s">
        <v>76</v>
      </c>
      <c r="N11" s="42" t="s">
        <v>76</v>
      </c>
      <c r="O11" s="42" t="s">
        <v>76</v>
      </c>
      <c r="P11" s="42" t="s">
        <v>76</v>
      </c>
      <c r="Q11" s="42" t="s">
        <v>76</v>
      </c>
      <c r="R11" s="42" t="s">
        <v>76</v>
      </c>
      <c r="S11" s="42" t="s">
        <v>76</v>
      </c>
      <c r="T11" s="42" t="s">
        <v>76</v>
      </c>
      <c r="U11" s="42" t="s">
        <v>76</v>
      </c>
      <c r="V11" s="42" t="s">
        <v>76</v>
      </c>
      <c r="W11" s="42" t="s">
        <v>76</v>
      </c>
      <c r="X11" s="42" t="s">
        <v>76</v>
      </c>
      <c r="Y11" s="42" t="s">
        <v>76</v>
      </c>
      <c r="Z11" s="42" t="s">
        <v>76</v>
      </c>
      <c r="AA11" s="42" t="s">
        <v>76</v>
      </c>
      <c r="AB11" s="42" t="s">
        <v>76</v>
      </c>
      <c r="AC11" s="42" t="s">
        <v>76</v>
      </c>
      <c r="AD11" s="42" t="s">
        <v>76</v>
      </c>
      <c r="AE11" s="42" t="s">
        <v>76</v>
      </c>
      <c r="AF11" s="42" t="s">
        <v>76</v>
      </c>
      <c r="AG11" s="42" t="s">
        <v>76</v>
      </c>
      <c r="AH11" s="42" t="s">
        <v>76</v>
      </c>
      <c r="AI11" s="42" t="s">
        <v>76</v>
      </c>
      <c r="AJ11" s="42" t="s">
        <v>76</v>
      </c>
      <c r="AK11" s="42" t="s">
        <v>76</v>
      </c>
      <c r="AL11" s="42" t="s">
        <v>76</v>
      </c>
      <c r="AM11" s="42" t="s">
        <v>76</v>
      </c>
      <c r="AN11" s="42" t="s">
        <v>76</v>
      </c>
      <c r="AO11" s="42" t="s">
        <v>76</v>
      </c>
      <c r="AP11" s="42" t="s">
        <v>76</v>
      </c>
      <c r="AQ11" s="42" t="s">
        <v>76</v>
      </c>
      <c r="AR11" s="42" t="s">
        <v>76</v>
      </c>
      <c r="AS11" s="42" t="s">
        <v>76</v>
      </c>
      <c r="AT11" s="42" t="s">
        <v>76</v>
      </c>
      <c r="AU11" s="42" t="s">
        <v>76</v>
      </c>
      <c r="AV11" s="42" t="s">
        <v>76</v>
      </c>
      <c r="AW11" s="42" t="s">
        <v>76</v>
      </c>
      <c r="AX11" s="42" t="s">
        <v>76</v>
      </c>
      <c r="AY11" s="42" t="s">
        <v>76</v>
      </c>
      <c r="AZ11" s="42" t="s">
        <v>76</v>
      </c>
      <c r="BA11" s="42" t="s">
        <v>76</v>
      </c>
      <c r="BB11" s="42" t="s">
        <v>76</v>
      </c>
      <c r="BC11" s="42" t="s">
        <v>76</v>
      </c>
      <c r="BD11" s="42" t="s">
        <v>76</v>
      </c>
      <c r="BE11" s="42" t="s">
        <v>76</v>
      </c>
      <c r="BF11" s="42" t="s">
        <v>76</v>
      </c>
      <c r="BG11" s="42" t="s">
        <v>76</v>
      </c>
      <c r="BH11" s="42" t="s">
        <v>76</v>
      </c>
      <c r="BI11" s="42" t="s">
        <v>76</v>
      </c>
      <c r="BJ11" s="42" t="s">
        <v>76</v>
      </c>
      <c r="BK11" s="42" t="s">
        <v>76</v>
      </c>
      <c r="BL11" s="42" t="s">
        <v>76</v>
      </c>
      <c r="BM11" s="42" t="s">
        <v>76</v>
      </c>
      <c r="BN11" s="42" t="s">
        <v>76</v>
      </c>
      <c r="BO11" s="42" t="s">
        <v>76</v>
      </c>
      <c r="BP11" s="42" t="s">
        <v>76</v>
      </c>
      <c r="BQ11" s="42" t="s">
        <v>76</v>
      </c>
      <c r="BR11" s="42" t="s">
        <v>76</v>
      </c>
      <c r="BS11" s="42" t="s">
        <v>76</v>
      </c>
      <c r="BT11" s="42" t="s">
        <v>76</v>
      </c>
      <c r="BU11" s="11">
        <v>70</v>
      </c>
      <c r="BV11" s="11">
        <v>70</v>
      </c>
      <c r="BW11" s="43" t="s">
        <v>76</v>
      </c>
      <c r="BX11" s="43" t="s">
        <v>76</v>
      </c>
      <c r="BY11" s="43" t="s">
        <v>76</v>
      </c>
      <c r="BZ11" s="43" t="s">
        <v>76</v>
      </c>
      <c r="CA11" s="43" t="s">
        <v>76</v>
      </c>
      <c r="CB11" s="43" t="s">
        <v>76</v>
      </c>
      <c r="CC11" s="43" t="s">
        <v>76</v>
      </c>
      <c r="CD11" s="43" t="s">
        <v>76</v>
      </c>
      <c r="CE11" s="43" t="s">
        <v>76</v>
      </c>
      <c r="CF11" s="43" t="s">
        <v>76</v>
      </c>
      <c r="CG11" s="43" t="s">
        <v>76</v>
      </c>
      <c r="CH11" s="43" t="s">
        <v>76</v>
      </c>
      <c r="CI11" s="43" t="s">
        <v>76</v>
      </c>
      <c r="CJ11" s="43" t="s">
        <v>76</v>
      </c>
      <c r="CK11" s="43" t="s">
        <v>76</v>
      </c>
      <c r="CL11" s="43" t="s">
        <v>76</v>
      </c>
      <c r="CM11" s="43" t="s">
        <v>76</v>
      </c>
      <c r="CN11" s="43" t="s">
        <v>76</v>
      </c>
      <c r="CO11" s="43" t="s">
        <v>76</v>
      </c>
      <c r="CP11" s="43" t="s">
        <v>76</v>
      </c>
      <c r="CQ11" s="43" t="s">
        <v>76</v>
      </c>
      <c r="CR11" s="43" t="s">
        <v>76</v>
      </c>
      <c r="CS11" s="43" t="s">
        <v>76</v>
      </c>
      <c r="CT11" s="43" t="s">
        <v>76</v>
      </c>
      <c r="CU11" s="43" t="s">
        <v>76</v>
      </c>
      <c r="CV11" s="43" t="s">
        <v>76</v>
      </c>
      <c r="CW11" s="43" t="s">
        <v>76</v>
      </c>
      <c r="CX11" s="43" t="s">
        <v>76</v>
      </c>
      <c r="CY11" s="43" t="s">
        <v>76</v>
      </c>
      <c r="CZ11" s="43" t="s">
        <v>76</v>
      </c>
      <c r="DA11" s="43" t="s">
        <v>76</v>
      </c>
      <c r="DB11" s="43" t="s">
        <v>76</v>
      </c>
      <c r="DC11" s="43" t="s">
        <v>76</v>
      </c>
      <c r="DD11" s="43" t="s">
        <v>76</v>
      </c>
      <c r="DE11" s="43" t="s">
        <v>76</v>
      </c>
      <c r="DF11" s="43" t="s">
        <v>76</v>
      </c>
      <c r="DG11" s="43" t="s">
        <v>76</v>
      </c>
      <c r="DH11" s="43" t="s">
        <v>76</v>
      </c>
      <c r="DI11" s="43" t="s">
        <v>76</v>
      </c>
      <c r="DJ11" s="43" t="s">
        <v>76</v>
      </c>
      <c r="DK11" s="43" t="s">
        <v>76</v>
      </c>
      <c r="DL11" s="43" t="s">
        <v>76</v>
      </c>
      <c r="DM11" s="43" t="s">
        <v>76</v>
      </c>
      <c r="DN11" s="43" t="s">
        <v>76</v>
      </c>
      <c r="DO11" s="43" t="s">
        <v>76</v>
      </c>
      <c r="DP11" s="43" t="s">
        <v>76</v>
      </c>
      <c r="DQ11" s="43" t="s">
        <v>76</v>
      </c>
      <c r="DR11" s="43" t="s">
        <v>76</v>
      </c>
      <c r="DS11" s="43" t="s">
        <v>76</v>
      </c>
      <c r="DT11" s="43" t="s">
        <v>76</v>
      </c>
      <c r="DU11" s="43" t="s">
        <v>76</v>
      </c>
      <c r="DV11" s="43" t="s">
        <v>76</v>
      </c>
      <c r="DW11" s="43" t="s">
        <v>76</v>
      </c>
      <c r="DX11" s="43" t="s">
        <v>76</v>
      </c>
      <c r="DY11" s="43" t="s">
        <v>76</v>
      </c>
      <c r="DZ11" s="43" t="s">
        <v>76</v>
      </c>
      <c r="EA11" s="43" t="s">
        <v>76</v>
      </c>
      <c r="EB11" s="43" t="s">
        <v>76</v>
      </c>
      <c r="EC11" s="43" t="s">
        <v>76</v>
      </c>
      <c r="ED11" s="43" t="s">
        <v>76</v>
      </c>
      <c r="EE11" s="43" t="s">
        <v>76</v>
      </c>
      <c r="EF11" s="43" t="s">
        <v>76</v>
      </c>
      <c r="EG11" s="43" t="s">
        <v>76</v>
      </c>
      <c r="EH11" s="43" t="s">
        <v>76</v>
      </c>
      <c r="EI11" s="43" t="s">
        <v>76</v>
      </c>
      <c r="EJ11" s="43" t="s">
        <v>76</v>
      </c>
      <c r="EK11" s="43" t="s">
        <v>76</v>
      </c>
      <c r="EL11" s="43" t="s">
        <v>76</v>
      </c>
      <c r="EM11" s="43" t="s">
        <v>76</v>
      </c>
      <c r="EN11" s="43" t="s">
        <v>76</v>
      </c>
      <c r="EO11" s="43" t="s">
        <v>76</v>
      </c>
      <c r="EP11" s="43" t="s">
        <v>76</v>
      </c>
      <c r="EQ11" s="43" t="s">
        <v>76</v>
      </c>
      <c r="ER11" s="43" t="s">
        <v>76</v>
      </c>
      <c r="ES11" s="43" t="s">
        <v>76</v>
      </c>
      <c r="ET11" s="43" t="s">
        <v>76</v>
      </c>
      <c r="EU11" s="43" t="s">
        <v>76</v>
      </c>
      <c r="EV11" s="43" t="s">
        <v>76</v>
      </c>
      <c r="EW11" s="43" t="s">
        <v>76</v>
      </c>
      <c r="EX11" s="43" t="s">
        <v>76</v>
      </c>
      <c r="EY11" s="43" t="s">
        <v>76</v>
      </c>
      <c r="EZ11" s="43" t="s">
        <v>76</v>
      </c>
      <c r="FA11" s="43" t="s">
        <v>76</v>
      </c>
      <c r="FB11" s="43" t="s">
        <v>76</v>
      </c>
      <c r="FC11" s="43" t="s">
        <v>76</v>
      </c>
      <c r="FD11" s="43" t="s">
        <v>76</v>
      </c>
      <c r="FE11" s="43" t="s">
        <v>76</v>
      </c>
      <c r="FF11" s="43" t="s">
        <v>76</v>
      </c>
      <c r="FG11" s="43" t="s">
        <v>76</v>
      </c>
      <c r="FH11" s="43" t="s">
        <v>76</v>
      </c>
      <c r="FI11" s="43" t="s">
        <v>76</v>
      </c>
      <c r="FJ11" s="43" t="s">
        <v>76</v>
      </c>
      <c r="FK11" s="43" t="s">
        <v>76</v>
      </c>
      <c r="FL11" s="43" t="s">
        <v>76</v>
      </c>
      <c r="FM11" s="43" t="s">
        <v>76</v>
      </c>
      <c r="FN11" s="43" t="s">
        <v>76</v>
      </c>
      <c r="FO11" s="43" t="s">
        <v>76</v>
      </c>
      <c r="FP11" s="43" t="s">
        <v>76</v>
      </c>
      <c r="FQ11" s="43" t="s">
        <v>76</v>
      </c>
      <c r="FR11" s="43" t="s">
        <v>76</v>
      </c>
      <c r="FS11" s="43" t="s">
        <v>76</v>
      </c>
      <c r="FT11" s="43" t="s">
        <v>76</v>
      </c>
      <c r="FU11" s="43" t="s">
        <v>76</v>
      </c>
      <c r="FV11" s="43" t="s">
        <v>76</v>
      </c>
      <c r="FW11" s="43" t="s">
        <v>76</v>
      </c>
      <c r="FX11" s="43" t="s">
        <v>76</v>
      </c>
      <c r="FY11" s="43" t="s">
        <v>76</v>
      </c>
      <c r="FZ11" s="43" t="s">
        <v>76</v>
      </c>
      <c r="GA11" s="43" t="s">
        <v>76</v>
      </c>
      <c r="GB11" s="43" t="s">
        <v>76</v>
      </c>
      <c r="GC11" s="43" t="s">
        <v>76</v>
      </c>
      <c r="GD11" s="43" t="s">
        <v>76</v>
      </c>
      <c r="GE11" s="43" t="s">
        <v>76</v>
      </c>
      <c r="GF11" s="43" t="s">
        <v>76</v>
      </c>
      <c r="GG11" s="43" t="s">
        <v>76</v>
      </c>
      <c r="GH11" s="43" t="s">
        <v>76</v>
      </c>
      <c r="GI11" s="43" t="s">
        <v>76</v>
      </c>
      <c r="GJ11" s="43" t="s">
        <v>76</v>
      </c>
      <c r="GK11" s="43" t="s">
        <v>76</v>
      </c>
      <c r="GL11" s="43" t="s">
        <v>76</v>
      </c>
      <c r="GM11" s="43" t="s">
        <v>76</v>
      </c>
      <c r="GN11" s="43" t="s">
        <v>76</v>
      </c>
      <c r="GO11" s="43" t="s">
        <v>76</v>
      </c>
      <c r="GP11" s="43" t="s">
        <v>76</v>
      </c>
      <c r="GQ11" s="43" t="s">
        <v>76</v>
      </c>
      <c r="GR11" s="43" t="s">
        <v>76</v>
      </c>
      <c r="GS11" s="43" t="s">
        <v>76</v>
      </c>
    </row>
    <row r="12" spans="1:201" x14ac:dyDescent="0.35">
      <c r="A12" s="42" t="s">
        <v>76</v>
      </c>
      <c r="B12" s="42" t="s">
        <v>76</v>
      </c>
      <c r="C12" s="42" t="s">
        <v>76</v>
      </c>
      <c r="D12" s="42" t="s">
        <v>76</v>
      </c>
      <c r="E12" s="42" t="s">
        <v>76</v>
      </c>
      <c r="F12" s="42" t="s">
        <v>76</v>
      </c>
      <c r="G12" s="42" t="s">
        <v>76</v>
      </c>
      <c r="H12" s="42" t="s">
        <v>76</v>
      </c>
      <c r="I12" s="42" t="s">
        <v>76</v>
      </c>
      <c r="J12" s="42" t="s">
        <v>76</v>
      </c>
      <c r="K12" s="42" t="s">
        <v>76</v>
      </c>
      <c r="L12" s="42" t="s">
        <v>76</v>
      </c>
      <c r="M12" s="42" t="s">
        <v>76</v>
      </c>
      <c r="N12" s="42" t="s">
        <v>76</v>
      </c>
      <c r="O12" s="42" t="s">
        <v>76</v>
      </c>
      <c r="P12" s="42" t="s">
        <v>76</v>
      </c>
      <c r="Q12" s="42" t="s">
        <v>76</v>
      </c>
      <c r="R12" s="42" t="s">
        <v>76</v>
      </c>
      <c r="S12" s="42" t="s">
        <v>76</v>
      </c>
      <c r="T12" s="42" t="s">
        <v>76</v>
      </c>
      <c r="U12" s="42" t="s">
        <v>76</v>
      </c>
      <c r="V12" s="42" t="s">
        <v>76</v>
      </c>
      <c r="W12" s="42" t="s">
        <v>76</v>
      </c>
      <c r="X12" s="42" t="s">
        <v>76</v>
      </c>
      <c r="Y12" s="42" t="s">
        <v>76</v>
      </c>
      <c r="Z12" s="42" t="s">
        <v>76</v>
      </c>
      <c r="AA12" s="42" t="s">
        <v>76</v>
      </c>
      <c r="AB12" s="42" t="s">
        <v>76</v>
      </c>
      <c r="AC12" s="42" t="s">
        <v>76</v>
      </c>
      <c r="AD12" s="42" t="s">
        <v>76</v>
      </c>
      <c r="AE12" s="42" t="s">
        <v>76</v>
      </c>
      <c r="AF12" s="42" t="s">
        <v>76</v>
      </c>
      <c r="AG12" s="42" t="s">
        <v>76</v>
      </c>
      <c r="AH12" s="42" t="s">
        <v>76</v>
      </c>
      <c r="AI12" s="42" t="s">
        <v>76</v>
      </c>
      <c r="AJ12" s="42" t="s">
        <v>76</v>
      </c>
      <c r="AK12" s="42" t="s">
        <v>76</v>
      </c>
      <c r="AL12" s="42" t="s">
        <v>76</v>
      </c>
      <c r="AM12" s="42" t="s">
        <v>76</v>
      </c>
      <c r="AN12" s="42" t="s">
        <v>76</v>
      </c>
      <c r="AO12" s="42" t="s">
        <v>76</v>
      </c>
      <c r="AP12" s="42" t="s">
        <v>76</v>
      </c>
      <c r="AQ12" s="42" t="s">
        <v>76</v>
      </c>
      <c r="AR12" s="42" t="s">
        <v>76</v>
      </c>
      <c r="AS12" s="42" t="s">
        <v>76</v>
      </c>
      <c r="AT12" s="42" t="s">
        <v>76</v>
      </c>
      <c r="AU12" s="42" t="s">
        <v>76</v>
      </c>
      <c r="AV12" s="42" t="s">
        <v>76</v>
      </c>
      <c r="AW12" s="42" t="s">
        <v>76</v>
      </c>
      <c r="AX12" s="42" t="s">
        <v>76</v>
      </c>
      <c r="AY12" s="42" t="s">
        <v>76</v>
      </c>
      <c r="AZ12" s="42" t="s">
        <v>76</v>
      </c>
      <c r="BA12" s="42" t="s">
        <v>76</v>
      </c>
      <c r="BB12" s="42" t="s">
        <v>76</v>
      </c>
      <c r="BC12" s="42" t="s">
        <v>76</v>
      </c>
      <c r="BD12" s="42" t="s">
        <v>76</v>
      </c>
      <c r="BE12" s="42" t="s">
        <v>76</v>
      </c>
      <c r="BF12" s="42" t="s">
        <v>76</v>
      </c>
      <c r="BG12" s="42" t="s">
        <v>76</v>
      </c>
      <c r="BH12" s="42" t="s">
        <v>76</v>
      </c>
      <c r="BI12" s="42" t="s">
        <v>76</v>
      </c>
      <c r="BJ12" s="42" t="s">
        <v>76</v>
      </c>
      <c r="BK12" s="42" t="s">
        <v>76</v>
      </c>
      <c r="BL12" s="42" t="s">
        <v>76</v>
      </c>
      <c r="BM12" s="42" t="s">
        <v>76</v>
      </c>
      <c r="BN12" s="42" t="s">
        <v>76</v>
      </c>
      <c r="BO12" s="42" t="s">
        <v>76</v>
      </c>
      <c r="BP12" s="42" t="s">
        <v>76</v>
      </c>
      <c r="BQ12" s="42" t="s">
        <v>76</v>
      </c>
      <c r="BR12" s="42" t="s">
        <v>76</v>
      </c>
      <c r="BS12" s="42" t="s">
        <v>76</v>
      </c>
      <c r="BT12" s="42" t="s">
        <v>76</v>
      </c>
      <c r="BU12" s="11">
        <v>80</v>
      </c>
      <c r="BV12" s="11">
        <v>80</v>
      </c>
      <c r="BW12" s="43" t="s">
        <v>76</v>
      </c>
      <c r="BX12" s="43" t="s">
        <v>76</v>
      </c>
      <c r="BY12" s="43" t="s">
        <v>76</v>
      </c>
      <c r="BZ12" s="43" t="s">
        <v>76</v>
      </c>
      <c r="CA12" s="43" t="s">
        <v>76</v>
      </c>
      <c r="CB12" s="43" t="s">
        <v>76</v>
      </c>
      <c r="CC12" s="43" t="s">
        <v>76</v>
      </c>
      <c r="CD12" s="43" t="s">
        <v>76</v>
      </c>
      <c r="CE12" s="43" t="s">
        <v>76</v>
      </c>
      <c r="CF12" s="43" t="s">
        <v>76</v>
      </c>
      <c r="CG12" s="43" t="s">
        <v>76</v>
      </c>
      <c r="CH12" s="43" t="s">
        <v>76</v>
      </c>
      <c r="CI12" s="43" t="s">
        <v>76</v>
      </c>
      <c r="CJ12" s="43" t="s">
        <v>76</v>
      </c>
      <c r="CK12" s="43" t="s">
        <v>76</v>
      </c>
      <c r="CL12" s="43" t="s">
        <v>76</v>
      </c>
      <c r="CM12" s="43" t="s">
        <v>76</v>
      </c>
      <c r="CN12" s="43" t="s">
        <v>76</v>
      </c>
      <c r="CO12" s="43" t="s">
        <v>76</v>
      </c>
      <c r="CP12" s="43" t="s">
        <v>76</v>
      </c>
      <c r="CQ12" s="43" t="s">
        <v>76</v>
      </c>
      <c r="CR12" s="43" t="s">
        <v>76</v>
      </c>
      <c r="CS12" s="43" t="s">
        <v>76</v>
      </c>
      <c r="CT12" s="43" t="s">
        <v>76</v>
      </c>
      <c r="CU12" s="43" t="s">
        <v>76</v>
      </c>
      <c r="CV12" s="43" t="s">
        <v>76</v>
      </c>
      <c r="CW12" s="43" t="s">
        <v>76</v>
      </c>
      <c r="CX12" s="43" t="s">
        <v>76</v>
      </c>
      <c r="CY12" s="43" t="s">
        <v>76</v>
      </c>
      <c r="CZ12" s="43" t="s">
        <v>76</v>
      </c>
      <c r="DA12" s="43" t="s">
        <v>76</v>
      </c>
      <c r="DB12" s="43" t="s">
        <v>76</v>
      </c>
      <c r="DC12" s="43" t="s">
        <v>76</v>
      </c>
      <c r="DD12" s="43" t="s">
        <v>76</v>
      </c>
      <c r="DE12" s="43" t="s">
        <v>76</v>
      </c>
      <c r="DF12" s="43" t="s">
        <v>76</v>
      </c>
      <c r="DG12" s="43" t="s">
        <v>76</v>
      </c>
      <c r="DH12" s="43" t="s">
        <v>76</v>
      </c>
      <c r="DI12" s="43" t="s">
        <v>76</v>
      </c>
      <c r="DJ12" s="43" t="s">
        <v>76</v>
      </c>
      <c r="DK12" s="43" t="s">
        <v>76</v>
      </c>
      <c r="DL12" s="43" t="s">
        <v>76</v>
      </c>
      <c r="DM12" s="43" t="s">
        <v>76</v>
      </c>
      <c r="DN12" s="43" t="s">
        <v>76</v>
      </c>
      <c r="DO12" s="43" t="s">
        <v>76</v>
      </c>
      <c r="DP12" s="43" t="s">
        <v>76</v>
      </c>
      <c r="DQ12" s="43" t="s">
        <v>76</v>
      </c>
      <c r="DR12" s="43" t="s">
        <v>76</v>
      </c>
      <c r="DS12" s="43" t="s">
        <v>76</v>
      </c>
      <c r="DT12" s="43" t="s">
        <v>76</v>
      </c>
      <c r="DU12" s="43" t="s">
        <v>76</v>
      </c>
      <c r="DV12" s="43" t="s">
        <v>76</v>
      </c>
      <c r="DW12" s="43" t="s">
        <v>76</v>
      </c>
      <c r="DX12" s="43" t="s">
        <v>76</v>
      </c>
      <c r="DY12" s="43" t="s">
        <v>76</v>
      </c>
      <c r="DZ12" s="43" t="s">
        <v>76</v>
      </c>
      <c r="EA12" s="43" t="s">
        <v>76</v>
      </c>
      <c r="EB12" s="43" t="s">
        <v>76</v>
      </c>
      <c r="EC12" s="43" t="s">
        <v>76</v>
      </c>
      <c r="ED12" s="43" t="s">
        <v>76</v>
      </c>
      <c r="EE12" s="43" t="s">
        <v>76</v>
      </c>
      <c r="EF12" s="43" t="s">
        <v>76</v>
      </c>
      <c r="EG12" s="43" t="s">
        <v>76</v>
      </c>
      <c r="EH12" s="43" t="s">
        <v>76</v>
      </c>
      <c r="EI12" s="43" t="s">
        <v>76</v>
      </c>
      <c r="EJ12" s="43" t="s">
        <v>76</v>
      </c>
      <c r="EK12" s="43" t="s">
        <v>76</v>
      </c>
      <c r="EL12" s="43" t="s">
        <v>76</v>
      </c>
      <c r="EM12" s="43" t="s">
        <v>76</v>
      </c>
      <c r="EN12" s="43" t="s">
        <v>76</v>
      </c>
      <c r="EO12" s="43" t="s">
        <v>76</v>
      </c>
      <c r="EP12" s="43" t="s">
        <v>76</v>
      </c>
      <c r="EQ12" s="43" t="s">
        <v>76</v>
      </c>
      <c r="ER12" s="43" t="s">
        <v>76</v>
      </c>
      <c r="ES12" s="43" t="s">
        <v>76</v>
      </c>
      <c r="ET12" s="43" t="s">
        <v>76</v>
      </c>
      <c r="EU12" s="43" t="s">
        <v>76</v>
      </c>
      <c r="EV12" s="43" t="s">
        <v>76</v>
      </c>
      <c r="EW12" s="43" t="s">
        <v>76</v>
      </c>
      <c r="EX12" s="43" t="s">
        <v>76</v>
      </c>
      <c r="EY12" s="43" t="s">
        <v>76</v>
      </c>
      <c r="EZ12" s="43" t="s">
        <v>76</v>
      </c>
      <c r="FA12" s="43" t="s">
        <v>76</v>
      </c>
      <c r="FB12" s="43" t="s">
        <v>76</v>
      </c>
      <c r="FC12" s="43" t="s">
        <v>76</v>
      </c>
      <c r="FD12" s="43" t="s">
        <v>76</v>
      </c>
      <c r="FE12" s="43" t="s">
        <v>76</v>
      </c>
      <c r="FF12" s="43" t="s">
        <v>76</v>
      </c>
      <c r="FG12" s="43" t="s">
        <v>76</v>
      </c>
      <c r="FH12" s="43" t="s">
        <v>76</v>
      </c>
      <c r="FI12" s="43" t="s">
        <v>76</v>
      </c>
      <c r="FJ12" s="43" t="s">
        <v>76</v>
      </c>
      <c r="FK12" s="43" t="s">
        <v>76</v>
      </c>
      <c r="FL12" s="43" t="s">
        <v>76</v>
      </c>
      <c r="FM12" s="43" t="s">
        <v>76</v>
      </c>
      <c r="FN12" s="43" t="s">
        <v>76</v>
      </c>
      <c r="FO12" s="43" t="s">
        <v>76</v>
      </c>
      <c r="FP12" s="43" t="s">
        <v>76</v>
      </c>
      <c r="FQ12" s="43" t="s">
        <v>76</v>
      </c>
      <c r="FR12" s="43" t="s">
        <v>76</v>
      </c>
      <c r="FS12" s="43" t="s">
        <v>76</v>
      </c>
      <c r="FT12" s="43" t="s">
        <v>76</v>
      </c>
      <c r="FU12" s="43" t="s">
        <v>76</v>
      </c>
      <c r="FV12" s="43" t="s">
        <v>76</v>
      </c>
      <c r="FW12" s="43" t="s">
        <v>76</v>
      </c>
      <c r="FX12" s="43" t="s">
        <v>76</v>
      </c>
      <c r="FY12" s="43" t="s">
        <v>76</v>
      </c>
      <c r="FZ12" s="43" t="s">
        <v>76</v>
      </c>
      <c r="GA12" s="43" t="s">
        <v>76</v>
      </c>
      <c r="GB12" s="43" t="s">
        <v>76</v>
      </c>
      <c r="GC12" s="43" t="s">
        <v>76</v>
      </c>
      <c r="GD12" s="43" t="s">
        <v>76</v>
      </c>
      <c r="GE12" s="43" t="s">
        <v>76</v>
      </c>
      <c r="GF12" s="43" t="s">
        <v>76</v>
      </c>
      <c r="GG12" s="43" t="s">
        <v>76</v>
      </c>
      <c r="GH12" s="43" t="s">
        <v>76</v>
      </c>
      <c r="GI12" s="43" t="s">
        <v>76</v>
      </c>
      <c r="GJ12" s="43" t="s">
        <v>76</v>
      </c>
      <c r="GK12" s="43" t="s">
        <v>76</v>
      </c>
      <c r="GL12" s="43" t="s">
        <v>76</v>
      </c>
      <c r="GM12" s="43" t="s">
        <v>76</v>
      </c>
      <c r="GN12" s="43" t="s">
        <v>76</v>
      </c>
      <c r="GO12" s="43" t="s">
        <v>76</v>
      </c>
      <c r="GP12" s="43" t="s">
        <v>76</v>
      </c>
      <c r="GQ12" s="43" t="s">
        <v>76</v>
      </c>
      <c r="GR12" s="43" t="s">
        <v>76</v>
      </c>
      <c r="GS12" s="43" t="s">
        <v>76</v>
      </c>
    </row>
    <row r="13" spans="1:201" x14ac:dyDescent="0.35">
      <c r="A13" s="42" t="s">
        <v>76</v>
      </c>
      <c r="B13" s="42" t="s">
        <v>76</v>
      </c>
      <c r="C13" s="42" t="s">
        <v>76</v>
      </c>
      <c r="D13" s="42" t="s">
        <v>76</v>
      </c>
      <c r="E13" s="42" t="s">
        <v>76</v>
      </c>
      <c r="F13" s="42" t="s">
        <v>76</v>
      </c>
      <c r="G13" s="42" t="s">
        <v>76</v>
      </c>
      <c r="H13" s="42" t="s">
        <v>76</v>
      </c>
      <c r="I13" s="42" t="s">
        <v>76</v>
      </c>
      <c r="J13" s="42" t="s">
        <v>76</v>
      </c>
      <c r="K13" s="42" t="s">
        <v>76</v>
      </c>
      <c r="L13" s="42" t="s">
        <v>76</v>
      </c>
      <c r="M13" s="42" t="s">
        <v>76</v>
      </c>
      <c r="N13" s="42" t="s">
        <v>76</v>
      </c>
      <c r="O13" s="42" t="s">
        <v>76</v>
      </c>
      <c r="P13" s="42" t="s">
        <v>76</v>
      </c>
      <c r="Q13" s="42" t="s">
        <v>76</v>
      </c>
      <c r="R13" s="42" t="s">
        <v>76</v>
      </c>
      <c r="S13" s="42" t="s">
        <v>76</v>
      </c>
      <c r="T13" s="42" t="s">
        <v>76</v>
      </c>
      <c r="U13" s="42" t="s">
        <v>76</v>
      </c>
      <c r="V13" s="42" t="s">
        <v>76</v>
      </c>
      <c r="W13" s="42" t="s">
        <v>76</v>
      </c>
      <c r="X13" s="42" t="s">
        <v>76</v>
      </c>
      <c r="Y13" s="42" t="s">
        <v>76</v>
      </c>
      <c r="Z13" s="42" t="s">
        <v>76</v>
      </c>
      <c r="AA13" s="42" t="s">
        <v>76</v>
      </c>
      <c r="AB13" s="42" t="s">
        <v>76</v>
      </c>
      <c r="AC13" s="42" t="s">
        <v>76</v>
      </c>
      <c r="AD13" s="42" t="s">
        <v>76</v>
      </c>
      <c r="AE13" s="42" t="s">
        <v>76</v>
      </c>
      <c r="AF13" s="42" t="s">
        <v>76</v>
      </c>
      <c r="AG13" s="42" t="s">
        <v>76</v>
      </c>
      <c r="AH13" s="42" t="s">
        <v>76</v>
      </c>
      <c r="AI13" s="42" t="s">
        <v>76</v>
      </c>
      <c r="AJ13" s="42" t="s">
        <v>76</v>
      </c>
      <c r="AK13" s="42" t="s">
        <v>76</v>
      </c>
      <c r="AL13" s="42" t="s">
        <v>76</v>
      </c>
      <c r="AM13" s="42" t="s">
        <v>76</v>
      </c>
      <c r="AN13" s="42" t="s">
        <v>76</v>
      </c>
      <c r="AO13" s="42" t="s">
        <v>76</v>
      </c>
      <c r="AP13" s="42" t="s">
        <v>76</v>
      </c>
      <c r="AQ13" s="42" t="s">
        <v>76</v>
      </c>
      <c r="AR13" s="42" t="s">
        <v>76</v>
      </c>
      <c r="AS13" s="42" t="s">
        <v>76</v>
      </c>
      <c r="AT13" s="42" t="s">
        <v>76</v>
      </c>
      <c r="AU13" s="42" t="s">
        <v>76</v>
      </c>
      <c r="AV13" s="42" t="s">
        <v>76</v>
      </c>
      <c r="AW13" s="42" t="s">
        <v>76</v>
      </c>
      <c r="AX13" s="42" t="s">
        <v>76</v>
      </c>
      <c r="AY13" s="42" t="s">
        <v>76</v>
      </c>
      <c r="AZ13" s="42" t="s">
        <v>76</v>
      </c>
      <c r="BA13" s="42" t="s">
        <v>76</v>
      </c>
      <c r="BB13" s="42" t="s">
        <v>76</v>
      </c>
      <c r="BC13" s="42" t="s">
        <v>76</v>
      </c>
      <c r="BD13" s="42" t="s">
        <v>76</v>
      </c>
      <c r="BE13" s="42" t="s">
        <v>76</v>
      </c>
      <c r="BF13" s="42" t="s">
        <v>76</v>
      </c>
      <c r="BG13" s="42" t="s">
        <v>76</v>
      </c>
      <c r="BH13" s="42" t="s">
        <v>76</v>
      </c>
      <c r="BI13" s="42" t="s">
        <v>76</v>
      </c>
      <c r="BJ13" s="42" t="s">
        <v>76</v>
      </c>
      <c r="BK13" s="42" t="s">
        <v>76</v>
      </c>
      <c r="BL13" s="42" t="s">
        <v>76</v>
      </c>
      <c r="BM13" s="42" t="s">
        <v>76</v>
      </c>
      <c r="BN13" s="42" t="s">
        <v>76</v>
      </c>
      <c r="BO13" s="42" t="s">
        <v>76</v>
      </c>
      <c r="BP13" s="42" t="s">
        <v>76</v>
      </c>
      <c r="BQ13" s="42" t="s">
        <v>76</v>
      </c>
      <c r="BR13" s="42" t="s">
        <v>76</v>
      </c>
      <c r="BS13" s="42" t="s">
        <v>76</v>
      </c>
      <c r="BT13" s="42" t="s">
        <v>76</v>
      </c>
      <c r="BU13" s="11">
        <v>90</v>
      </c>
      <c r="BV13" s="11">
        <v>90</v>
      </c>
      <c r="BW13" s="43" t="s">
        <v>76</v>
      </c>
      <c r="BX13" s="43" t="s">
        <v>76</v>
      </c>
      <c r="BY13" s="43" t="s">
        <v>76</v>
      </c>
      <c r="BZ13" s="43" t="s">
        <v>76</v>
      </c>
      <c r="CA13" s="43" t="s">
        <v>76</v>
      </c>
      <c r="CB13" s="43" t="s">
        <v>76</v>
      </c>
      <c r="CC13" s="43" t="s">
        <v>76</v>
      </c>
      <c r="CD13" s="43" t="s">
        <v>76</v>
      </c>
      <c r="CE13" s="43" t="s">
        <v>76</v>
      </c>
      <c r="CF13" s="43" t="s">
        <v>76</v>
      </c>
      <c r="CG13" s="43" t="s">
        <v>76</v>
      </c>
      <c r="CH13" s="43" t="s">
        <v>76</v>
      </c>
      <c r="CI13" s="43" t="s">
        <v>76</v>
      </c>
      <c r="CJ13" s="43" t="s">
        <v>76</v>
      </c>
      <c r="CK13" s="43" t="s">
        <v>76</v>
      </c>
      <c r="CL13" s="43" t="s">
        <v>76</v>
      </c>
      <c r="CM13" s="43" t="s">
        <v>76</v>
      </c>
      <c r="CN13" s="43" t="s">
        <v>76</v>
      </c>
      <c r="CO13" s="43" t="s">
        <v>76</v>
      </c>
      <c r="CP13" s="43" t="s">
        <v>76</v>
      </c>
      <c r="CQ13" s="43" t="s">
        <v>76</v>
      </c>
      <c r="CR13" s="43" t="s">
        <v>76</v>
      </c>
      <c r="CS13" s="43" t="s">
        <v>76</v>
      </c>
      <c r="CT13" s="43" t="s">
        <v>76</v>
      </c>
      <c r="CU13" s="43" t="s">
        <v>76</v>
      </c>
      <c r="CV13" s="43" t="s">
        <v>76</v>
      </c>
      <c r="CW13" s="43" t="s">
        <v>76</v>
      </c>
      <c r="CX13" s="43" t="s">
        <v>76</v>
      </c>
      <c r="CY13" s="43" t="s">
        <v>76</v>
      </c>
      <c r="CZ13" s="43" t="s">
        <v>76</v>
      </c>
      <c r="DA13" s="43" t="s">
        <v>76</v>
      </c>
      <c r="DB13" s="43" t="s">
        <v>76</v>
      </c>
      <c r="DC13" s="43" t="s">
        <v>76</v>
      </c>
      <c r="DD13" s="43" t="s">
        <v>76</v>
      </c>
      <c r="DE13" s="43" t="s">
        <v>76</v>
      </c>
      <c r="DF13" s="43" t="s">
        <v>76</v>
      </c>
      <c r="DG13" s="43" t="s">
        <v>76</v>
      </c>
      <c r="DH13" s="43" t="s">
        <v>76</v>
      </c>
      <c r="DI13" s="43" t="s">
        <v>76</v>
      </c>
      <c r="DJ13" s="43" t="s">
        <v>76</v>
      </c>
      <c r="DK13" s="43" t="s">
        <v>76</v>
      </c>
      <c r="DL13" s="43" t="s">
        <v>76</v>
      </c>
      <c r="DM13" s="43" t="s">
        <v>76</v>
      </c>
      <c r="DN13" s="43" t="s">
        <v>76</v>
      </c>
      <c r="DO13" s="43" t="s">
        <v>76</v>
      </c>
      <c r="DP13" s="43" t="s">
        <v>76</v>
      </c>
      <c r="DQ13" s="43" t="s">
        <v>76</v>
      </c>
      <c r="DR13" s="43" t="s">
        <v>76</v>
      </c>
      <c r="DS13" s="43" t="s">
        <v>76</v>
      </c>
      <c r="DT13" s="43" t="s">
        <v>76</v>
      </c>
      <c r="DU13" s="43" t="s">
        <v>76</v>
      </c>
      <c r="DV13" s="43" t="s">
        <v>76</v>
      </c>
      <c r="DW13" s="43" t="s">
        <v>76</v>
      </c>
      <c r="DX13" s="43" t="s">
        <v>76</v>
      </c>
      <c r="DY13" s="43" t="s">
        <v>76</v>
      </c>
      <c r="DZ13" s="43" t="s">
        <v>76</v>
      </c>
      <c r="EA13" s="43" t="s">
        <v>76</v>
      </c>
      <c r="EB13" s="43" t="s">
        <v>76</v>
      </c>
      <c r="EC13" s="43" t="s">
        <v>76</v>
      </c>
      <c r="ED13" s="43" t="s">
        <v>76</v>
      </c>
      <c r="EE13" s="43" t="s">
        <v>76</v>
      </c>
      <c r="EF13" s="43" t="s">
        <v>76</v>
      </c>
      <c r="EG13" s="43" t="s">
        <v>76</v>
      </c>
      <c r="EH13" s="43" t="s">
        <v>76</v>
      </c>
      <c r="EI13" s="43" t="s">
        <v>76</v>
      </c>
      <c r="EJ13" s="43" t="s">
        <v>76</v>
      </c>
      <c r="EK13" s="43" t="s">
        <v>76</v>
      </c>
      <c r="EL13" s="43" t="s">
        <v>76</v>
      </c>
      <c r="EM13" s="43" t="s">
        <v>76</v>
      </c>
      <c r="EN13" s="43" t="s">
        <v>76</v>
      </c>
      <c r="EO13" s="43" t="s">
        <v>76</v>
      </c>
      <c r="EP13" s="43" t="s">
        <v>76</v>
      </c>
      <c r="EQ13" s="43" t="s">
        <v>76</v>
      </c>
      <c r="ER13" s="43" t="s">
        <v>76</v>
      </c>
      <c r="ES13" s="43" t="s">
        <v>76</v>
      </c>
      <c r="ET13" s="43" t="s">
        <v>76</v>
      </c>
      <c r="EU13" s="43" t="s">
        <v>76</v>
      </c>
      <c r="EV13" s="43" t="s">
        <v>76</v>
      </c>
      <c r="EW13" s="43" t="s">
        <v>76</v>
      </c>
      <c r="EX13" s="43" t="s">
        <v>76</v>
      </c>
      <c r="EY13" s="43" t="s">
        <v>76</v>
      </c>
      <c r="EZ13" s="43" t="s">
        <v>76</v>
      </c>
      <c r="FA13" s="43" t="s">
        <v>76</v>
      </c>
      <c r="FB13" s="43" t="s">
        <v>76</v>
      </c>
      <c r="FC13" s="43" t="s">
        <v>76</v>
      </c>
      <c r="FD13" s="43" t="s">
        <v>76</v>
      </c>
      <c r="FE13" s="43" t="s">
        <v>76</v>
      </c>
      <c r="FF13" s="43" t="s">
        <v>76</v>
      </c>
      <c r="FG13" s="43" t="s">
        <v>76</v>
      </c>
      <c r="FH13" s="43" t="s">
        <v>76</v>
      </c>
      <c r="FI13" s="43" t="s">
        <v>76</v>
      </c>
      <c r="FJ13" s="43" t="s">
        <v>76</v>
      </c>
      <c r="FK13" s="43" t="s">
        <v>76</v>
      </c>
      <c r="FL13" s="43" t="s">
        <v>76</v>
      </c>
      <c r="FM13" s="43" t="s">
        <v>76</v>
      </c>
      <c r="FN13" s="43" t="s">
        <v>76</v>
      </c>
      <c r="FO13" s="43" t="s">
        <v>76</v>
      </c>
      <c r="FP13" s="43" t="s">
        <v>76</v>
      </c>
      <c r="FQ13" s="43" t="s">
        <v>76</v>
      </c>
      <c r="FR13" s="43" t="s">
        <v>76</v>
      </c>
      <c r="FS13" s="43" t="s">
        <v>76</v>
      </c>
      <c r="FT13" s="43" t="s">
        <v>76</v>
      </c>
      <c r="FU13" s="43" t="s">
        <v>76</v>
      </c>
      <c r="FV13" s="43" t="s">
        <v>76</v>
      </c>
      <c r="FW13" s="43" t="s">
        <v>76</v>
      </c>
      <c r="FX13" s="43" t="s">
        <v>76</v>
      </c>
      <c r="FY13" s="43" t="s">
        <v>76</v>
      </c>
      <c r="FZ13" s="43" t="s">
        <v>76</v>
      </c>
      <c r="GA13" s="43" t="s">
        <v>76</v>
      </c>
      <c r="GB13" s="43" t="s">
        <v>76</v>
      </c>
      <c r="GC13" s="43" t="s">
        <v>76</v>
      </c>
      <c r="GD13" s="43" t="s">
        <v>76</v>
      </c>
      <c r="GE13" s="43" t="s">
        <v>76</v>
      </c>
      <c r="GF13" s="43" t="s">
        <v>76</v>
      </c>
      <c r="GG13" s="43" t="s">
        <v>76</v>
      </c>
      <c r="GH13" s="43" t="s">
        <v>76</v>
      </c>
      <c r="GI13" s="43" t="s">
        <v>76</v>
      </c>
      <c r="GJ13" s="43" t="s">
        <v>76</v>
      </c>
      <c r="GK13" s="43" t="s">
        <v>76</v>
      </c>
      <c r="GL13" s="43" t="s">
        <v>76</v>
      </c>
      <c r="GM13" s="43" t="s">
        <v>76</v>
      </c>
      <c r="GN13" s="43" t="s">
        <v>76</v>
      </c>
      <c r="GO13" s="43" t="s">
        <v>76</v>
      </c>
      <c r="GP13" s="43" t="s">
        <v>76</v>
      </c>
      <c r="GQ13" s="43" t="s">
        <v>76</v>
      </c>
      <c r="GR13" s="43" t="s">
        <v>76</v>
      </c>
      <c r="GS13" s="43" t="s">
        <v>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S13"/>
  <sheetViews>
    <sheetView workbookViewId="0">
      <selection activeCell="FY1" sqref="FY1:FY1048576"/>
    </sheetView>
  </sheetViews>
  <sheetFormatPr defaultRowHeight="14.5" x14ac:dyDescent="0.35"/>
  <cols>
    <col min="69" max="70" width="8.6328125" style="42"/>
  </cols>
  <sheetData>
    <row r="1" spans="1:201" x14ac:dyDescent="0.35">
      <c r="A1" t="s">
        <v>516</v>
      </c>
    </row>
    <row r="2" spans="1:201" s="42" customFormat="1" x14ac:dyDescent="0.35"/>
    <row r="3" spans="1:201" s="1" customFormat="1" ht="87" x14ac:dyDescent="0.35">
      <c r="A3" s="1" t="str">
        <f>'Formulation Name Data'!A160&amp;"_T1"</f>
        <v>D502W_CL_C8G3_DGBE_0.2_0.19_0.5_T1</v>
      </c>
      <c r="B3" s="1" t="str">
        <f>'Formulation Name Data'!A160&amp;"_T2"</f>
        <v>D502W_CL_C8G3_DGBE_0.2_0.19_0.5_T2</v>
      </c>
      <c r="C3" s="1" t="str">
        <f>'Formulation Name Data'!A160&amp;"_T3"</f>
        <v>D502W_CL_C8G3_DGBE_0.2_0.19_0.5_T3</v>
      </c>
      <c r="D3" s="1" t="str">
        <f>'Formulation Name Data'!A56&amp;"_T1"</f>
        <v>G215_0.5_T1</v>
      </c>
      <c r="E3" s="1" t="str">
        <f>'Formulation Name Data'!A56&amp;"_T2"</f>
        <v>G215_0.5_T2</v>
      </c>
      <c r="F3" s="1" t="str">
        <f>'Formulation Name Data'!A56&amp;"_T3"</f>
        <v>G215_0.5_T3</v>
      </c>
      <c r="G3" s="1" t="str">
        <f>'Formulation Name Data'!A33&amp;"_T1"</f>
        <v>D502W_G215_DGBE_0.075_0.05_0.5_T1</v>
      </c>
      <c r="H3" s="1" t="str">
        <f>'Formulation Name Data'!A33&amp;"_T2"</f>
        <v>D502W_G215_DGBE_0.075_0.05_0.5_T2</v>
      </c>
      <c r="I3" s="1" t="str">
        <f>'Formulation Name Data'!A33&amp;"_T3"</f>
        <v>D502W_G215_DGBE_0.075_0.05_0.5_T3</v>
      </c>
      <c r="J3" s="1" t="str">
        <f>'Formulation Name Data'!A98&amp;"_T1"</f>
        <v>ComSor1830503_T1</v>
      </c>
      <c r="K3" s="1" t="str">
        <f>'Formulation Name Data'!A98&amp;"_T2"</f>
        <v>ComSor1830503_T2</v>
      </c>
      <c r="L3" s="1" t="str">
        <f>'Formulation Name Data'!A99&amp;"_T1"</f>
        <v>ComSor_26990-95B_T1</v>
      </c>
      <c r="M3" s="1" t="str">
        <f>'Formulation Name Data'!A100&amp;"_T1"</f>
        <v>ComSor_26990-95C_T1</v>
      </c>
      <c r="N3" s="1" t="str">
        <f>'Formulation Name Data'!A100&amp;"_T2"</f>
        <v>ComSor_26990-95C_T2</v>
      </c>
      <c r="O3" s="1" t="str">
        <f>'Formulation Name Data'!A101&amp;"_T1"</f>
        <v>ComSor_26990-95D_T1</v>
      </c>
      <c r="P3" s="1" t="str">
        <f>'Formulation Name Data'!A101&amp;"_T2"</f>
        <v>ComSor_26990-95D_T2</v>
      </c>
      <c r="Q3" s="1" t="str">
        <f>'Formulation Name Data'!A102&amp;"_T1"</f>
        <v>D502W_C8SG2_DGBE_0.2_0.19_0.5_T1</v>
      </c>
      <c r="R3" s="1" t="str">
        <f>'Formulation Name Data'!A102&amp;"_T2"</f>
        <v>D502W_C8SG2_DGBE_0.2_0.19_0.5_T2</v>
      </c>
      <c r="S3" s="1" t="str">
        <f>'Formulation Name Data'!A102&amp;"_T3"</f>
        <v>D502W_C8SG2_DGBE_0.2_0.19_0.5_T3</v>
      </c>
      <c r="T3" s="1" t="str">
        <f>'Formulation Name Data'!A103&amp;"_T1"</f>
        <v>D502W_Cymal_DGBE_0.2_0.19_0.5_T1</v>
      </c>
      <c r="U3" s="1" t="str">
        <f>'Formulation Name Data'!A103&amp;"_T2"</f>
        <v>D502W_Cymal_DGBE_0.2_0.19_0.5_T2</v>
      </c>
      <c r="V3" s="1" t="str">
        <f>'Formulation Name Data'!A103&amp;"_T3"</f>
        <v>D502W_Cymal_DGBE_0.2_0.19_0.5_T3</v>
      </c>
      <c r="W3" s="1" t="str">
        <f>'Formulation Name Data'!A104&amp;"_T1"</f>
        <v>D502W_iC8G2_DGBE_0.2_0.19_0.5_T1</v>
      </c>
      <c r="X3" s="1" t="str">
        <f>'Formulation Name Data'!A104&amp;"_T2"</f>
        <v>D502W_iC8G2_DGBE_0.2_0.19_0.5_T2</v>
      </c>
      <c r="Y3" s="1" t="str">
        <f>'Formulation Name Data'!A104&amp;"_T3"</f>
        <v>D502W_iC8G2_DGBE_0.2_0.19_0.5_T3</v>
      </c>
      <c r="Z3" s="1" t="str">
        <f>'Formulation Name Data'!A105&amp;"_T1"</f>
        <v>D502W_C6G2_DGBE_0.2_0.19_0.5_T1</v>
      </c>
      <c r="AA3" s="1" t="str">
        <f>'Formulation Name Data'!A105&amp;"_T2"</f>
        <v>D502W_C6G2_DGBE_0.2_0.19_0.5_T2</v>
      </c>
      <c r="AB3" s="1" t="str">
        <f>'Formulation Name Data'!A105&amp;"_T3"</f>
        <v>D502W_C6G2_DGBE_0.2_0.19_0.5_T3</v>
      </c>
      <c r="AC3" s="1" t="str">
        <f>'Formulation Name Data'!A106&amp;"_T1"</f>
        <v>D502W_C9G2_DGBE_0.2_0.19_0.5_T1</v>
      </c>
      <c r="AD3" s="1" t="str">
        <f>'Formulation Name Data'!A106&amp;"_T2"</f>
        <v>D502W_C9G2_DGBE_0.2_0.19_0.5_T2</v>
      </c>
      <c r="AE3" s="1" t="str">
        <f>'Formulation Name Data'!A106&amp;"_T3"</f>
        <v>D502W_C9G2_DGBE_0.2_0.19_0.5_T3</v>
      </c>
      <c r="AF3" s="1" t="str">
        <f>'Formulation Name Data'!A107&amp;"_T1"</f>
        <v>D502W_C6G1_DGBE_0.2_0.19_0.5_T1</v>
      </c>
      <c r="AG3" s="1" t="str">
        <f>'Formulation Name Data'!A107&amp;"_T2"</f>
        <v>D502W_C6G1_DGBE_0.2_0.19_0.5_T2</v>
      </c>
      <c r="AH3" s="1" t="str">
        <f>'Formulation Name Data'!A107&amp;"_T3"</f>
        <v>D502W_C6G1_DGBE_0.2_0.19_0.5_T3</v>
      </c>
      <c r="AI3" s="1" t="str">
        <f>'Formulation Name Data'!A108&amp;"_T1"</f>
        <v>D502W_C7G1_DGBE_0.2_0.19_0.5_T1</v>
      </c>
      <c r="AJ3" s="1" t="str">
        <f>'Formulation Name Data'!A108&amp;"_T2"</f>
        <v>D502W_C7G1_DGBE_0.2_0.19_0.5_T2</v>
      </c>
      <c r="AK3" s="1" t="str">
        <f>'Formulation Name Data'!A108&amp;"_T3"</f>
        <v>D502W_C7G1_DGBE_0.2_0.19_0.5_T3</v>
      </c>
      <c r="AL3" s="1" t="str">
        <f>'Formulation Name Data'!A44&amp;"_T1"</f>
        <v>Cap_0.5_T1</v>
      </c>
      <c r="AM3" s="1" t="str">
        <f>'Formulation Name Data'!A44&amp;"_T2"</f>
        <v>Cap_0.5_T2</v>
      </c>
      <c r="AN3" s="1" t="str">
        <f>'Formulation Name Data'!A44&amp;"_T3"</f>
        <v>Cap_0.5_T3</v>
      </c>
      <c r="AO3" s="1" t="str">
        <f>'Formulation Name Data'!A41&amp;"_T1"</f>
        <v>G225_0.5_T1</v>
      </c>
      <c r="AP3" s="1" t="str">
        <f>'Formulation Name Data'!A41&amp;"_T2"</f>
        <v>G225_0.5_T2</v>
      </c>
      <c r="AQ3" s="1" t="str">
        <f>'Formulation Name Data'!A41&amp;"_T3"</f>
        <v>G225_0.5_T3</v>
      </c>
      <c r="AR3" s="1" t="str">
        <f>'Formulation Name Data'!A38&amp;"_T1"</f>
        <v>D502W_G225_0.2_0.3_T1</v>
      </c>
      <c r="AS3" s="1" t="str">
        <f>'Formulation Name Data'!A38&amp;"_T2"</f>
        <v>D502W_G225_0.2_0.3_T2</v>
      </c>
      <c r="AT3" s="1" t="str">
        <f>'Formulation Name Data'!A38&amp;"_T3"</f>
        <v>D502W_G225_0.2_0.3_T3</v>
      </c>
      <c r="AU3" s="1" t="str">
        <f>'Formulation Name Data'!A37&amp;"_T5"</f>
        <v>D502W_G225_DGBE_0.2_0.3_0.5_T5</v>
      </c>
      <c r="AV3" s="1" t="str">
        <f>'Formulation Name Data'!A37&amp;"_T6"</f>
        <v>D502W_G225_DGBE_0.2_0.3_0.5_T6</v>
      </c>
      <c r="AW3" s="1" t="str">
        <f>'Formulation Name Data'!A37&amp;"_T7"</f>
        <v>D502W_G225_DGBE_0.2_0.3_0.5_T7</v>
      </c>
      <c r="AX3" s="1" t="str">
        <f>'Formulation Name Data'!A109&amp;"_T1"</f>
        <v>G225_DGBE_0.3_0.5_T1</v>
      </c>
      <c r="AY3" s="1" t="str">
        <f>'Formulation Name Data'!A109&amp;"_T2"</f>
        <v>G225_DGBE_0.3_0.5_T2</v>
      </c>
      <c r="AZ3" s="1" t="str">
        <f>'Formulation Name Data'!A64&amp;"_T1"</f>
        <v>Avio®F3 Green KHC_T1</v>
      </c>
      <c r="BA3" s="1" t="str">
        <f>'Formulation Name Data'!A64&amp;"_T2"</f>
        <v>Avio®F3 Green KHC_T2</v>
      </c>
      <c r="BB3" s="1" t="str">
        <f>'Formulation Name Data'!A64&amp;"_T3"</f>
        <v>Avio®F3 Green KHC_T3</v>
      </c>
      <c r="BC3" s="1" t="str">
        <f>'Formulation Name Data'!A65&amp;"_T1"</f>
        <v>JetFoam 3%_T1</v>
      </c>
      <c r="BD3" s="1" t="str">
        <f>'Formulation Name Data'!A65&amp;"_T2"</f>
        <v>JetFoam 3%_T2</v>
      </c>
      <c r="BE3" s="1" t="str">
        <f>'Formulation Name Data'!A110&amp;"_T1"</f>
        <v>ComSor_EXP-21-CH1035-B_T1</v>
      </c>
      <c r="BF3" s="1" t="str">
        <f>'Formulation Name Data'!A110&amp;"_T2"</f>
        <v>ComSor_EXP-21-CH1035-B_T2</v>
      </c>
      <c r="BG3" s="1" t="str">
        <f>'Formulation Name Data'!A117&amp;"_T1"</f>
        <v>ComSor_EXP-21-CH1035-A_T1</v>
      </c>
      <c r="BH3" s="1" t="str">
        <f>'Formulation Name Data'!A117&amp;"_T2"</f>
        <v>ComSor_EXP-21-CH1035-A_T2</v>
      </c>
      <c r="BI3" s="1" t="str">
        <f>'Formulation Name Data'!A118&amp;"_T1"</f>
        <v>ComSor_EXP-21-CH1035-C_T1</v>
      </c>
      <c r="BJ3" s="1" t="str">
        <f>'Formulation Name Data'!A63&amp;"_T1"</f>
        <v>ComSor_EXP-21-1_T1</v>
      </c>
      <c r="BK3" s="1" t="str">
        <f>'Formulation Name Data'!A63&amp;"_T2"</f>
        <v>ComSor_EXP-21-1_T2</v>
      </c>
      <c r="BL3" s="1" t="str">
        <f>'Formulation Name Data'!A62&amp;"_T1"</f>
        <v>ComSor_EXP-21-2_T1</v>
      </c>
      <c r="BM3" s="1" t="str">
        <f>'Formulation Name Data'!A62&amp;"_T2"</f>
        <v>ComSor_EXP-21-2_T2</v>
      </c>
      <c r="BN3" s="1" t="str">
        <f>'Formulation Name Data'!A68&amp;"_T1"</f>
        <v>ComSor_EXP-21-3_T1</v>
      </c>
      <c r="BO3" s="1" t="str">
        <f>'Formulation Name Data'!A69&amp;"_T1"</f>
        <v>ComSor_EXP-21-5_T1</v>
      </c>
      <c r="BP3" s="1" t="str">
        <f>'Formulation Name Data'!A69&amp;"_T2"</f>
        <v>ComSor_EXP-21-5_T2</v>
      </c>
      <c r="BQ3" s="1" t="str">
        <f>'Formulation Name Data'!A70&amp;"_T1"</f>
        <v>ComSor_EXP-21-6_T1</v>
      </c>
      <c r="BR3" s="1" t="str">
        <f>'Formulation Name Data'!A70&amp;"_T2"</f>
        <v>ComSor_EXP-21-6_T2</v>
      </c>
      <c r="BS3" s="1" t="str">
        <f>'Formulation Name Data'!A71&amp;"_T1"</f>
        <v>ComSor_EXP-21-7_T1</v>
      </c>
      <c r="BT3" s="1" t="str">
        <f>'Formulation Name Data'!A71&amp;"_T2"</f>
        <v>ComSor_EXP-21-7_T2</v>
      </c>
      <c r="BU3" s="1" t="str">
        <f>'Formulation Name Data'!A8&amp;"_T1"</f>
        <v>Cap_G215_DGBE_0.3_0.2_0.5_T1</v>
      </c>
      <c r="BV3" s="1" t="str">
        <f>'Formulation Name Data'!A8&amp;"_T2"</f>
        <v>Cap_G215_DGBE_0.3_0.2_0.5_T2</v>
      </c>
      <c r="BW3" s="1" t="str">
        <f>'Formulation Name Data'!A37&amp;"_T1"</f>
        <v>D502W_G225_DGBE_0.2_0.3_0.5_T1</v>
      </c>
      <c r="BX3" s="1" t="str">
        <f>'Formulation Name Data'!A37&amp;"_T2"</f>
        <v>D502W_G225_DGBE_0.2_0.3_0.5_T2</v>
      </c>
      <c r="BY3" s="1" t="str">
        <f>'Formulation Name Data'!A37&amp;"_T3"</f>
        <v>D502W_G225_DGBE_0.2_0.3_0.5_T3</v>
      </c>
      <c r="BZ3" s="1" t="str">
        <f>'Formulation Name Data'!A37&amp;"_T4"</f>
        <v>D502W_G225_DGBE_0.2_0.3_0.5_T4</v>
      </c>
      <c r="CA3" s="1" t="str">
        <f>'Formulation Name Data'!A54&amp;"_T1"</f>
        <v>D502W_0.5_T1</v>
      </c>
      <c r="CB3" s="1" t="str">
        <f>'Formulation Name Data'!A54&amp;"_T2"</f>
        <v>D502W_0.5_T2</v>
      </c>
      <c r="CC3" s="1" t="str">
        <f>'Formulation Name Data'!A54&amp;"_T3"</f>
        <v>D502W_0.5_T3</v>
      </c>
      <c r="CD3" s="1" t="str">
        <f>'Formulation Name Data'!A55&amp;"_T1"</f>
        <v>D193_0.5_T1</v>
      </c>
      <c r="CE3" s="1" t="str">
        <f>'Formulation Name Data'!A55&amp;"_T2"</f>
        <v>D193_0.5_T2</v>
      </c>
      <c r="CF3" s="1" t="str">
        <f>'Formulation Name Data'!A42&amp;"_T1"</f>
        <v>D501W_0.5_T1</v>
      </c>
      <c r="CG3" s="1" t="str">
        <f>'Formulation Name Data'!A42&amp;"_T2"</f>
        <v>D501W_0.5_T2</v>
      </c>
      <c r="CH3" s="1" t="str">
        <f>'Formulation Name Data'!A42&amp;"_T3"</f>
        <v>D501W_0.5_T3</v>
      </c>
      <c r="CI3" s="1" t="str">
        <f>'Formulation Name Data'!A52&amp;"_T1"</f>
        <v>L77_0.5_T1</v>
      </c>
      <c r="CJ3" s="1" t="str">
        <f>'Formulation Name Data'!A52&amp;"_T2"</f>
        <v>L77_0.5_T2</v>
      </c>
      <c r="CK3" s="1" t="str">
        <f>'Formulation Name Data'!A52&amp;"_T3"</f>
        <v>L77_0.5_T3</v>
      </c>
      <c r="CL3" s="1" t="str">
        <f>'Formulation Name Data'!A43&amp;"_T2"</f>
        <v>D67_0.5_T2</v>
      </c>
      <c r="CM3" s="1" t="str">
        <f>'Formulation Name Data'!A43&amp;"_T3"</f>
        <v>D67_0.5_T3</v>
      </c>
      <c r="CN3" s="1" t="str">
        <f>'Formulation Name Data'!A53&amp;"_T1"</f>
        <v>Gel6185_0.5_T1</v>
      </c>
      <c r="CO3" s="1" t="str">
        <f>'Formulation Name Data'!A53&amp;"_T2"</f>
        <v>Gel6185_0.5_T2</v>
      </c>
      <c r="CP3" s="1" t="str">
        <f>'Formulation Name Data'!A53&amp;"_T3"</f>
        <v>Gel6185_0.5_T3</v>
      </c>
      <c r="CQ3" s="1" t="str">
        <f>'Formulation Name Data'!A32&amp;"_T1"</f>
        <v>D501W_G215_DGBE_0.04_0.027_0.5_T1</v>
      </c>
      <c r="CR3" s="1" t="str">
        <f>'Formulation Name Data'!A32&amp;"_T2"</f>
        <v>D501W_G215_DGBE_0.04_0.027_0.5_T2</v>
      </c>
      <c r="CS3" s="1" t="str">
        <f>'Formulation Name Data'!A35&amp;"_T1"</f>
        <v>L77_G215_DGBE_0.11_0.08_0.5_T1</v>
      </c>
      <c r="CT3" s="1" t="str">
        <f>'Formulation Name Data'!A35&amp;"_T2"</f>
        <v>L77_G215_DGBE_0.11_0.08_0.5_T2</v>
      </c>
      <c r="CU3" s="1" t="str">
        <f>'Formulation Name Data'!A36&amp;"_T1"</f>
        <v>D67_G215_DGBE_0.06_0.04_0.5_T1</v>
      </c>
      <c r="CV3" s="1" t="str">
        <f>'Formulation Name Data'!A36&amp;"_T2"</f>
        <v>D67_G215_DGBE_0.06_0.04_0.5_T2</v>
      </c>
      <c r="CW3" s="1" t="str">
        <f>'Formulation Name Data'!A36&amp;"_T3"</f>
        <v>D67_G215_DGBE_0.06_0.04_0.5_T3</v>
      </c>
      <c r="CX3" s="1" t="str">
        <f>'Formulation Name Data'!A45&amp;"_T1"</f>
        <v>Gel6185_G215_DGBE_0.06_0.04_0.5_T1</v>
      </c>
      <c r="CY3" s="1" t="str">
        <f>'Formulation Name Data'!A45&amp;"_T2"</f>
        <v>Gel6185_G215_DGBE_0.06_0.04_0.5_T2</v>
      </c>
      <c r="CZ3" s="1" t="str">
        <f>'Formulation Name Data'!A45&amp;"_T3"</f>
        <v>Gel6185_G215_DGBE_0.06_0.04_0.5_T3</v>
      </c>
      <c r="DA3" s="12" t="str">
        <f>'Formulation Name Data'!A120&amp;"_T1"</f>
        <v>NRL_N10477-03_G225_DGBE_0.2_0.3_0.5_T1</v>
      </c>
      <c r="DB3" s="12" t="str">
        <f>'Formulation Name Data'!A120&amp;"_T2"</f>
        <v>NRL_N10477-03_G225_DGBE_0.2_0.3_0.5_T2</v>
      </c>
      <c r="DC3" s="12" t="str">
        <f>'Formulation Name Data'!A120&amp;"_T3"</f>
        <v>NRL_N10477-03_G225_DGBE_0.2_0.3_0.5_T3</v>
      </c>
      <c r="DD3" s="12" t="str">
        <f>'Formulation Name Data'!A121&amp;"_T1"</f>
        <v>NRL_N10477-01_G225_DGBE_0.2_0.3_0.5_T1</v>
      </c>
      <c r="DE3" s="12" t="str">
        <f>'Formulation Name Data'!A121&amp;"_T2"</f>
        <v>NRL_N10477-01_G225_DGBE_0.2_0.3_0.5_T2</v>
      </c>
      <c r="DF3" s="12" t="str">
        <f>'Formulation Name Data'!A75&amp;"_T1"</f>
        <v>D193_G215_DGBE_0.3_0.2_0.5_T1</v>
      </c>
      <c r="DG3" s="12" t="str">
        <f>'Formulation Name Data'!A75&amp;"_T2"</f>
        <v>D193_G215_DGBE_0.3_0.2_0.5_T2</v>
      </c>
      <c r="DH3" s="12" t="str">
        <f>'Formulation Name Data'!A92&amp;"_T1"</f>
        <v>NRL_N10477-09_G225_DGBE_0.2_0.3_0.5_T1</v>
      </c>
      <c r="DI3" s="12" t="str">
        <f>'Formulation Name Data'!A92&amp;"_T2"</f>
        <v>NRL_N10477-09_G225_DGBE_0.2_0.3_0.5_T2</v>
      </c>
      <c r="DJ3" s="12" t="str">
        <f>'Formulation Name Data'!A92&amp;"_T3"</f>
        <v>NRL_N10477-09_G225_DGBE_0.2_0.3_0.5_T3</v>
      </c>
      <c r="DK3" s="12" t="str">
        <f>'Formulation Name Data'!A93&amp;"_T1"</f>
        <v>TrX100_G215_DGBE_0.06_0.04_0.5_T1</v>
      </c>
      <c r="DL3" s="12" t="str">
        <f>'Formulation Name Data'!A93&amp;"_T2"</f>
        <v>TrX100_G215_DGBE_0.06_0.04_0.5_T2</v>
      </c>
      <c r="DM3" s="12" t="str">
        <f>'Formulation Name Data'!A93&amp;"_T3"</f>
        <v>TrX100_G215_DGBE_0.06_0.04_0.5_T3</v>
      </c>
      <c r="DN3" s="12" t="str">
        <f>'Formulation Name Data'!A21&amp;"_T1"</f>
        <v>TrX45_G215_DGBE_0.022_0.015_0.5_T1</v>
      </c>
      <c r="DO3" s="12" t="str">
        <f>'Formulation Name Data'!A21&amp;"_T2"</f>
        <v>TrX45_G215_DGBE_0.022_0.015_0.5_T2</v>
      </c>
      <c r="DP3" s="12" t="str">
        <f>'Formulation Name Data'!A21&amp;"_T3"</f>
        <v>TrX45_G215_DGBE_0.022_0.015_0.5_T3</v>
      </c>
      <c r="DQ3" s="12" t="str">
        <f>'Formulation Name Data'!A22&amp;"_T1"</f>
        <v>TrX114_G215_DGBE_0.04_0.027_0.5_T1</v>
      </c>
      <c r="DR3" s="12" t="str">
        <f>'Formulation Name Data'!A22&amp;"_T2"</f>
        <v>TrX114_G215_DGBE_0.04_0.027_0.5_T2</v>
      </c>
      <c r="DS3" s="12" t="str">
        <f>'Formulation Name Data'!A22&amp;"_T3"</f>
        <v>TrX114_G215_DGBE_0.04_0.027_0.5_T3</v>
      </c>
      <c r="DT3" s="12" t="str">
        <f>'Formulation Name Data'!A20&amp;"_T1"</f>
        <v>T15-S-7_G215_DGBE_0.03_0.02_0.5_T1</v>
      </c>
      <c r="DU3" s="12" t="str">
        <f>'Formulation Name Data'!A20&amp;"_T2"</f>
        <v>T15-S-7_G215_DGBE_0.03_0.02_0.5_T2</v>
      </c>
      <c r="DV3" s="12" t="str">
        <f>'Formulation Name Data'!A20&amp;"_T3"</f>
        <v>T15-S-7_G215_DGBE_0.03_0.02_0.5_T3</v>
      </c>
      <c r="DW3" s="12" t="str">
        <f>'Formulation Name Data'!A114&amp;"_T1"</f>
        <v>T15-S-9_G215_DGBE_0.03_0.02_0.5_T1</v>
      </c>
      <c r="DX3" s="12" t="str">
        <f>'Formulation Name Data'!A114&amp;"_T2"</f>
        <v>T15-S-9_G215_DGBE_0.03_0.02_0.5_T2</v>
      </c>
      <c r="DY3" s="12" t="str">
        <f>'Formulation Name Data'!A114&amp;"_T3"</f>
        <v>T15-S-9_G215_DGBE_0.03_0.02_0.5_T3</v>
      </c>
      <c r="DZ3" s="12" t="str">
        <f>'Formulation Name Data'!A115&amp;"_T1"</f>
        <v>T15-S-12_G215_DGBE_0.03_0.02_0.5_T1</v>
      </c>
      <c r="EA3" s="12" t="str">
        <f>'Formulation Name Data'!A115&amp;"_T2"</f>
        <v>T15-S-12_G215_DGBE_0.03_0.02_0.5_T2</v>
      </c>
      <c r="EB3" s="12" t="str">
        <f>'Formulation Name Data'!A115&amp;"_T3"</f>
        <v>T15-S-12_G215_DGBE_0.03_0.02_0.5_T3</v>
      </c>
      <c r="EC3" s="12" t="str">
        <f>'Formulation Name Data'!A95&amp;"_T2"</f>
        <v>SDS_G215_DGBE_0.22_0.15_0.5_T2</v>
      </c>
      <c r="ED3" s="12" t="str">
        <f>'Formulation Name Data'!A95&amp;"_T3"</f>
        <v>SDS_G215_DGBE_0.22_0.15_0.5_T3</v>
      </c>
      <c r="EE3" s="12" t="str">
        <f>'Formulation Name Data'!A28&amp;"_T1"</f>
        <v>Mys_G215_DGBE_0.068_0.045_0.5_T1</v>
      </c>
      <c r="EF3" s="12" t="str">
        <f>'Formulation Name Data'!A28&amp;"_T2"</f>
        <v>Mys_G215_DGBE_0.068_0.045_0.5_T2</v>
      </c>
      <c r="EG3" s="12" t="str">
        <f>'Formulation Name Data'!A28&amp;"_T3"</f>
        <v>Mys_G215_DGBE_0.068_0.045_0.5_T3</v>
      </c>
      <c r="EH3" s="12" t="str">
        <f>'Formulation Name Data'!A94&amp;"_T1"</f>
        <v>Gel6492.6_G215_DGBE_0.06_0.04_0.5_T1</v>
      </c>
      <c r="EI3" s="12" t="str">
        <f>'Formulation Name Data'!A94&amp;"_T2"</f>
        <v>Gel6492.6_G215_DGBE_0.06_0.04_0.5_T2</v>
      </c>
      <c r="EJ3" s="12" t="str">
        <f>'Formulation Name Data'!A94&amp;"_T3"</f>
        <v>Gel6492.6_G215_DGBE_0.06_0.04_0.5_T3</v>
      </c>
      <c r="EK3" s="12" t="str">
        <f>'Formulation Name Data'!A96&amp;"_T1"</f>
        <v>NRL_N10477-12_G225_DGBE_0.2_0.3_0.5_T1</v>
      </c>
      <c r="EL3" s="12" t="str">
        <f>'Formulation Name Data'!A96&amp;"_T2"</f>
        <v>NRL_N10477-12_G225_DGBE_0.2_0.3_0.5_T2</v>
      </c>
      <c r="EM3" s="12" t="str">
        <f>'Formulation Name Data'!A96&amp;"_T3"</f>
        <v>NRL_N10477-12_G225_DGBE_0.2_0.3_0.5_T3</v>
      </c>
      <c r="EN3" s="12" t="str">
        <f>'Formulation Name Data'!A97&amp;"_T1"</f>
        <v>NRL_N10477-07_G225_DGBE_0.2_0.3_0.5_T1</v>
      </c>
      <c r="EO3" s="12" t="str">
        <f>'Formulation Name Data'!A97&amp;"_T2"</f>
        <v>NRL_N10477-07_G225_DGBE_0.2_0.3_0.5_T2</v>
      </c>
      <c r="EP3" s="12" t="str">
        <f>'Formulation Name Data'!A97&amp;"_T3"</f>
        <v>NRL_N10477-07_G225_DGBE_0.2_0.3_0.5_T3</v>
      </c>
      <c r="EQ3" s="12" t="str">
        <f>'Formulation Name Data'!A39&amp;"_T1"</f>
        <v>NRL_N10358-176_G225_DGBE_0.2_0.3_0.5_T1</v>
      </c>
      <c r="ER3" s="12" t="str">
        <f>'Formulation Name Data'!A39&amp;"_T2"</f>
        <v>NRL_N10358-176_G225_DGBE_0.2_0.3_0.5_T2</v>
      </c>
      <c r="ES3" s="12" t="str">
        <f>'Formulation Name Data'!A39&amp;"_T3"</f>
        <v>NRL_N10358-176_G225_DGBE_0.2_0.3_0.5_T3</v>
      </c>
      <c r="ET3" s="12" t="str">
        <f>'Formulation Name Data'!A116&amp;"_T1"</f>
        <v>NRL_N10477-05_G215_DGBE_0.2_0.3_0.5_T1</v>
      </c>
      <c r="EU3" s="12" t="str">
        <f>'Formulation Name Data'!A116&amp;"_T2"</f>
        <v>NRL_N10477-05_G215_DGBE_0.2_0.3_0.5_T2</v>
      </c>
      <c r="EV3" s="12" t="str">
        <f>'Formulation Name Data'!A116&amp;"_T3"</f>
        <v>NRL_N10477-05_G215_DGBE_0.2_0.3_0.5_T3</v>
      </c>
      <c r="EW3" s="12" t="str">
        <f>'Formulation Name Data'!A40&amp;"_T1"</f>
        <v>NRL_N10358-174_G225_DGBE_0.2_0.3_0.5_T1</v>
      </c>
      <c r="EX3" s="12" t="str">
        <f>'Formulation Name Data'!A40&amp;"_T2"</f>
        <v>NRL_N10358-174_G225_DGBE_0.2_0.3_0.5_T2</v>
      </c>
      <c r="EY3" s="12" t="str">
        <f>'Formulation Name Data'!A40&amp;"_T3"</f>
        <v>NRL_N10358-174_G225_DGBE_0.2_0.3_0.5_T3</v>
      </c>
      <c r="EZ3" s="12" t="str">
        <f>'Formulation Name Data'!A46&amp;"_T1"</f>
        <v>ComSor181360_G225_DGBE_0.2_0.3_0.5_T1</v>
      </c>
      <c r="FA3" s="12" t="str">
        <f>'Formulation Name Data'!A48&amp;"_T1"</f>
        <v>D502W_C8G2_DGBE_0.2_0.19_0.5_T1</v>
      </c>
      <c r="FB3" s="12" t="str">
        <f>'Formulation Name Data'!A48&amp;"_T2"</f>
        <v>D502W_C8G2_DGBE_0.2_0.19_0.5_T2</v>
      </c>
      <c r="FC3" s="12" t="str">
        <f>'Formulation Name Data'!A48&amp;"_T3"</f>
        <v>D502W_C8G2_DGBE_0.2_0.19_0.5_T3</v>
      </c>
      <c r="FD3" s="12" t="str">
        <f>'Formulation Name Data'!A51&amp;"_T1"</f>
        <v>D502W_C8G1_DGBE_0.2_0.19_0.5_T1</v>
      </c>
      <c r="FE3" s="12" t="str">
        <f>'Formulation Name Data'!A51&amp;"_T2"</f>
        <v>D502W_C8G1_DGBE_0.2_0.19_0.5_T2</v>
      </c>
      <c r="FF3" s="12" t="str">
        <f>'Formulation Name Data'!A51&amp;"_T3"</f>
        <v>D502W_C8G1_DGBE_0.2_0.19_0.5_T3</v>
      </c>
      <c r="FG3" s="12" t="str">
        <f>'Formulation Name Data'!A49&amp;"_T1"</f>
        <v>D502W_C10G2_DGBE_0.2_0.19_0.5_T1</v>
      </c>
      <c r="FH3" s="12" t="str">
        <f>'Formulation Name Data'!A49&amp;"_T2"</f>
        <v>D502W_C10G2_DGBE_0.2_0.19_0.5_T2</v>
      </c>
      <c r="FI3" s="12" t="str">
        <f>'Formulation Name Data'!A50&amp;"_T3"</f>
        <v>D502W_C12G2_DGBE_0.2_0.19_0.5_T3</v>
      </c>
      <c r="FJ3" s="12" t="str">
        <f>'Formulation Name Data'!A187&amp;"_T1"</f>
        <v>NRL_N10478-240_G225_DGBE_#_0.3_0.5_T1</v>
      </c>
      <c r="FK3" s="12" t="str">
        <f>'Formulation Name Data'!A187&amp;"_T2"</f>
        <v>NRL_N10478-240_G225_DGBE_#_0.3_0.5_T2</v>
      </c>
      <c r="FL3" s="12" t="str">
        <f>'Formulation Name Data'!A188&amp;"_T1"</f>
        <v>CL_MD2102-90_G225_DGBE_0.2_0.3_0.5_T1</v>
      </c>
      <c r="FM3" s="12" t="str">
        <f>'Formulation Name Data'!A189&amp;"_T1"</f>
        <v>CL_MD2102-112_G225_DGBE_0.05_0.3_0.5_T1</v>
      </c>
      <c r="FN3" s="12" t="str">
        <f>'Formulation Name Data'!A189&amp;"_T2"</f>
        <v>CL_MD2102-112_G225_DGBE_0.05_0.3_0.5_T2</v>
      </c>
      <c r="FO3" s="12" t="str">
        <f>'Formulation Name Data'!A191&amp;"_T1"</f>
        <v>ComSor_EXP-21-CH1070-1_3_T1</v>
      </c>
      <c r="FP3" s="12" t="str">
        <f>'Formulation Name Data'!A191&amp;"_T2"</f>
        <v>ComSor_EXP-21-CH1070-1_3_T2</v>
      </c>
      <c r="FQ3" s="12" t="str">
        <f>'Formulation Name Data'!A190&amp;"_T1"</f>
        <v>CL_MD2102-118_G225_DGBE_0.2_0.3_0.5_T1</v>
      </c>
      <c r="FR3" s="12" t="str">
        <f>'Formulation Name Data'!A190&amp;"_T2"</f>
        <v>CL_MD2102-118_G225_DGBE_0.2_0.3_0.5_T2</v>
      </c>
      <c r="FS3" s="12" t="str">
        <f>'Formulation Name Data'!A192&amp;"_T1"</f>
        <v>ComSor_EXP-21-CH1070-2_3_T1</v>
      </c>
      <c r="FT3" s="12" t="str">
        <f>'Formulation Name Data'!A192&amp;"_T2"</f>
        <v>ComSor_EXP-21-CH1070-2_3_T2</v>
      </c>
      <c r="FU3" s="12" t="str">
        <f>'Formulation Name Data'!A193&amp;"_T1"</f>
        <v>ComSor_EXP-21-CH1070-4_1_T1</v>
      </c>
      <c r="FV3" s="12" t="str">
        <f>'Formulation Name Data'!A193&amp;"_T2"</f>
        <v>ComSor_EXP-21-CH1070-4_1_T2</v>
      </c>
      <c r="FW3" s="12" t="str">
        <f>'Formulation Name Data'!A182&amp;"_T1"</f>
        <v>NRL_LBII43_G225_DGBE_0.2_0.3_0.5_T1</v>
      </c>
      <c r="FX3" s="12" t="str">
        <f>'Formulation Name Data'!A182&amp;"_T2"</f>
        <v>NRL_LBII43_G225_DGBE_0.2_0.3_0.5_T2</v>
      </c>
      <c r="FY3" s="1" t="str">
        <f>'Formulation Name Data'!A185&amp;"_T1"</f>
        <v>NRL_N10478-227_G225_DGBE_0.063_0.3_0.5_T1</v>
      </c>
      <c r="FZ3" s="1" t="str">
        <f>'Formulation Name Data'!A72&amp;"_T1"</f>
        <v>D502W_DGBE_0.1_0.5_T1</v>
      </c>
      <c r="GA3" s="1" t="str">
        <f>'Formulation Name Data'!A72&amp;"_T2"</f>
        <v>D502W_DGBE_0.1_0.5_T2</v>
      </c>
      <c r="GB3" s="1" t="str">
        <f>'Formulation Name Data'!A72&amp;"_T3"</f>
        <v>D502W_DGBE_0.1_0.5_T3</v>
      </c>
      <c r="GC3" s="1" t="str">
        <f>'Formulation Name Data'!A183&amp;"_T1"</f>
        <v>NRL_CB_DTBTS_SB_G225_DGBE_0.02_0.3_0.5_T1</v>
      </c>
      <c r="GD3" s="1" t="str">
        <f>'Formulation Name Data'!A183&amp;"_T2"</f>
        <v>NRL_CB_DTBTS_SB_G225_DGBE_0.02_0.3_0.5_T2</v>
      </c>
      <c r="GE3" s="1" t="str">
        <f>'Formulation Name Data'!A184&amp;"_T1"</f>
        <v>NRL_CB-1-123_G225_DGBE_0.2_0.3_0.5_T1</v>
      </c>
      <c r="GF3" s="1" t="str">
        <f>'Formulation Name Data'!A138&amp;"_T1"</f>
        <v>CL_MD2086-97_G225_DGBE_0.34_0.56_0.5_T1</v>
      </c>
      <c r="GG3" s="1" t="str">
        <f>'Formulation Name Data'!A67&amp;"_T1"</f>
        <v>FomtecEnviroUSP 3%_T1</v>
      </c>
      <c r="GH3" s="1" t="str">
        <f>'Formulation Name Data'!A67&amp;"_T2"</f>
        <v>FomtecEnviroUSP 3%_T2</v>
      </c>
      <c r="GI3" s="1" t="str">
        <f>'Formulation Name Data'!A66&amp;"_T1"</f>
        <v>Solberg® Rehealing RF3 3%_T1</v>
      </c>
      <c r="GJ3" s="1" t="str">
        <f>'Formulation Name Data'!A66&amp;"_T2"</f>
        <v>Solberg® Rehealing RF3 3%_T2</v>
      </c>
      <c r="GK3" s="1" t="str">
        <f>'Formulation Name Data'!A197&amp;"_T1"</f>
        <v>NRL_CB-1-192_G225_DGBE_0.14_0.21_0.5_T1</v>
      </c>
      <c r="GL3" s="1" t="str">
        <f>'Formulation Name Data'!A197&amp;"_T2"</f>
        <v>NRL_CB-1-192_G225_DGBE_0.14_0.21_0.5_T2</v>
      </c>
      <c r="GM3" s="12" t="str">
        <f>'Formulation Name Data'!A166&amp;"_T1"</f>
        <v>ComSor_EXP-22-CH1050_T1</v>
      </c>
      <c r="GN3" s="1" t="str">
        <f>'Formulation Name Data'!A111&amp;"_T1"</f>
        <v>G225_DGBE_0.5_0.5_T1</v>
      </c>
      <c r="GO3" s="1" t="str">
        <f>'Formulation Name Data'!A111&amp;"_T2"</f>
        <v>G225_DGBE_0.5_0.5_T2</v>
      </c>
      <c r="GP3" s="1" t="str">
        <f>'Formulation Name Data'!A111&amp;"_T3"</f>
        <v>G225_DGBE_0.5_0.5_T3</v>
      </c>
      <c r="GQ3" s="1" t="str">
        <f>'Formulation Name Data'!A112&amp;"_T1"</f>
        <v>G600_DGBE_0.5_0.5_T1</v>
      </c>
      <c r="GR3" s="1" t="str">
        <f>'Formulation Name Data'!A112&amp;"_T2"</f>
        <v>G600_DGBE_0.5_0.5_T2</v>
      </c>
      <c r="GS3" s="1" t="str">
        <f>'Formulation Name Data'!A112&amp;"_T3"</f>
        <v>G600_DGBE_0.5_0.5_T3</v>
      </c>
    </row>
    <row r="4" spans="1:201" x14ac:dyDescent="0.35">
      <c r="A4" s="11">
        <v>4.1760000000000002</v>
      </c>
      <c r="B4" s="11">
        <v>4.0640000000000001</v>
      </c>
      <c r="C4" s="11">
        <v>3.899</v>
      </c>
      <c r="D4" s="11">
        <v>4.2050000000000001</v>
      </c>
      <c r="E4" s="11">
        <v>3.9409999999999998</v>
      </c>
      <c r="F4" s="11">
        <v>3.92</v>
      </c>
      <c r="G4" s="11">
        <v>3.7040000000000002</v>
      </c>
      <c r="H4" s="11">
        <v>3.903</v>
      </c>
      <c r="I4" s="11">
        <v>4.2009999999999996</v>
      </c>
      <c r="J4" s="11">
        <v>4.0250000000000004</v>
      </c>
      <c r="K4" s="11">
        <v>4.1150000000000002</v>
      </c>
      <c r="L4" s="11">
        <v>4.0880000000000001</v>
      </c>
      <c r="M4" s="11">
        <v>4.3040000000000003</v>
      </c>
      <c r="N4" s="11">
        <v>4.37</v>
      </c>
      <c r="O4" s="11">
        <v>4.1040000000000001</v>
      </c>
      <c r="P4" s="11">
        <v>4.2149999999999999</v>
      </c>
      <c r="Q4" s="11">
        <v>4.1440000000000001</v>
      </c>
      <c r="R4" s="11">
        <v>4.0030000000000001</v>
      </c>
      <c r="S4" s="11">
        <v>4.1340000000000003</v>
      </c>
      <c r="T4" s="11">
        <v>4.1159999999999997</v>
      </c>
      <c r="U4" s="11">
        <v>4.1449999999999996</v>
      </c>
      <c r="V4" s="11">
        <v>3.93</v>
      </c>
      <c r="W4" s="11">
        <v>3.89</v>
      </c>
      <c r="X4" s="11">
        <v>4.0209999999999999</v>
      </c>
      <c r="Y4" s="11">
        <v>3.9710000000000001</v>
      </c>
      <c r="Z4" s="11">
        <v>3.9249999999999998</v>
      </c>
      <c r="AA4" s="11">
        <v>4.0830000000000002</v>
      </c>
      <c r="AB4" s="11">
        <v>3.7269999999999999</v>
      </c>
      <c r="AC4" s="11">
        <v>4.0519999999999996</v>
      </c>
      <c r="AD4" s="11">
        <v>4.008</v>
      </c>
      <c r="AE4" s="11">
        <v>4.1130000000000004</v>
      </c>
      <c r="AF4" s="11">
        <v>3.839</v>
      </c>
      <c r="AG4" s="11">
        <v>3.9820000000000002</v>
      </c>
      <c r="AH4" s="11">
        <v>4.1150000000000002</v>
      </c>
      <c r="AI4" s="11">
        <v>3.9950000000000001</v>
      </c>
      <c r="AJ4" s="11">
        <v>3.8570000000000002</v>
      </c>
      <c r="AK4" s="11">
        <v>3.8530000000000002</v>
      </c>
      <c r="AL4" s="11">
        <v>3.948</v>
      </c>
      <c r="AM4" s="11">
        <v>3.8170000000000002</v>
      </c>
      <c r="AN4" s="11">
        <v>3.75</v>
      </c>
      <c r="AO4" s="11">
        <v>3.895</v>
      </c>
      <c r="AP4" s="11">
        <v>3.839</v>
      </c>
      <c r="AQ4" s="11">
        <v>3.8530000000000002</v>
      </c>
      <c r="AR4" s="11">
        <v>4.0670000000000002</v>
      </c>
      <c r="AS4" s="11">
        <v>4.1399999999999997</v>
      </c>
      <c r="AT4" s="11">
        <v>3.9830000000000001</v>
      </c>
      <c r="AU4" s="11">
        <v>4.0389999999999997</v>
      </c>
      <c r="AV4" s="11">
        <v>3.9460000000000002</v>
      </c>
      <c r="AW4" s="11">
        <v>3.9670000000000001</v>
      </c>
      <c r="AX4" s="11">
        <v>4.0519999999999996</v>
      </c>
      <c r="AY4" s="11">
        <v>4.0579999999999998</v>
      </c>
      <c r="AZ4" s="11">
        <v>3.6219999999999999</v>
      </c>
      <c r="BA4" s="11">
        <v>4.2430000000000003</v>
      </c>
      <c r="BB4" s="11">
        <v>3.8730000000000002</v>
      </c>
      <c r="BC4" s="11">
        <v>3.9969999999999999</v>
      </c>
      <c r="BD4" s="11">
        <v>3.944</v>
      </c>
      <c r="BE4" s="11">
        <v>4.1079999999999997</v>
      </c>
      <c r="BF4" s="11">
        <v>3.9079999999999999</v>
      </c>
      <c r="BG4" s="11">
        <v>4.2720000000000002</v>
      </c>
      <c r="BH4" s="11">
        <v>4.2919999999999998</v>
      </c>
      <c r="BI4" s="11">
        <v>4.016</v>
      </c>
      <c r="BJ4" s="11">
        <v>4.1749999999999998</v>
      </c>
      <c r="BK4" s="11">
        <v>4.0860000000000003</v>
      </c>
      <c r="BL4" s="11">
        <v>3.9769999999999999</v>
      </c>
      <c r="BM4" s="11">
        <v>3.984</v>
      </c>
      <c r="BN4" s="11">
        <v>3.8170000000000002</v>
      </c>
      <c r="BO4" s="11">
        <v>3.9340000000000002</v>
      </c>
      <c r="BP4" s="11">
        <v>4.0599999999999996</v>
      </c>
      <c r="BQ4" s="42">
        <v>3.927</v>
      </c>
      <c r="BR4" s="42">
        <v>4.1420000000000003</v>
      </c>
      <c r="BS4" s="11">
        <v>4.5019999999999998</v>
      </c>
      <c r="BT4" s="11">
        <v>3.8</v>
      </c>
      <c r="BU4" s="11">
        <v>3.4359999999999999</v>
      </c>
      <c r="BV4" s="11">
        <v>3.673</v>
      </c>
      <c r="BW4" s="11">
        <v>3.9750000000000001</v>
      </c>
      <c r="BX4" s="11">
        <v>3.6259999999999999</v>
      </c>
      <c r="BY4" s="11">
        <v>4.024</v>
      </c>
      <c r="BZ4" s="11">
        <v>4.1689999999999996</v>
      </c>
      <c r="CA4" s="11">
        <v>4.3879999999999999</v>
      </c>
      <c r="CB4" s="11">
        <v>4.5999999999999996</v>
      </c>
      <c r="CC4" s="11">
        <v>4.1550000000000002</v>
      </c>
      <c r="CD4" s="11">
        <v>4.0460000000000003</v>
      </c>
      <c r="CE4" s="11">
        <v>4.0309999999999997</v>
      </c>
      <c r="CF4" s="32">
        <v>3.7879999999999998</v>
      </c>
      <c r="CG4" s="32">
        <v>4.468</v>
      </c>
      <c r="CH4" s="32">
        <v>3.754</v>
      </c>
      <c r="CI4">
        <v>3.79</v>
      </c>
      <c r="CJ4">
        <v>4.1920000000000002</v>
      </c>
      <c r="CK4">
        <v>3.9620000000000002</v>
      </c>
      <c r="CL4">
        <v>4.3520000000000003</v>
      </c>
      <c r="CM4">
        <v>4.5780000000000003</v>
      </c>
      <c r="CN4">
        <v>3.7909999999999999</v>
      </c>
      <c r="CO4">
        <v>3.738</v>
      </c>
      <c r="CP4">
        <v>3.7570000000000001</v>
      </c>
      <c r="CQ4">
        <v>4.2050000000000001</v>
      </c>
      <c r="CR4">
        <v>4.1289999999999996</v>
      </c>
      <c r="CS4" s="39">
        <v>4.1639999999999997</v>
      </c>
      <c r="CT4" s="39">
        <v>4.1740000000000004</v>
      </c>
      <c r="CU4">
        <v>3.9860000000000002</v>
      </c>
      <c r="CV4">
        <v>4.1059999999999999</v>
      </c>
      <c r="CW4">
        <v>3.9009999999999998</v>
      </c>
      <c r="CX4" s="43">
        <v>3.9830000000000001</v>
      </c>
      <c r="CY4" s="43">
        <v>3.9790000000000001</v>
      </c>
      <c r="CZ4" s="43">
        <v>3.9020000000000001</v>
      </c>
      <c r="DA4" s="42">
        <v>4</v>
      </c>
      <c r="DB4" s="42">
        <v>3.9740000000000002</v>
      </c>
      <c r="DC4" s="42">
        <v>4.0860000000000003</v>
      </c>
      <c r="DD4" s="42">
        <v>3.9470000000000001</v>
      </c>
      <c r="DE4" s="42">
        <v>4.0490000000000004</v>
      </c>
      <c r="DF4" s="42">
        <v>3.8929999999999998</v>
      </c>
      <c r="DG4" s="42">
        <v>3.7930000000000001</v>
      </c>
      <c r="DH4" s="42">
        <v>4.2460000000000004</v>
      </c>
      <c r="DI4" s="42">
        <v>3.97</v>
      </c>
      <c r="DJ4" s="42">
        <v>4.008</v>
      </c>
      <c r="DK4" s="42">
        <v>4.0199999999999996</v>
      </c>
      <c r="DL4" s="42">
        <v>3.8460000000000001</v>
      </c>
      <c r="DM4" s="42">
        <v>3.9279999999999999</v>
      </c>
      <c r="DN4" s="42">
        <v>3.9220000000000002</v>
      </c>
      <c r="DO4" s="42">
        <v>4.125</v>
      </c>
      <c r="DP4" s="42">
        <v>3.9039999999999999</v>
      </c>
      <c r="DQ4" s="42">
        <v>3.9369999999999998</v>
      </c>
      <c r="DR4" s="42">
        <v>3.7029999999999998</v>
      </c>
      <c r="DS4" s="42">
        <v>3.794</v>
      </c>
      <c r="DT4" s="42">
        <v>3.9689999999999999</v>
      </c>
      <c r="DU4" s="42">
        <v>4.04</v>
      </c>
      <c r="DV4" s="42">
        <v>3.8039999999999998</v>
      </c>
      <c r="DW4" s="42">
        <v>3.7679999999999998</v>
      </c>
      <c r="DX4" s="42">
        <v>3.7759999999999998</v>
      </c>
      <c r="DY4" s="42">
        <v>3.7090000000000001</v>
      </c>
      <c r="DZ4" s="42">
        <v>3.7719999999999998</v>
      </c>
      <c r="EA4" s="42">
        <v>3.9359999999999999</v>
      </c>
      <c r="EB4" s="42">
        <v>4.0720000000000001</v>
      </c>
      <c r="EC4" s="42">
        <v>3.7170000000000001</v>
      </c>
      <c r="ED4" s="42">
        <v>3.7749999999999999</v>
      </c>
      <c r="EE4" s="42">
        <v>3.915</v>
      </c>
      <c r="EF4" s="42">
        <v>3.9369999999999998</v>
      </c>
      <c r="EG4" s="42">
        <v>3.8420000000000001</v>
      </c>
      <c r="EH4" s="42">
        <v>3.9910000000000001</v>
      </c>
      <c r="EI4" s="42">
        <v>4.0759999999999996</v>
      </c>
      <c r="EJ4" s="42">
        <v>3.976</v>
      </c>
      <c r="EK4" s="42">
        <v>3.7570000000000001</v>
      </c>
      <c r="EL4" s="42">
        <v>3.9209999999999998</v>
      </c>
      <c r="EM4" s="42">
        <v>3.7170000000000001</v>
      </c>
      <c r="EN4" s="42">
        <v>3.7109999999999999</v>
      </c>
      <c r="EO4" s="42">
        <v>3.7759999999999998</v>
      </c>
      <c r="EP4" s="42">
        <v>3.742</v>
      </c>
      <c r="EQ4" s="42">
        <v>3.706</v>
      </c>
      <c r="ER4" s="42">
        <v>3.9809999999999999</v>
      </c>
      <c r="ES4" s="42">
        <v>3.9489999999999998</v>
      </c>
      <c r="ET4" s="42">
        <v>3.8849999999999998</v>
      </c>
      <c r="EU4" s="42">
        <v>3.8410000000000002</v>
      </c>
      <c r="EV4" s="42">
        <v>3.7090000000000001</v>
      </c>
      <c r="EW4" s="42">
        <v>3.7450000000000001</v>
      </c>
      <c r="EX4" s="42">
        <v>3.7509999999999999</v>
      </c>
      <c r="EY4" s="42">
        <v>3.61</v>
      </c>
      <c r="EZ4" s="42">
        <v>3.7450000000000001</v>
      </c>
      <c r="FA4" s="42">
        <v>4.3630000000000004</v>
      </c>
      <c r="FB4" s="42">
        <v>4.1909999999999998</v>
      </c>
      <c r="FC4" s="42">
        <v>4.1879999999999997</v>
      </c>
      <c r="FD4" s="42">
        <v>4.3609999999999998</v>
      </c>
      <c r="FE4" s="42">
        <v>3.8889999999999998</v>
      </c>
      <c r="FF4" s="42">
        <v>3.7829999999999999</v>
      </c>
      <c r="FG4" s="42">
        <v>4.4340000000000002</v>
      </c>
      <c r="FH4" s="42">
        <v>3.9340000000000002</v>
      </c>
      <c r="FI4" s="42">
        <v>3.806</v>
      </c>
      <c r="FJ4" s="42">
        <v>4</v>
      </c>
      <c r="FK4" s="42">
        <v>4</v>
      </c>
      <c r="FL4" s="42">
        <v>4</v>
      </c>
      <c r="FM4" s="42">
        <v>4.3289999999999997</v>
      </c>
      <c r="FN4" s="42">
        <v>4.3179999999999996</v>
      </c>
      <c r="FO4" s="42">
        <v>4.0220000000000002</v>
      </c>
      <c r="FP4" s="42">
        <v>4.3239999999999998</v>
      </c>
      <c r="FQ4" s="42">
        <v>3.8069999999999999</v>
      </c>
      <c r="FR4" s="42">
        <v>4.0350000000000001</v>
      </c>
      <c r="FS4" s="42">
        <v>4.3520000000000003</v>
      </c>
      <c r="FT4" s="42">
        <v>4.298</v>
      </c>
      <c r="FU4" s="42">
        <v>4.0350000000000001</v>
      </c>
      <c r="FV4" s="42">
        <v>4.1269999999999998</v>
      </c>
      <c r="FW4" s="48">
        <v>4.1463333333333336</v>
      </c>
      <c r="FX4">
        <v>4.4866666666666672</v>
      </c>
      <c r="FY4">
        <v>4</v>
      </c>
      <c r="FZ4" s="42">
        <v>3.6896666666666662</v>
      </c>
      <c r="GA4" s="42">
        <v>3.7913333333333328</v>
      </c>
      <c r="GB4" s="42">
        <v>3.9866666666666664</v>
      </c>
      <c r="GC4" s="42">
        <v>4.3106666666666671</v>
      </c>
      <c r="GD4">
        <v>3.8256666666666668</v>
      </c>
      <c r="GE4" s="42">
        <v>4</v>
      </c>
      <c r="GF4" s="42">
        <v>4.056</v>
      </c>
      <c r="GG4">
        <v>3.903</v>
      </c>
      <c r="GH4">
        <v>3.9516666666666667</v>
      </c>
      <c r="GI4">
        <v>3.8263333333333329</v>
      </c>
      <c r="GJ4">
        <v>4</v>
      </c>
      <c r="GK4" s="42">
        <v>4.2919999999999998</v>
      </c>
      <c r="GL4" s="42">
        <v>4.1909999999999998</v>
      </c>
      <c r="GM4">
        <v>3.9746666666666663</v>
      </c>
      <c r="GN4">
        <v>4</v>
      </c>
      <c r="GO4">
        <v>4</v>
      </c>
      <c r="GP4">
        <v>4</v>
      </c>
      <c r="GQ4">
        <v>4</v>
      </c>
      <c r="GR4">
        <v>4</v>
      </c>
      <c r="GS4">
        <v>4</v>
      </c>
    </row>
    <row r="5" spans="1:201" x14ac:dyDescent="0.35">
      <c r="A5" s="11">
        <v>3.1190000000000002</v>
      </c>
      <c r="B5" s="11">
        <v>3.0939999999999999</v>
      </c>
      <c r="C5" s="11">
        <v>2.4359999999999999</v>
      </c>
      <c r="D5" s="11">
        <v>3.38</v>
      </c>
      <c r="E5" s="11">
        <v>2.6859999999999999</v>
      </c>
      <c r="F5" s="11">
        <v>2.3860000000000001</v>
      </c>
      <c r="G5" s="11">
        <v>2.84</v>
      </c>
      <c r="H5" s="11">
        <v>2.58</v>
      </c>
      <c r="I5" s="11">
        <v>2.4729999999999999</v>
      </c>
      <c r="J5" s="11">
        <v>4.0830000000000002</v>
      </c>
      <c r="K5" s="11">
        <v>3.9049999999999998</v>
      </c>
      <c r="L5" s="11">
        <v>3.4409999999999998</v>
      </c>
      <c r="M5" s="11">
        <v>3.0049999999999999</v>
      </c>
      <c r="N5" s="11">
        <v>3.4969999999999999</v>
      </c>
      <c r="O5" s="11">
        <v>3.43</v>
      </c>
      <c r="P5" s="11">
        <v>2.72</v>
      </c>
      <c r="Q5" s="11">
        <v>3.3530000000000002</v>
      </c>
      <c r="R5" s="11">
        <v>3.4159999999999999</v>
      </c>
      <c r="S5" s="11">
        <v>3.5169999999999999</v>
      </c>
      <c r="T5" s="11">
        <v>3.3650000000000002</v>
      </c>
      <c r="U5" s="11">
        <v>3.2410000000000001</v>
      </c>
      <c r="V5" s="11">
        <v>2.9820000000000002</v>
      </c>
      <c r="W5" s="11">
        <v>3.0550000000000002</v>
      </c>
      <c r="X5" s="11">
        <v>3.298</v>
      </c>
      <c r="Y5" s="11">
        <v>3.113</v>
      </c>
      <c r="Z5" s="11">
        <v>3.2149999999999999</v>
      </c>
      <c r="AA5" s="11">
        <v>2.944</v>
      </c>
      <c r="AB5" s="11">
        <v>3.028</v>
      </c>
      <c r="AC5" s="11">
        <v>3.379</v>
      </c>
      <c r="AD5" s="11">
        <v>3.5139999999999998</v>
      </c>
      <c r="AE5" s="11">
        <v>3.5830000000000002</v>
      </c>
      <c r="AF5" s="11">
        <v>2.7309999999999999</v>
      </c>
      <c r="AG5" s="11">
        <v>2.8359999999999999</v>
      </c>
      <c r="AH5" s="11">
        <v>2.923</v>
      </c>
      <c r="AI5" s="11">
        <v>3.1589999999999998</v>
      </c>
      <c r="AJ5" s="11">
        <v>2.89</v>
      </c>
      <c r="AK5" s="11">
        <v>2.968</v>
      </c>
      <c r="AL5" s="11">
        <v>3.3180000000000001</v>
      </c>
      <c r="AM5" s="11">
        <v>3.0190000000000001</v>
      </c>
      <c r="AN5" s="11">
        <v>3</v>
      </c>
      <c r="AO5" s="11">
        <v>2.8180000000000001</v>
      </c>
      <c r="AP5" s="11">
        <v>3.0369999999999999</v>
      </c>
      <c r="AQ5" s="11">
        <v>2.714</v>
      </c>
      <c r="AR5" s="11">
        <v>3.0510000000000002</v>
      </c>
      <c r="AS5" s="11">
        <v>3.0859999999999999</v>
      </c>
      <c r="AT5" s="11">
        <v>2.9660000000000002</v>
      </c>
      <c r="AU5" s="11">
        <v>3.0750000000000002</v>
      </c>
      <c r="AV5" s="11">
        <v>3.3250000000000002</v>
      </c>
      <c r="AW5" s="11">
        <v>3.2160000000000002</v>
      </c>
      <c r="AX5" s="11">
        <v>3.4140000000000001</v>
      </c>
      <c r="AY5" s="11">
        <v>3.22</v>
      </c>
      <c r="AZ5" s="11">
        <v>2.6579999999999999</v>
      </c>
      <c r="BA5" s="11">
        <v>3.0209999999999999</v>
      </c>
      <c r="BB5" s="11">
        <v>2.8849999999999998</v>
      </c>
      <c r="BC5" s="11">
        <v>2.7730000000000001</v>
      </c>
      <c r="BD5" s="11">
        <v>2.7930000000000001</v>
      </c>
      <c r="BE5" s="11">
        <v>3.016</v>
      </c>
      <c r="BF5" s="11">
        <v>3.4249999999999998</v>
      </c>
      <c r="BG5" s="11">
        <v>4.0570000000000004</v>
      </c>
      <c r="BH5" s="11">
        <v>4.0579999999999998</v>
      </c>
      <c r="BI5" s="11">
        <v>3.1269999999999998</v>
      </c>
      <c r="BJ5" s="11">
        <v>3.2959999999999998</v>
      </c>
      <c r="BK5" s="11">
        <v>3.9159999999999999</v>
      </c>
      <c r="BL5" s="11">
        <v>3.298</v>
      </c>
      <c r="BM5" s="11">
        <v>3.0739999999999998</v>
      </c>
      <c r="BN5" s="11">
        <v>2.6120000000000001</v>
      </c>
      <c r="BO5" s="11">
        <v>2.8119999999999998</v>
      </c>
      <c r="BP5" s="11">
        <v>2.548</v>
      </c>
      <c r="BQ5" s="42">
        <v>3.101</v>
      </c>
      <c r="BR5" s="42">
        <v>3.0049999999999999</v>
      </c>
      <c r="BS5" s="11">
        <v>2.504</v>
      </c>
      <c r="BT5" s="11">
        <v>2.4929999999999999</v>
      </c>
      <c r="BU5" s="11">
        <v>3.573</v>
      </c>
      <c r="BV5" s="11">
        <v>3.6680000000000001</v>
      </c>
      <c r="BW5" s="11">
        <v>3.6259999999999999</v>
      </c>
      <c r="BX5" s="11">
        <v>3.2530000000000001</v>
      </c>
      <c r="BY5" s="11">
        <v>3.11</v>
      </c>
      <c r="BZ5" s="11">
        <v>3.129</v>
      </c>
      <c r="CA5" s="11">
        <v>3.2410000000000001</v>
      </c>
      <c r="CB5" s="11">
        <v>3.1930000000000001</v>
      </c>
      <c r="CC5" s="11">
        <v>2.7370000000000001</v>
      </c>
      <c r="CD5" s="11">
        <v>3.0390000000000001</v>
      </c>
      <c r="CE5" s="11">
        <v>2.8860000000000001</v>
      </c>
      <c r="CF5" s="32">
        <v>2.6669999999999998</v>
      </c>
      <c r="CG5" s="32">
        <v>2.746</v>
      </c>
      <c r="CH5" s="32">
        <v>2.2429999999999999</v>
      </c>
      <c r="CI5">
        <v>2.645</v>
      </c>
      <c r="CJ5">
        <v>2.9889999999999999</v>
      </c>
      <c r="CK5">
        <v>3.0630000000000002</v>
      </c>
      <c r="CL5">
        <v>2.2909999999999999</v>
      </c>
      <c r="CM5">
        <v>2.8039999999999998</v>
      </c>
      <c r="CN5">
        <v>2.444</v>
      </c>
      <c r="CO5">
        <v>2.375</v>
      </c>
      <c r="CP5">
        <v>2.2599999999999998</v>
      </c>
      <c r="CQ5">
        <v>3.2330000000000001</v>
      </c>
      <c r="CR5">
        <v>3.0670000000000002</v>
      </c>
      <c r="CS5" s="39">
        <v>3.1</v>
      </c>
      <c r="CT5" s="39">
        <v>3.4780000000000002</v>
      </c>
      <c r="CU5">
        <v>2.9409999999999998</v>
      </c>
      <c r="CV5">
        <v>2.8679999999999999</v>
      </c>
      <c r="CW5">
        <v>3.0859999999999999</v>
      </c>
      <c r="CX5" s="42" t="s">
        <v>76</v>
      </c>
      <c r="CY5" s="43">
        <v>3.0350000000000001</v>
      </c>
      <c r="CZ5" s="43">
        <v>2.7549999999999999</v>
      </c>
      <c r="DA5" s="42">
        <v>2.69</v>
      </c>
      <c r="DB5" s="42">
        <v>2.9990000000000001</v>
      </c>
      <c r="DC5" s="42">
        <v>3.218</v>
      </c>
      <c r="DD5" s="42">
        <v>3.286</v>
      </c>
      <c r="DE5" s="42">
        <v>3.0139999999999998</v>
      </c>
      <c r="DF5" s="42">
        <v>2.38</v>
      </c>
      <c r="DG5" s="42">
        <v>2.6720000000000002</v>
      </c>
      <c r="DH5" s="42">
        <v>3.0489999999999999</v>
      </c>
      <c r="DI5" s="42">
        <v>3.3370000000000002</v>
      </c>
      <c r="DJ5" s="42">
        <v>3.2829999999999999</v>
      </c>
      <c r="DK5" s="42">
        <v>3.0059999999999998</v>
      </c>
      <c r="DL5" s="42">
        <v>2.948</v>
      </c>
      <c r="DM5" s="42">
        <v>2.887</v>
      </c>
      <c r="DN5" s="42">
        <v>3.2810000000000001</v>
      </c>
      <c r="DO5" s="42">
        <v>2.91</v>
      </c>
      <c r="DP5" s="42">
        <v>3.1779999999999999</v>
      </c>
      <c r="DQ5" s="42">
        <v>3.016</v>
      </c>
      <c r="DR5" s="42">
        <v>3.05</v>
      </c>
      <c r="DS5" s="42">
        <v>2.8410000000000002</v>
      </c>
      <c r="DT5" s="42">
        <v>2.8130000000000002</v>
      </c>
      <c r="DU5" s="42">
        <v>2.4449999999999998</v>
      </c>
      <c r="DV5" s="42">
        <v>2.387</v>
      </c>
      <c r="DW5" s="42">
        <v>2.7549999999999999</v>
      </c>
      <c r="DX5" s="42">
        <v>2.7429999999999999</v>
      </c>
      <c r="DY5" s="42">
        <v>2.339</v>
      </c>
      <c r="DZ5" s="42">
        <v>2.669</v>
      </c>
      <c r="EA5" s="42">
        <v>2.2839999999999998</v>
      </c>
      <c r="EB5" s="42">
        <v>2.8</v>
      </c>
      <c r="EC5" s="42">
        <v>2.278</v>
      </c>
      <c r="ED5" s="42">
        <v>2.0379999999999998</v>
      </c>
      <c r="EE5" s="42">
        <v>2.7429999999999999</v>
      </c>
      <c r="EF5" s="42">
        <v>2.7</v>
      </c>
      <c r="EG5" s="42">
        <v>2.738</v>
      </c>
      <c r="EH5" s="42">
        <v>2.2839999999999998</v>
      </c>
      <c r="EI5" s="42">
        <v>2.25</v>
      </c>
      <c r="EJ5" s="42">
        <v>2.2709999999999999</v>
      </c>
      <c r="EK5" s="42">
        <v>3.34</v>
      </c>
      <c r="EL5" s="42">
        <v>3.3340000000000001</v>
      </c>
      <c r="EM5" s="42">
        <v>3.2669999999999999</v>
      </c>
      <c r="EN5" s="42">
        <v>3.34</v>
      </c>
      <c r="EO5" s="42">
        <v>3.157</v>
      </c>
      <c r="EP5" s="42">
        <v>3.456</v>
      </c>
      <c r="EQ5" s="42">
        <v>3.2970000000000002</v>
      </c>
      <c r="ER5" s="42">
        <v>3.238</v>
      </c>
      <c r="ES5" s="42">
        <v>3.016</v>
      </c>
      <c r="ET5" s="42">
        <v>3.2130000000000001</v>
      </c>
      <c r="EU5" s="42">
        <v>3.12</v>
      </c>
      <c r="EV5" s="42">
        <v>3.4359999999999999</v>
      </c>
      <c r="EW5" s="42">
        <v>3.4119999999999999</v>
      </c>
      <c r="EX5" s="42">
        <v>3.2549999999999999</v>
      </c>
      <c r="EY5" s="42">
        <v>2.722</v>
      </c>
      <c r="EZ5" s="42">
        <v>3.4119999999999999</v>
      </c>
      <c r="FA5" s="42">
        <v>3.2669999999999999</v>
      </c>
      <c r="FB5" s="42">
        <v>3.056</v>
      </c>
      <c r="FC5" s="42">
        <v>3.1909999999999998</v>
      </c>
      <c r="FD5" s="42">
        <v>3.49</v>
      </c>
      <c r="FE5" s="42">
        <v>2.5499999999999998</v>
      </c>
      <c r="FF5" s="42">
        <v>2.706</v>
      </c>
      <c r="FG5" s="42">
        <v>3.4590000000000001</v>
      </c>
      <c r="FH5" s="42">
        <v>3.2170000000000001</v>
      </c>
      <c r="FI5" s="42">
        <v>2.5830000000000002</v>
      </c>
      <c r="FJ5" s="42">
        <v>3.5489999999999999</v>
      </c>
      <c r="FK5" s="42">
        <v>3.403</v>
      </c>
      <c r="FL5" s="42">
        <v>2.35</v>
      </c>
      <c r="FM5" s="42">
        <v>3.52</v>
      </c>
      <c r="FN5" s="42">
        <v>3.0419999999999998</v>
      </c>
      <c r="FO5" s="42">
        <v>2.702</v>
      </c>
      <c r="FP5" s="42">
        <v>2.7759999999999998</v>
      </c>
      <c r="FQ5" s="42">
        <v>3.1949999999999998</v>
      </c>
      <c r="FR5" s="42">
        <v>3.0880000000000001</v>
      </c>
      <c r="FS5" s="42">
        <v>2.8580000000000001</v>
      </c>
      <c r="FT5" s="42">
        <v>2.92</v>
      </c>
      <c r="FU5" s="42">
        <v>2.5459999999999998</v>
      </c>
      <c r="FV5" s="42">
        <v>2.7959999999999998</v>
      </c>
      <c r="FW5" s="48">
        <v>2.8729999999999998</v>
      </c>
      <c r="FX5">
        <v>2.6133333333333333</v>
      </c>
      <c r="FY5">
        <v>0</v>
      </c>
      <c r="FZ5" s="42">
        <v>2.0166666666666666</v>
      </c>
      <c r="GA5" s="42">
        <v>2.2086666666666663</v>
      </c>
      <c r="GB5" s="42">
        <v>2.1616666666666666</v>
      </c>
      <c r="GC5" s="42">
        <v>2.7989999999999999</v>
      </c>
      <c r="GD5">
        <v>2.3233333333333328</v>
      </c>
      <c r="GE5" s="42">
        <v>0</v>
      </c>
      <c r="GF5" s="42">
        <v>2.4016666666666668</v>
      </c>
      <c r="GG5">
        <v>1.5696666666666665</v>
      </c>
      <c r="GH5">
        <v>1.9296666666666666</v>
      </c>
      <c r="GI5">
        <v>2.4823333333333335</v>
      </c>
      <c r="GJ5">
        <v>2.4943333333333331</v>
      </c>
      <c r="GK5" s="42">
        <v>3.1389999999999998</v>
      </c>
      <c r="GL5" s="42">
        <v>3.2160000000000002</v>
      </c>
      <c r="GM5">
        <v>2.922333333333333</v>
      </c>
      <c r="GN5">
        <v>3.0606666666666662</v>
      </c>
      <c r="GO5">
        <v>3.0626666666666669</v>
      </c>
      <c r="GP5">
        <v>2.7669999999999999</v>
      </c>
      <c r="GQ5">
        <v>2.8043333333333336</v>
      </c>
      <c r="GR5">
        <v>2.5926666666666667</v>
      </c>
      <c r="GS5">
        <v>2.8313333333333333</v>
      </c>
    </row>
    <row r="6" spans="1:201" x14ac:dyDescent="0.35">
      <c r="A6" s="11">
        <v>2.056</v>
      </c>
      <c r="B6" s="11">
        <v>2.899</v>
      </c>
      <c r="C6" s="11">
        <v>2.1970000000000001</v>
      </c>
      <c r="D6" s="11">
        <v>2.9790000000000001</v>
      </c>
      <c r="E6" s="11">
        <v>2.427</v>
      </c>
      <c r="F6" s="11">
        <v>2.2690000000000001</v>
      </c>
      <c r="G6" s="11">
        <v>2.5289999999999999</v>
      </c>
      <c r="H6" s="11">
        <v>2.3330000000000002</v>
      </c>
      <c r="I6" s="11">
        <v>1.9450000000000001</v>
      </c>
      <c r="J6" s="11">
        <v>3.22</v>
      </c>
      <c r="K6" s="11">
        <v>2.6850000000000001</v>
      </c>
      <c r="L6" s="11">
        <v>3.012</v>
      </c>
      <c r="M6" s="11">
        <v>2.786</v>
      </c>
      <c r="N6" s="11">
        <v>3.2130000000000001</v>
      </c>
      <c r="O6" s="11">
        <v>2.972</v>
      </c>
      <c r="P6" s="11">
        <v>2.4950000000000001</v>
      </c>
      <c r="Q6" s="11">
        <v>2.9750000000000001</v>
      </c>
      <c r="R6" s="11">
        <v>2.7650000000000001</v>
      </c>
      <c r="S6" s="11">
        <v>3.05</v>
      </c>
      <c r="T6" s="11">
        <v>2.7719999999999998</v>
      </c>
      <c r="U6" s="11">
        <v>2.6920000000000002</v>
      </c>
      <c r="V6" s="11">
        <v>2.863</v>
      </c>
      <c r="W6" s="11">
        <v>2.8029999999999999</v>
      </c>
      <c r="X6" s="11">
        <v>2.8439999999999999</v>
      </c>
      <c r="Y6" s="11">
        <v>2.86</v>
      </c>
      <c r="Z6" s="11">
        <v>2.5569999999999999</v>
      </c>
      <c r="AA6" s="11">
        <v>2.452</v>
      </c>
      <c r="AB6" s="11">
        <v>2.6320000000000001</v>
      </c>
      <c r="AC6" s="11">
        <v>3.0819999999999999</v>
      </c>
      <c r="AD6" s="11">
        <v>3.2320000000000002</v>
      </c>
      <c r="AE6" s="11">
        <v>3.1309999999999998</v>
      </c>
      <c r="AF6" s="11">
        <v>1.762</v>
      </c>
      <c r="AG6" s="11">
        <v>2.0819999999999999</v>
      </c>
      <c r="AH6" s="11">
        <v>2.2559999999999998</v>
      </c>
      <c r="AI6" s="11">
        <v>1.841</v>
      </c>
      <c r="AJ6" s="11">
        <v>1.954</v>
      </c>
      <c r="AK6" s="11">
        <v>2.258</v>
      </c>
      <c r="AL6" s="11">
        <v>2.492</v>
      </c>
      <c r="AM6" s="11">
        <v>2.37</v>
      </c>
      <c r="AN6" s="11">
        <v>2.569</v>
      </c>
      <c r="AO6" s="11">
        <v>2.6120000000000001</v>
      </c>
      <c r="AP6" s="11">
        <v>2.8140000000000001</v>
      </c>
      <c r="AQ6" s="11">
        <v>2.5150000000000001</v>
      </c>
      <c r="AR6" s="11">
        <v>2.5179999999999998</v>
      </c>
      <c r="AS6" s="11">
        <v>2.734</v>
      </c>
      <c r="AT6" s="11">
        <v>2.548</v>
      </c>
      <c r="AU6" s="11">
        <v>2.569</v>
      </c>
      <c r="AV6" s="11">
        <v>3</v>
      </c>
      <c r="AW6" s="11">
        <v>2.6179999999999999</v>
      </c>
      <c r="AX6" s="11">
        <v>3.1549999999999998</v>
      </c>
      <c r="AY6" s="11">
        <v>2.984</v>
      </c>
      <c r="AZ6" s="11">
        <v>2.081</v>
      </c>
      <c r="BA6" s="11">
        <v>2.4590000000000001</v>
      </c>
      <c r="BB6" s="11">
        <v>2.0779999999999998</v>
      </c>
      <c r="BC6" s="11">
        <v>2.3879999999999999</v>
      </c>
      <c r="BD6" s="11">
        <v>1.962</v>
      </c>
      <c r="BE6" s="11">
        <v>2.202</v>
      </c>
      <c r="BF6" s="11">
        <v>0.64600000000000002</v>
      </c>
      <c r="BG6" s="11">
        <v>3.7370000000000001</v>
      </c>
      <c r="BH6" s="11">
        <v>3.758</v>
      </c>
      <c r="BI6" s="11">
        <v>2.6520000000000001</v>
      </c>
      <c r="BJ6" s="11">
        <v>2.5179999999999998</v>
      </c>
      <c r="BK6" s="11">
        <v>2.5510000000000002</v>
      </c>
      <c r="BL6" s="11">
        <v>2.6219999999999999</v>
      </c>
      <c r="BM6" s="11">
        <v>2.7210000000000001</v>
      </c>
      <c r="BN6" s="11">
        <v>2.2719999999999998</v>
      </c>
      <c r="BO6" s="11">
        <v>2.5529999999999999</v>
      </c>
      <c r="BP6" s="11">
        <v>2.0329999999999999</v>
      </c>
      <c r="BQ6" s="42">
        <v>2.8340000000000001</v>
      </c>
      <c r="BR6" s="42">
        <v>2.77</v>
      </c>
      <c r="BS6" s="11">
        <v>2.1629999999999998</v>
      </c>
      <c r="BT6" s="11">
        <v>2.1440000000000001</v>
      </c>
      <c r="BU6" s="11">
        <v>3.5640000000000001</v>
      </c>
      <c r="BV6" s="11">
        <v>3.6419999999999999</v>
      </c>
      <c r="BW6" s="11">
        <v>2.8039999999999998</v>
      </c>
      <c r="BX6" s="11">
        <v>3.165</v>
      </c>
      <c r="BY6" s="11">
        <v>2.87</v>
      </c>
      <c r="BZ6" s="11">
        <v>2.782</v>
      </c>
      <c r="CA6" s="11">
        <v>2.4950000000000001</v>
      </c>
      <c r="CB6" s="11">
        <v>2.3620000000000001</v>
      </c>
      <c r="CC6" s="11">
        <v>2.331</v>
      </c>
      <c r="CD6" s="11">
        <v>2.7010000000000001</v>
      </c>
      <c r="CE6" s="11">
        <v>2.5489999999999999</v>
      </c>
      <c r="CF6" s="32">
        <v>2.4689999999999999</v>
      </c>
      <c r="CG6" s="32">
        <v>2.4300000000000002</v>
      </c>
      <c r="CH6" s="32">
        <v>2.1970000000000001</v>
      </c>
      <c r="CI6">
        <v>2.4249999999999998</v>
      </c>
      <c r="CJ6">
        <v>2.74</v>
      </c>
      <c r="CK6">
        <v>3.028</v>
      </c>
      <c r="CL6">
        <v>1.355</v>
      </c>
      <c r="CM6">
        <v>1.2549999999999999</v>
      </c>
      <c r="CN6">
        <v>2.1080000000000001</v>
      </c>
      <c r="CO6">
        <v>1.968</v>
      </c>
      <c r="CP6">
        <v>1.823</v>
      </c>
      <c r="CQ6">
        <v>1.9870000000000001</v>
      </c>
      <c r="CR6">
        <v>2.4500000000000002</v>
      </c>
      <c r="CS6" s="39">
        <v>2.375</v>
      </c>
      <c r="CT6" s="39">
        <v>2.8330000000000002</v>
      </c>
      <c r="CU6">
        <v>2.3290000000000002</v>
      </c>
      <c r="CV6">
        <v>2.5299999999999998</v>
      </c>
      <c r="CW6">
        <v>2.6339999999999999</v>
      </c>
      <c r="CX6" s="43">
        <v>2.3420000000000001</v>
      </c>
      <c r="CY6" s="43">
        <v>2.1629999999999998</v>
      </c>
      <c r="CZ6" s="43">
        <v>1.948</v>
      </c>
      <c r="DA6" s="42">
        <v>2.0910000000000002</v>
      </c>
      <c r="DB6" s="42">
        <v>2.2919999999999998</v>
      </c>
      <c r="DC6" s="42">
        <v>2.544</v>
      </c>
      <c r="DD6" s="42">
        <v>3.0169999999999999</v>
      </c>
      <c r="DE6" s="42">
        <v>2.8809999999999998</v>
      </c>
      <c r="DF6" s="42">
        <v>1.631</v>
      </c>
      <c r="DG6" s="42">
        <v>1.667</v>
      </c>
      <c r="DH6" s="42">
        <v>2.9870000000000001</v>
      </c>
      <c r="DI6" s="42">
        <v>3.1539999999999999</v>
      </c>
      <c r="DJ6" s="42">
        <v>3.0409999999999999</v>
      </c>
      <c r="DK6" s="42">
        <v>2.9420000000000002</v>
      </c>
      <c r="DL6" s="42">
        <v>2.9369999999999998</v>
      </c>
      <c r="DM6" s="42">
        <v>2.63</v>
      </c>
      <c r="DN6" s="42">
        <v>2.5680000000000001</v>
      </c>
      <c r="DO6" s="42">
        <v>2.1800000000000002</v>
      </c>
      <c r="DP6" s="42">
        <v>2.1219999999999999</v>
      </c>
      <c r="DQ6" s="42">
        <v>2.867</v>
      </c>
      <c r="DR6" s="42">
        <v>2.9860000000000002</v>
      </c>
      <c r="DS6" s="42">
        <v>2.7170000000000001</v>
      </c>
      <c r="DT6" s="42">
        <v>2.3919999999999999</v>
      </c>
      <c r="DU6" s="42">
        <v>2.202</v>
      </c>
      <c r="DV6" s="42">
        <v>2.2530000000000001</v>
      </c>
      <c r="DW6" s="42">
        <v>0</v>
      </c>
      <c r="DX6" s="42">
        <v>1.6339999999999999</v>
      </c>
      <c r="DY6" s="42">
        <v>1.6719999999999999</v>
      </c>
      <c r="DZ6" s="42">
        <v>2.5739999999999998</v>
      </c>
      <c r="EA6" s="42">
        <v>2.1680000000000001</v>
      </c>
      <c r="EB6" s="42">
        <v>2.629</v>
      </c>
      <c r="EC6" s="42">
        <v>1.6950000000000001</v>
      </c>
      <c r="ED6" s="42">
        <v>1.5129999999999999</v>
      </c>
      <c r="EE6" s="42">
        <v>2.5089999999999999</v>
      </c>
      <c r="EF6" s="42">
        <v>1.2789999999999999</v>
      </c>
      <c r="EG6" s="42">
        <v>2.5859999999999999</v>
      </c>
      <c r="EH6" s="42">
        <v>2.1970000000000001</v>
      </c>
      <c r="EI6" s="42">
        <v>2.1190000000000002</v>
      </c>
      <c r="EJ6" s="42">
        <v>2.0590000000000002</v>
      </c>
      <c r="EK6" s="42">
        <v>1.556</v>
      </c>
      <c r="EL6" s="42">
        <v>2.6429999999999998</v>
      </c>
      <c r="EM6" s="42">
        <v>2.5070000000000001</v>
      </c>
      <c r="EN6" s="42">
        <v>2.8860000000000001</v>
      </c>
      <c r="EO6" s="42">
        <v>3.0369999999999999</v>
      </c>
      <c r="EP6" s="42">
        <v>3.093</v>
      </c>
      <c r="EQ6" s="42">
        <v>3.19</v>
      </c>
      <c r="ER6" s="42">
        <v>3.125</v>
      </c>
      <c r="ES6" s="42">
        <v>3.016</v>
      </c>
      <c r="ET6" s="42">
        <v>2.7229999999999999</v>
      </c>
      <c r="EU6" s="42">
        <v>2.74</v>
      </c>
      <c r="EV6" s="42">
        <v>2.9390000000000001</v>
      </c>
      <c r="EW6" s="42">
        <v>3.3330000000000002</v>
      </c>
      <c r="EX6" s="42">
        <v>3.16</v>
      </c>
      <c r="EY6" s="42">
        <v>2.4889999999999999</v>
      </c>
      <c r="EZ6" s="42">
        <v>3.3330000000000002</v>
      </c>
      <c r="FA6" s="42">
        <v>2.9769999999999999</v>
      </c>
      <c r="FB6" s="42">
        <v>2.7559999999999998</v>
      </c>
      <c r="FC6" s="42">
        <v>2.6459999999999999</v>
      </c>
      <c r="FD6" s="42">
        <v>2.601</v>
      </c>
      <c r="FE6" s="42">
        <v>2.3610000000000002</v>
      </c>
      <c r="FF6" s="42">
        <v>1.8580000000000001</v>
      </c>
      <c r="FG6" s="42">
        <v>2.5289999999999999</v>
      </c>
      <c r="FH6" s="42">
        <v>2.5</v>
      </c>
      <c r="FI6" s="42">
        <v>2.4529999999999998</v>
      </c>
      <c r="FJ6" s="42">
        <v>2.774</v>
      </c>
      <c r="FK6" s="42">
        <v>2.7240000000000002</v>
      </c>
      <c r="FL6" s="42">
        <v>0</v>
      </c>
      <c r="FM6" s="42">
        <v>2.9580000000000002</v>
      </c>
      <c r="FN6" s="42">
        <v>2.3690000000000002</v>
      </c>
      <c r="FO6" s="42">
        <v>2.3109999999999999</v>
      </c>
      <c r="FP6" s="42">
        <v>2.1970000000000001</v>
      </c>
      <c r="FQ6" s="42">
        <v>2.3460000000000001</v>
      </c>
      <c r="FR6" s="42">
        <v>2.2069999999999999</v>
      </c>
      <c r="FS6" s="42">
        <v>1.849</v>
      </c>
      <c r="FT6" s="42">
        <v>1.72</v>
      </c>
      <c r="FU6" s="42">
        <v>2.0539999999999998</v>
      </c>
      <c r="FV6" s="42">
        <v>2.0329999999999999</v>
      </c>
      <c r="FW6" s="48">
        <v>2.1386666666666669</v>
      </c>
      <c r="FX6">
        <v>2.3343333333333334</v>
      </c>
      <c r="FY6" s="43" t="s">
        <v>76</v>
      </c>
      <c r="FZ6" s="42">
        <v>1.6290000000000002</v>
      </c>
      <c r="GA6" s="42">
        <v>2.204333333333333</v>
      </c>
      <c r="GB6" s="42">
        <v>1.9566666666666668</v>
      </c>
      <c r="GC6" s="42">
        <v>2.3656666666666664</v>
      </c>
      <c r="GD6">
        <v>2.1970000000000005</v>
      </c>
      <c r="GE6" s="43" t="s">
        <v>76</v>
      </c>
      <c r="GF6" s="42">
        <v>0.78333333333333321</v>
      </c>
      <c r="GG6">
        <v>1.298</v>
      </c>
      <c r="GH6">
        <v>1.3559999999999999</v>
      </c>
      <c r="GI6">
        <v>2.4896666666666665</v>
      </c>
      <c r="GJ6">
        <v>1.938666666666667</v>
      </c>
      <c r="GK6" s="42">
        <v>1.7110000000000001</v>
      </c>
      <c r="GL6" s="42">
        <v>1.7470000000000001</v>
      </c>
      <c r="GM6">
        <v>3.0906666666666669</v>
      </c>
      <c r="GN6">
        <v>3.1406666666666663</v>
      </c>
      <c r="GO6">
        <v>2.6750000000000003</v>
      </c>
      <c r="GP6">
        <v>2.5913333333333335</v>
      </c>
      <c r="GQ6">
        <v>2.157</v>
      </c>
      <c r="GR6">
        <v>2.5083333333333333</v>
      </c>
      <c r="GS6">
        <v>2.7393333333333332</v>
      </c>
    </row>
    <row r="7" spans="1:201" x14ac:dyDescent="0.35">
      <c r="A7" s="11">
        <v>1.6990000000000001</v>
      </c>
      <c r="B7" s="11">
        <v>2.0670000000000002</v>
      </c>
      <c r="C7" s="11">
        <v>1.4970000000000001</v>
      </c>
      <c r="D7" s="11">
        <v>2.68</v>
      </c>
      <c r="E7" s="11">
        <v>2.2000000000000002</v>
      </c>
      <c r="F7" s="11">
        <v>2.08</v>
      </c>
      <c r="G7" s="11">
        <v>2.1190000000000002</v>
      </c>
      <c r="H7" s="11">
        <v>2.0569999999999999</v>
      </c>
      <c r="I7" s="11">
        <v>1.5640000000000001</v>
      </c>
      <c r="J7" s="11">
        <v>0.82199999999999995</v>
      </c>
      <c r="K7" s="11">
        <v>1.829</v>
      </c>
      <c r="L7" s="11">
        <v>2.8490000000000002</v>
      </c>
      <c r="M7" s="11">
        <v>1.72</v>
      </c>
      <c r="N7" s="11">
        <v>1.8580000000000001</v>
      </c>
      <c r="O7" s="11">
        <v>2.7240000000000002</v>
      </c>
      <c r="P7" s="11">
        <v>2.4430000000000001</v>
      </c>
      <c r="Q7" s="11">
        <v>1.643</v>
      </c>
      <c r="R7" s="11">
        <v>0.91800000000000004</v>
      </c>
      <c r="S7" s="11">
        <v>1.7669999999999999</v>
      </c>
      <c r="T7" s="11">
        <v>1.9239999999999999</v>
      </c>
      <c r="U7" s="11">
        <v>1.9590000000000001</v>
      </c>
      <c r="V7" s="11">
        <v>0</v>
      </c>
      <c r="W7" s="11">
        <v>2.661</v>
      </c>
      <c r="X7" s="11">
        <v>2.3839999999999999</v>
      </c>
      <c r="Y7" s="11">
        <v>2.6520000000000001</v>
      </c>
      <c r="Z7" s="11">
        <v>1.827</v>
      </c>
      <c r="AA7" s="11">
        <v>1.472</v>
      </c>
      <c r="AB7" s="11">
        <v>1.772</v>
      </c>
      <c r="AC7" s="11">
        <v>1.6220000000000001</v>
      </c>
      <c r="AD7" s="11">
        <v>2.6030000000000002</v>
      </c>
      <c r="AE7" s="11">
        <v>1.8460000000000001</v>
      </c>
      <c r="AF7" s="11">
        <v>0</v>
      </c>
      <c r="AG7" s="11">
        <v>1.9179999999999999</v>
      </c>
      <c r="AH7" s="11">
        <v>1.619</v>
      </c>
      <c r="AI7" s="11">
        <v>0.79400000000000004</v>
      </c>
      <c r="AJ7" s="11">
        <v>1.3819999999999999</v>
      </c>
      <c r="AK7" s="11">
        <v>1.742</v>
      </c>
      <c r="AL7" s="11">
        <v>1.7350000000000001</v>
      </c>
      <c r="AM7" s="11">
        <v>2.0960000000000001</v>
      </c>
      <c r="AN7" s="11">
        <v>1.6539999999999999</v>
      </c>
      <c r="AO7" s="11">
        <v>2.0659999999999998</v>
      </c>
      <c r="AP7" s="11">
        <v>2.6030000000000002</v>
      </c>
      <c r="AQ7" s="11">
        <v>2.2919999999999998</v>
      </c>
      <c r="AR7" s="11">
        <v>2.2029999999999998</v>
      </c>
      <c r="AS7" s="11">
        <v>2.5499999999999998</v>
      </c>
      <c r="AT7" s="11">
        <v>2.2669999999999999</v>
      </c>
      <c r="AU7" s="11">
        <v>1.9059999999999999</v>
      </c>
      <c r="AV7" s="11">
        <v>2.39</v>
      </c>
      <c r="AW7" s="11">
        <v>2.25</v>
      </c>
      <c r="AX7" s="11">
        <v>1.31</v>
      </c>
      <c r="AY7" s="11">
        <v>1.2290000000000001</v>
      </c>
      <c r="AZ7" s="11">
        <v>2.2440000000000002</v>
      </c>
      <c r="BA7" s="11">
        <v>0</v>
      </c>
      <c r="BB7" s="11">
        <v>1.256</v>
      </c>
      <c r="BC7" s="11">
        <v>2.0539999999999998</v>
      </c>
      <c r="BD7" s="11">
        <v>1.302</v>
      </c>
      <c r="BE7" s="11">
        <v>0.81200000000000006</v>
      </c>
      <c r="BF7" s="11">
        <v>0.64600000000000002</v>
      </c>
      <c r="BG7" s="11">
        <v>1.7130000000000001</v>
      </c>
      <c r="BH7" s="11">
        <v>2.7440000000000002</v>
      </c>
      <c r="BI7" s="11">
        <v>2.343</v>
      </c>
      <c r="BJ7" s="11">
        <v>1.58</v>
      </c>
      <c r="BK7" s="11">
        <v>1.373</v>
      </c>
      <c r="BL7" s="11">
        <v>1.0469999999999999</v>
      </c>
      <c r="BM7" s="11">
        <v>1.72</v>
      </c>
      <c r="BN7" s="11">
        <v>1.853</v>
      </c>
      <c r="BO7" s="11">
        <v>1.474</v>
      </c>
      <c r="BP7" s="11">
        <v>1.9610000000000001</v>
      </c>
      <c r="BQ7" s="42">
        <v>2.6309999999999998</v>
      </c>
      <c r="BR7" s="42">
        <v>2.1219999999999999</v>
      </c>
      <c r="BS7" s="11">
        <v>1.784</v>
      </c>
      <c r="BT7" s="11">
        <v>1.986</v>
      </c>
      <c r="BU7" s="11">
        <v>3.3839999999999999</v>
      </c>
      <c r="BV7" s="11">
        <v>3.2829999999999999</v>
      </c>
      <c r="BW7" s="11">
        <v>2.5329999999999999</v>
      </c>
      <c r="BX7" s="11">
        <v>2.6880000000000002</v>
      </c>
      <c r="BY7" s="11">
        <v>2.6920000000000002</v>
      </c>
      <c r="BZ7" s="11">
        <v>2.6</v>
      </c>
      <c r="CA7" s="11">
        <v>0.98699999999999999</v>
      </c>
      <c r="CB7" s="11">
        <v>0.94299999999999995</v>
      </c>
      <c r="CC7" s="11">
        <v>0.81399999999999995</v>
      </c>
      <c r="CD7" s="11">
        <v>2.3690000000000002</v>
      </c>
      <c r="CE7" s="11">
        <v>2.5339999999999998</v>
      </c>
      <c r="CF7" s="32">
        <v>2.0350000000000001</v>
      </c>
      <c r="CG7" s="32">
        <v>1.635</v>
      </c>
      <c r="CH7" s="32">
        <v>1.6140000000000001</v>
      </c>
      <c r="CI7">
        <v>1.875</v>
      </c>
      <c r="CJ7">
        <v>1.4850000000000001</v>
      </c>
      <c r="CK7">
        <v>1.4890000000000001</v>
      </c>
      <c r="CL7">
        <v>0.59599999999999997</v>
      </c>
      <c r="CM7">
        <v>0.80400000000000005</v>
      </c>
      <c r="CN7">
        <v>1.5840000000000001</v>
      </c>
      <c r="CO7">
        <v>1.18</v>
      </c>
      <c r="CP7">
        <v>1.071</v>
      </c>
      <c r="CQ7">
        <v>1.3380000000000001</v>
      </c>
      <c r="CR7">
        <v>2.2320000000000002</v>
      </c>
      <c r="CS7" s="38" t="s">
        <v>76</v>
      </c>
      <c r="CT7" s="39">
        <v>1.472</v>
      </c>
      <c r="CU7">
        <v>1.5369999999999999</v>
      </c>
      <c r="CV7">
        <v>2.1579999999999999</v>
      </c>
      <c r="CW7">
        <v>2.206</v>
      </c>
      <c r="CX7" s="43">
        <v>1.946</v>
      </c>
      <c r="CY7" s="43">
        <v>1.988</v>
      </c>
      <c r="CZ7" s="43">
        <v>1.6220000000000001</v>
      </c>
      <c r="DA7" s="42">
        <v>1.5</v>
      </c>
      <c r="DB7" s="42">
        <v>1.6890000000000001</v>
      </c>
      <c r="DC7" s="42">
        <v>1.403</v>
      </c>
      <c r="DD7" s="42">
        <v>2.57</v>
      </c>
      <c r="DE7" s="42">
        <v>2.5939999999999999</v>
      </c>
      <c r="DF7" s="42">
        <v>1.3080000000000001</v>
      </c>
      <c r="DG7" s="42">
        <v>1.3109999999999999</v>
      </c>
      <c r="DH7" s="42">
        <v>2.0249999999999999</v>
      </c>
      <c r="DI7" s="42">
        <v>2.4359999999999999</v>
      </c>
      <c r="DJ7" s="42">
        <v>2.387</v>
      </c>
      <c r="DK7" s="42">
        <v>2.0640000000000001</v>
      </c>
      <c r="DL7" s="42">
        <v>1.9930000000000001</v>
      </c>
      <c r="DM7" s="42">
        <v>2.0870000000000002</v>
      </c>
      <c r="DN7" s="42">
        <v>0</v>
      </c>
      <c r="DO7" s="42">
        <v>1.4550000000000001</v>
      </c>
      <c r="DP7" s="42">
        <v>0</v>
      </c>
      <c r="DQ7" s="42">
        <v>1.98</v>
      </c>
      <c r="DR7" s="42">
        <v>1.6839999999999999</v>
      </c>
      <c r="DS7" s="42">
        <v>1.7649999999999999</v>
      </c>
      <c r="DT7" s="42">
        <v>0</v>
      </c>
      <c r="DU7" s="42">
        <v>0</v>
      </c>
      <c r="DV7" s="42">
        <v>0</v>
      </c>
      <c r="DW7" s="42">
        <v>0</v>
      </c>
      <c r="DX7" s="42">
        <v>1.58</v>
      </c>
      <c r="DY7" s="42">
        <v>1.143</v>
      </c>
      <c r="DZ7" s="42">
        <v>1.925</v>
      </c>
      <c r="EA7" s="42">
        <v>1.431</v>
      </c>
      <c r="EB7" s="42">
        <v>1.9430000000000001</v>
      </c>
      <c r="EC7" s="42">
        <v>0</v>
      </c>
      <c r="ED7" s="42">
        <v>0</v>
      </c>
      <c r="EE7" s="42">
        <v>2.363</v>
      </c>
      <c r="EF7" s="42">
        <v>0</v>
      </c>
      <c r="EG7" s="42">
        <v>2.1800000000000002</v>
      </c>
      <c r="EH7" s="42">
        <v>2.1</v>
      </c>
      <c r="EI7" s="42">
        <v>2.06</v>
      </c>
      <c r="EJ7" s="42">
        <v>1.7350000000000001</v>
      </c>
      <c r="EK7" s="42">
        <v>0</v>
      </c>
      <c r="EL7" s="42">
        <v>1.9259999999999999</v>
      </c>
      <c r="EM7" s="42">
        <v>1.583</v>
      </c>
      <c r="EN7" s="42">
        <v>2.5</v>
      </c>
      <c r="EO7" s="42">
        <v>2.5790000000000002</v>
      </c>
      <c r="EP7" s="42">
        <v>2.1360000000000001</v>
      </c>
      <c r="EQ7" s="42">
        <v>2.2890000000000001</v>
      </c>
      <c r="ER7" s="42">
        <v>2.6259999999999999</v>
      </c>
      <c r="ES7" s="42">
        <v>2.2829999999999999</v>
      </c>
      <c r="ET7" s="42">
        <v>2.5870000000000002</v>
      </c>
      <c r="EU7" s="42">
        <v>2.14</v>
      </c>
      <c r="EV7" s="42">
        <v>2.0790000000000002</v>
      </c>
      <c r="EW7" s="42">
        <v>0</v>
      </c>
      <c r="EX7" s="42">
        <v>2.6840000000000002</v>
      </c>
      <c r="EY7" s="42">
        <v>2.2400000000000002</v>
      </c>
      <c r="EZ7" s="42">
        <v>0</v>
      </c>
      <c r="FA7" s="42">
        <v>1.3380000000000001</v>
      </c>
      <c r="FB7" s="42">
        <v>0.82899999999999996</v>
      </c>
      <c r="FC7" s="42">
        <v>1.0920000000000001</v>
      </c>
      <c r="FD7" s="42">
        <v>0</v>
      </c>
      <c r="FE7" s="42">
        <v>0</v>
      </c>
      <c r="FF7" s="42">
        <v>0</v>
      </c>
      <c r="FG7" s="42">
        <v>0</v>
      </c>
      <c r="FH7" s="42">
        <v>0.89700000000000002</v>
      </c>
      <c r="FI7" s="42">
        <v>1.4259999999999999</v>
      </c>
      <c r="FJ7" s="42">
        <v>1.373</v>
      </c>
      <c r="FK7" s="42">
        <v>2.302</v>
      </c>
      <c r="FL7" s="43" t="s">
        <v>76</v>
      </c>
      <c r="FM7" s="42">
        <v>1.1879999999999999</v>
      </c>
      <c r="FN7" s="42">
        <v>0.52200000000000002</v>
      </c>
      <c r="FO7" s="42">
        <v>2.1560000000000001</v>
      </c>
      <c r="FP7" s="42">
        <v>0</v>
      </c>
      <c r="FQ7" s="42">
        <v>1.7729999999999999</v>
      </c>
      <c r="FR7" s="42">
        <v>1.9259999999999999</v>
      </c>
      <c r="FS7" s="42">
        <v>0.96499999999999997</v>
      </c>
      <c r="FT7" s="42">
        <v>1.103</v>
      </c>
      <c r="FU7" s="42">
        <v>1.575</v>
      </c>
      <c r="FV7" s="42">
        <v>0.94699999999999995</v>
      </c>
      <c r="FW7" s="48">
        <v>1.0476666666666665</v>
      </c>
      <c r="FX7">
        <v>0</v>
      </c>
      <c r="FY7" s="43" t="s">
        <v>76</v>
      </c>
      <c r="FZ7" s="42">
        <v>1.33</v>
      </c>
      <c r="GA7" s="42">
        <v>0</v>
      </c>
      <c r="GB7" s="42">
        <v>1.6636666666666666</v>
      </c>
      <c r="GC7" s="42">
        <v>2.0756666666666668</v>
      </c>
      <c r="GD7">
        <v>1.8463333333333332</v>
      </c>
      <c r="GE7" s="43" t="s">
        <v>76</v>
      </c>
      <c r="GF7" s="42">
        <v>0.8693333333333334</v>
      </c>
      <c r="GG7">
        <v>1.2929999999999999</v>
      </c>
      <c r="GH7">
        <v>2.0260000000000002</v>
      </c>
      <c r="GI7">
        <v>1.91</v>
      </c>
      <c r="GJ7">
        <v>2.5893333333333337</v>
      </c>
      <c r="GK7" s="42">
        <v>0</v>
      </c>
      <c r="GL7" s="42">
        <v>0</v>
      </c>
      <c r="GM7">
        <v>2.7280000000000002</v>
      </c>
      <c r="GN7">
        <v>2.9116666666666666</v>
      </c>
      <c r="GO7">
        <v>2.6229999999999998</v>
      </c>
      <c r="GP7">
        <v>2.3526666666666665</v>
      </c>
      <c r="GQ7">
        <v>1.498</v>
      </c>
      <c r="GR7">
        <v>1.7463333333333333</v>
      </c>
      <c r="GS7">
        <v>0</v>
      </c>
    </row>
    <row r="8" spans="1:201" x14ac:dyDescent="0.35">
      <c r="A8" s="11">
        <v>0</v>
      </c>
      <c r="B8" s="11">
        <v>0</v>
      </c>
      <c r="C8" s="11">
        <v>0</v>
      </c>
      <c r="D8" s="11">
        <v>0</v>
      </c>
      <c r="E8" s="11">
        <v>0</v>
      </c>
      <c r="F8" s="11">
        <v>0</v>
      </c>
      <c r="G8" s="11">
        <v>0</v>
      </c>
      <c r="H8" s="11">
        <v>0</v>
      </c>
      <c r="I8" s="11">
        <v>0</v>
      </c>
      <c r="J8" s="11">
        <v>0</v>
      </c>
      <c r="K8" s="11">
        <v>0</v>
      </c>
      <c r="L8" s="11">
        <v>2.2930000000000001</v>
      </c>
      <c r="M8" s="11">
        <v>0</v>
      </c>
      <c r="N8" s="11">
        <v>0</v>
      </c>
      <c r="O8" s="11">
        <v>0</v>
      </c>
      <c r="P8" s="11">
        <v>0</v>
      </c>
      <c r="Q8" s="11">
        <v>1.073</v>
      </c>
      <c r="R8" s="11">
        <v>0</v>
      </c>
      <c r="S8" s="11">
        <v>0</v>
      </c>
      <c r="T8" s="11">
        <v>0</v>
      </c>
      <c r="U8" s="11">
        <v>0</v>
      </c>
      <c r="V8" s="11">
        <v>0</v>
      </c>
      <c r="W8" s="11">
        <v>0</v>
      </c>
      <c r="X8" s="11">
        <v>0</v>
      </c>
      <c r="Y8" s="11">
        <v>0</v>
      </c>
      <c r="Z8" s="11">
        <v>0</v>
      </c>
      <c r="AA8" s="11">
        <v>0</v>
      </c>
      <c r="AB8" s="11">
        <v>0</v>
      </c>
      <c r="AC8" s="11">
        <v>0</v>
      </c>
      <c r="AD8" s="11">
        <v>0</v>
      </c>
      <c r="AE8" s="11">
        <v>0</v>
      </c>
      <c r="AF8" s="11">
        <v>0</v>
      </c>
      <c r="AG8" s="11">
        <v>0</v>
      </c>
      <c r="AH8" s="11">
        <v>0</v>
      </c>
      <c r="AI8" s="11">
        <v>0</v>
      </c>
      <c r="AJ8" s="11">
        <v>0</v>
      </c>
      <c r="AK8" s="11">
        <v>0</v>
      </c>
      <c r="AL8" s="11">
        <v>0</v>
      </c>
      <c r="AM8" s="11">
        <v>0</v>
      </c>
      <c r="AN8" s="11">
        <v>0</v>
      </c>
      <c r="AO8" s="11">
        <v>0</v>
      </c>
      <c r="AP8" s="11">
        <v>0</v>
      </c>
      <c r="AQ8" s="11">
        <v>0</v>
      </c>
      <c r="AR8" s="11">
        <v>0</v>
      </c>
      <c r="AS8" s="11">
        <v>1.532</v>
      </c>
      <c r="AT8" s="11">
        <v>0</v>
      </c>
      <c r="AU8" s="11">
        <v>0</v>
      </c>
      <c r="AV8" s="11">
        <v>0</v>
      </c>
      <c r="AW8" s="11">
        <v>0</v>
      </c>
      <c r="AX8" s="11">
        <v>0</v>
      </c>
      <c r="AY8" s="11">
        <v>0</v>
      </c>
      <c r="AZ8" s="11">
        <v>0</v>
      </c>
      <c r="BA8" s="11">
        <v>0</v>
      </c>
      <c r="BB8" s="11">
        <v>0</v>
      </c>
      <c r="BC8" s="11">
        <v>0</v>
      </c>
      <c r="BD8" s="11">
        <v>0</v>
      </c>
      <c r="BE8" s="11">
        <v>0</v>
      </c>
      <c r="BF8" s="11">
        <v>0</v>
      </c>
      <c r="BG8" s="11">
        <v>0</v>
      </c>
      <c r="BH8" s="11">
        <v>1.474</v>
      </c>
      <c r="BI8" s="11">
        <v>0</v>
      </c>
      <c r="BJ8" s="11">
        <v>0</v>
      </c>
      <c r="BK8" s="11">
        <v>0</v>
      </c>
      <c r="BL8" s="11">
        <v>0</v>
      </c>
      <c r="BM8" s="11">
        <v>0</v>
      </c>
      <c r="BN8" s="11">
        <v>0</v>
      </c>
      <c r="BO8" s="11">
        <v>0</v>
      </c>
      <c r="BP8" s="11">
        <v>0</v>
      </c>
      <c r="BQ8" s="42">
        <v>1.4339999999999999</v>
      </c>
      <c r="BR8" s="42">
        <v>1.4339999999999999</v>
      </c>
      <c r="BS8" s="11">
        <v>0</v>
      </c>
      <c r="BT8" s="11">
        <v>0</v>
      </c>
      <c r="BU8" s="11">
        <v>2.9180000000000001</v>
      </c>
      <c r="BV8" s="11">
        <v>3.157</v>
      </c>
      <c r="BW8" s="11">
        <v>2.319</v>
      </c>
      <c r="BX8" s="11">
        <v>2.4769999999999999</v>
      </c>
      <c r="BY8" s="11">
        <v>2.395</v>
      </c>
      <c r="BZ8" s="11">
        <v>2.3090000000000002</v>
      </c>
      <c r="CA8" s="11">
        <v>0</v>
      </c>
      <c r="CB8" s="11">
        <v>0</v>
      </c>
      <c r="CC8" s="11">
        <v>0</v>
      </c>
      <c r="CD8" s="11">
        <v>1.75</v>
      </c>
      <c r="CE8" s="11">
        <v>2.488</v>
      </c>
      <c r="CF8" s="32">
        <v>1.21</v>
      </c>
      <c r="CG8" s="32">
        <v>0</v>
      </c>
      <c r="CH8" s="32">
        <v>1.48</v>
      </c>
      <c r="CI8">
        <v>1.2889999999999999</v>
      </c>
      <c r="CJ8">
        <v>0</v>
      </c>
      <c r="CK8">
        <v>0</v>
      </c>
      <c r="CL8">
        <v>0</v>
      </c>
      <c r="CM8">
        <v>0</v>
      </c>
      <c r="CN8">
        <v>0</v>
      </c>
      <c r="CO8">
        <v>0</v>
      </c>
      <c r="CP8">
        <v>0</v>
      </c>
      <c r="CQ8">
        <v>0</v>
      </c>
      <c r="CR8">
        <v>0</v>
      </c>
      <c r="CS8" s="39">
        <v>0</v>
      </c>
      <c r="CT8" s="39">
        <v>0</v>
      </c>
      <c r="CU8">
        <v>0</v>
      </c>
      <c r="CV8">
        <v>0</v>
      </c>
      <c r="CW8">
        <v>1.5780000000000001</v>
      </c>
      <c r="CX8" s="43">
        <v>0</v>
      </c>
      <c r="CY8" s="43">
        <v>0</v>
      </c>
      <c r="CZ8" s="43">
        <v>0</v>
      </c>
      <c r="DA8" s="42">
        <v>0</v>
      </c>
      <c r="DB8" s="42">
        <v>0</v>
      </c>
      <c r="DC8" s="42">
        <v>0</v>
      </c>
      <c r="DD8" s="42">
        <v>2.1909999999999998</v>
      </c>
      <c r="DE8" s="42">
        <v>2.028</v>
      </c>
      <c r="DF8" s="42">
        <v>0.59299999999999997</v>
      </c>
      <c r="DG8" s="42">
        <v>0</v>
      </c>
      <c r="DH8" s="42">
        <v>0</v>
      </c>
      <c r="DI8" s="42">
        <v>0</v>
      </c>
      <c r="DJ8" s="42">
        <v>0</v>
      </c>
      <c r="DK8" s="42">
        <v>0</v>
      </c>
      <c r="DL8" s="42">
        <v>0</v>
      </c>
      <c r="DM8" s="42">
        <v>0</v>
      </c>
      <c r="DN8" s="43" t="s">
        <v>76</v>
      </c>
      <c r="DO8" s="42">
        <v>0</v>
      </c>
      <c r="DP8" s="43" t="s">
        <v>76</v>
      </c>
      <c r="DQ8" s="42">
        <v>0</v>
      </c>
      <c r="DR8" s="42">
        <v>0</v>
      </c>
      <c r="DS8" s="42">
        <v>0</v>
      </c>
      <c r="DT8" s="43" t="s">
        <v>76</v>
      </c>
      <c r="DU8" s="43" t="s">
        <v>76</v>
      </c>
      <c r="DV8" s="43" t="s">
        <v>76</v>
      </c>
      <c r="DW8" s="42">
        <v>0</v>
      </c>
      <c r="DX8" s="42">
        <v>0</v>
      </c>
      <c r="DY8" s="42">
        <v>0</v>
      </c>
      <c r="DZ8" s="42">
        <v>0</v>
      </c>
      <c r="EA8" s="42">
        <v>0</v>
      </c>
      <c r="EB8" s="42">
        <v>0</v>
      </c>
      <c r="EC8" t="s">
        <v>76</v>
      </c>
      <c r="ED8" t="s">
        <v>76</v>
      </c>
      <c r="EE8" s="42">
        <v>0</v>
      </c>
      <c r="EF8" s="42">
        <v>0</v>
      </c>
      <c r="EG8" s="42">
        <v>0</v>
      </c>
      <c r="EH8" s="42">
        <v>2.1179999999999999</v>
      </c>
      <c r="EI8" s="42">
        <v>1.456</v>
      </c>
      <c r="EJ8" s="42">
        <v>1.653</v>
      </c>
      <c r="EK8" s="42">
        <v>0</v>
      </c>
      <c r="EL8" s="42">
        <v>0</v>
      </c>
      <c r="EM8" s="42">
        <v>0</v>
      </c>
      <c r="EN8" s="42">
        <v>1.589</v>
      </c>
      <c r="EO8" s="42">
        <v>1.8140000000000001</v>
      </c>
      <c r="EP8" s="42">
        <v>0</v>
      </c>
      <c r="EQ8" s="42">
        <v>1.6</v>
      </c>
      <c r="ER8" s="42">
        <v>1.4830000000000001</v>
      </c>
      <c r="ES8" s="42">
        <v>1.7430000000000001</v>
      </c>
      <c r="ET8" s="42">
        <v>1.7010000000000001</v>
      </c>
      <c r="EU8" s="42">
        <v>0</v>
      </c>
      <c r="EV8" s="42">
        <v>0</v>
      </c>
      <c r="EW8" s="43" t="s">
        <v>76</v>
      </c>
      <c r="EX8" s="42">
        <v>1.4830000000000001</v>
      </c>
      <c r="EY8" s="42">
        <v>1.478</v>
      </c>
      <c r="EZ8" s="43" t="s">
        <v>76</v>
      </c>
      <c r="FA8" s="42">
        <v>0</v>
      </c>
      <c r="FB8" s="42">
        <v>0</v>
      </c>
      <c r="FC8" s="42">
        <v>0</v>
      </c>
      <c r="FD8" s="43" t="s">
        <v>76</v>
      </c>
      <c r="FE8" s="43" t="s">
        <v>76</v>
      </c>
      <c r="FF8" s="43" t="s">
        <v>76</v>
      </c>
      <c r="FG8" s="42">
        <v>0</v>
      </c>
      <c r="FH8" s="42">
        <v>0</v>
      </c>
      <c r="FI8" s="42">
        <v>0</v>
      </c>
      <c r="FJ8" s="42">
        <v>0</v>
      </c>
      <c r="FK8" s="42">
        <v>0</v>
      </c>
      <c r="FL8" s="43" t="s">
        <v>76</v>
      </c>
      <c r="FM8" s="42">
        <v>0</v>
      </c>
      <c r="FN8" s="42">
        <v>0</v>
      </c>
      <c r="FO8" s="42">
        <v>0</v>
      </c>
      <c r="FP8" s="43" t="s">
        <v>76</v>
      </c>
      <c r="FQ8" s="42">
        <v>0</v>
      </c>
      <c r="FR8" s="42">
        <v>0</v>
      </c>
      <c r="FS8" s="42">
        <v>0</v>
      </c>
      <c r="FT8" s="42">
        <v>0</v>
      </c>
      <c r="FU8" s="42">
        <v>0</v>
      </c>
      <c r="FV8" s="42">
        <v>0</v>
      </c>
      <c r="FW8" s="48">
        <v>0</v>
      </c>
      <c r="FX8" s="43" t="s">
        <v>76</v>
      </c>
      <c r="FY8" s="43" t="s">
        <v>76</v>
      </c>
      <c r="FZ8">
        <v>0</v>
      </c>
      <c r="GA8" s="43" t="s">
        <v>76</v>
      </c>
      <c r="GB8">
        <v>0</v>
      </c>
      <c r="GC8" s="42">
        <v>0</v>
      </c>
      <c r="GD8">
        <v>0</v>
      </c>
      <c r="GE8" s="43" t="s">
        <v>76</v>
      </c>
      <c r="GF8" s="42">
        <v>0</v>
      </c>
      <c r="GG8">
        <v>0</v>
      </c>
      <c r="GH8">
        <v>0</v>
      </c>
      <c r="GI8">
        <v>0</v>
      </c>
      <c r="GJ8">
        <v>0</v>
      </c>
      <c r="GK8" s="43" t="s">
        <v>76</v>
      </c>
      <c r="GL8" s="43" t="s">
        <v>76</v>
      </c>
      <c r="GM8" s="43" t="s">
        <v>76</v>
      </c>
      <c r="GN8">
        <v>0</v>
      </c>
      <c r="GO8">
        <v>2.2316666666666669</v>
      </c>
      <c r="GP8">
        <v>2.2109999999999999</v>
      </c>
      <c r="GQ8">
        <v>0</v>
      </c>
      <c r="GR8">
        <v>0</v>
      </c>
      <c r="GS8" s="43" t="s">
        <v>76</v>
      </c>
    </row>
    <row r="9" spans="1:201" x14ac:dyDescent="0.35">
      <c r="A9" s="42" t="s">
        <v>76</v>
      </c>
      <c r="B9" s="42" t="s">
        <v>76</v>
      </c>
      <c r="C9" s="42" t="s">
        <v>76</v>
      </c>
      <c r="D9" s="42" t="s">
        <v>76</v>
      </c>
      <c r="E9" s="42" t="s">
        <v>76</v>
      </c>
      <c r="F9" s="42" t="s">
        <v>76</v>
      </c>
      <c r="G9" s="42" t="s">
        <v>76</v>
      </c>
      <c r="H9" s="42" t="s">
        <v>76</v>
      </c>
      <c r="I9" s="42" t="s">
        <v>76</v>
      </c>
      <c r="J9" s="42" t="s">
        <v>76</v>
      </c>
      <c r="K9" s="42" t="s">
        <v>76</v>
      </c>
      <c r="L9" s="11">
        <v>0</v>
      </c>
      <c r="M9" s="42" t="s">
        <v>76</v>
      </c>
      <c r="N9" s="42" t="s">
        <v>76</v>
      </c>
      <c r="O9" s="42" t="s">
        <v>76</v>
      </c>
      <c r="P9" s="42" t="s">
        <v>76</v>
      </c>
      <c r="Q9" s="11">
        <v>0</v>
      </c>
      <c r="R9" s="42" t="s">
        <v>76</v>
      </c>
      <c r="S9" s="42" t="s">
        <v>76</v>
      </c>
      <c r="T9" s="42" t="s">
        <v>76</v>
      </c>
      <c r="U9" s="42" t="s">
        <v>76</v>
      </c>
      <c r="V9" s="42" t="s">
        <v>76</v>
      </c>
      <c r="W9" s="42" t="s">
        <v>76</v>
      </c>
      <c r="X9" s="42" t="s">
        <v>76</v>
      </c>
      <c r="Y9" s="42" t="s">
        <v>76</v>
      </c>
      <c r="Z9" s="42" t="s">
        <v>76</v>
      </c>
      <c r="AA9" s="42" t="s">
        <v>76</v>
      </c>
      <c r="AB9" s="42" t="s">
        <v>76</v>
      </c>
      <c r="AC9" s="42" t="s">
        <v>76</v>
      </c>
      <c r="AD9" s="42" t="s">
        <v>76</v>
      </c>
      <c r="AE9" s="42" t="s">
        <v>76</v>
      </c>
      <c r="AF9" s="42" t="s">
        <v>76</v>
      </c>
      <c r="AG9" s="42" t="s">
        <v>76</v>
      </c>
      <c r="AH9" s="42" t="s">
        <v>76</v>
      </c>
      <c r="AI9" s="42" t="s">
        <v>76</v>
      </c>
      <c r="AJ9" s="42" t="s">
        <v>76</v>
      </c>
      <c r="AK9" s="42" t="s">
        <v>76</v>
      </c>
      <c r="AL9" s="42" t="s">
        <v>76</v>
      </c>
      <c r="AM9" s="42" t="s">
        <v>76</v>
      </c>
      <c r="AN9" s="42" t="s">
        <v>76</v>
      </c>
      <c r="AO9" s="42" t="s">
        <v>76</v>
      </c>
      <c r="AP9" s="42" t="s">
        <v>76</v>
      </c>
      <c r="AQ9" s="42" t="s">
        <v>76</v>
      </c>
      <c r="AR9" s="42" t="s">
        <v>76</v>
      </c>
      <c r="AS9" s="42" t="s">
        <v>76</v>
      </c>
      <c r="AT9" s="42" t="s">
        <v>76</v>
      </c>
      <c r="AU9" s="42" t="s">
        <v>76</v>
      </c>
      <c r="AV9" s="42" t="s">
        <v>76</v>
      </c>
      <c r="AW9" s="42" t="s">
        <v>76</v>
      </c>
      <c r="AX9" s="42" t="s">
        <v>76</v>
      </c>
      <c r="AY9" s="42" t="s">
        <v>76</v>
      </c>
      <c r="AZ9" s="42" t="s">
        <v>76</v>
      </c>
      <c r="BA9" s="42" t="s">
        <v>76</v>
      </c>
      <c r="BB9" s="42" t="s">
        <v>76</v>
      </c>
      <c r="BC9" s="42" t="s">
        <v>76</v>
      </c>
      <c r="BD9" s="42" t="s">
        <v>76</v>
      </c>
      <c r="BE9" s="42" t="s">
        <v>76</v>
      </c>
      <c r="BF9" s="42" t="s">
        <v>76</v>
      </c>
      <c r="BG9" s="42" t="s">
        <v>76</v>
      </c>
      <c r="BH9" s="42" t="s">
        <v>76</v>
      </c>
      <c r="BI9" s="42" t="s">
        <v>76</v>
      </c>
      <c r="BJ9" s="42" t="s">
        <v>76</v>
      </c>
      <c r="BK9" s="42" t="s">
        <v>76</v>
      </c>
      <c r="BL9" s="42" t="s">
        <v>76</v>
      </c>
      <c r="BM9" s="42" t="s">
        <v>76</v>
      </c>
      <c r="BN9" s="42" t="s">
        <v>76</v>
      </c>
      <c r="BO9" s="42" t="s">
        <v>76</v>
      </c>
      <c r="BP9" s="42" t="s">
        <v>76</v>
      </c>
      <c r="BQ9" s="42" t="s">
        <v>76</v>
      </c>
      <c r="BR9" s="42" t="s">
        <v>76</v>
      </c>
      <c r="BS9" s="42" t="s">
        <v>76</v>
      </c>
      <c r="BT9" t="s">
        <v>76</v>
      </c>
      <c r="BU9" s="11">
        <v>3</v>
      </c>
      <c r="BV9" s="11">
        <v>2.8820000000000001</v>
      </c>
      <c r="BW9" s="11">
        <v>0</v>
      </c>
      <c r="BX9" s="11">
        <v>0</v>
      </c>
      <c r="BY9" s="11">
        <v>0</v>
      </c>
      <c r="BZ9" s="11">
        <v>0</v>
      </c>
      <c r="CA9" s="43" t="s">
        <v>76</v>
      </c>
      <c r="CB9" s="43" t="s">
        <v>76</v>
      </c>
      <c r="CC9" s="43" t="s">
        <v>76</v>
      </c>
      <c r="CD9" s="11">
        <v>1.4279999999999999</v>
      </c>
      <c r="CE9" s="11">
        <v>0</v>
      </c>
      <c r="CF9" s="32">
        <v>0</v>
      </c>
      <c r="CG9" s="32">
        <v>0</v>
      </c>
      <c r="CH9" s="32">
        <v>0</v>
      </c>
      <c r="CI9" s="43" t="s">
        <v>76</v>
      </c>
      <c r="CJ9" s="43" t="s">
        <v>76</v>
      </c>
      <c r="CK9" s="43" t="s">
        <v>76</v>
      </c>
      <c r="CL9" s="43" t="s">
        <v>76</v>
      </c>
      <c r="CM9" s="43" t="s">
        <v>76</v>
      </c>
      <c r="CN9" s="43" t="s">
        <v>76</v>
      </c>
      <c r="CO9" s="43" t="s">
        <v>76</v>
      </c>
      <c r="CP9" s="43" t="s">
        <v>76</v>
      </c>
      <c r="CQ9" s="43" t="s">
        <v>76</v>
      </c>
      <c r="CR9" s="43" t="s">
        <v>76</v>
      </c>
      <c r="CS9" s="43" t="s">
        <v>76</v>
      </c>
      <c r="CT9" s="43" t="s">
        <v>76</v>
      </c>
      <c r="CU9" s="43" t="s">
        <v>76</v>
      </c>
      <c r="CV9" s="43" t="s">
        <v>76</v>
      </c>
      <c r="CW9" s="43" t="s">
        <v>76</v>
      </c>
      <c r="CX9" s="43" t="s">
        <v>76</v>
      </c>
      <c r="CY9" s="43" t="s">
        <v>76</v>
      </c>
      <c r="CZ9" s="43" t="s">
        <v>76</v>
      </c>
      <c r="DA9" s="43" t="s">
        <v>76</v>
      </c>
      <c r="DB9" s="43" t="s">
        <v>76</v>
      </c>
      <c r="DC9" s="43" t="s">
        <v>76</v>
      </c>
      <c r="DD9" s="42">
        <v>0</v>
      </c>
      <c r="DE9" s="42">
        <v>0</v>
      </c>
      <c r="DF9" s="43" t="s">
        <v>76</v>
      </c>
      <c r="DG9" s="43" t="s">
        <v>76</v>
      </c>
      <c r="DH9" s="43" t="s">
        <v>76</v>
      </c>
      <c r="DI9" s="43" t="s">
        <v>76</v>
      </c>
      <c r="DJ9" s="43" t="s">
        <v>76</v>
      </c>
      <c r="DK9" s="43" t="s">
        <v>76</v>
      </c>
      <c r="DL9" s="43" t="s">
        <v>76</v>
      </c>
      <c r="DM9" s="43" t="s">
        <v>76</v>
      </c>
      <c r="DN9" s="43" t="s">
        <v>76</v>
      </c>
      <c r="DO9" s="43" t="s">
        <v>76</v>
      </c>
      <c r="DP9" s="43" t="s">
        <v>76</v>
      </c>
      <c r="DQ9" s="43" t="s">
        <v>76</v>
      </c>
      <c r="DR9" s="43" t="s">
        <v>76</v>
      </c>
      <c r="DS9" s="43" t="s">
        <v>76</v>
      </c>
      <c r="DT9" s="43" t="s">
        <v>76</v>
      </c>
      <c r="DU9" s="43" t="s">
        <v>76</v>
      </c>
      <c r="DV9" s="43" t="s">
        <v>76</v>
      </c>
      <c r="DW9" s="43" t="s">
        <v>76</v>
      </c>
      <c r="DX9" s="43" t="s">
        <v>76</v>
      </c>
      <c r="DY9" s="43" t="s">
        <v>76</v>
      </c>
      <c r="DZ9" s="43" t="s">
        <v>76</v>
      </c>
      <c r="EA9" s="43" t="s">
        <v>76</v>
      </c>
      <c r="EB9" s="43" t="s">
        <v>76</v>
      </c>
      <c r="EC9" s="43" t="s">
        <v>76</v>
      </c>
      <c r="ED9" s="43" t="s">
        <v>76</v>
      </c>
      <c r="EE9" s="43" t="s">
        <v>76</v>
      </c>
      <c r="EF9" s="43" t="s">
        <v>76</v>
      </c>
      <c r="EG9" s="43" t="s">
        <v>76</v>
      </c>
      <c r="EH9" s="42">
        <v>0</v>
      </c>
      <c r="EI9" s="42">
        <v>0</v>
      </c>
      <c r="EJ9" s="42">
        <v>0</v>
      </c>
      <c r="EK9" s="43" t="s">
        <v>76</v>
      </c>
      <c r="EL9" s="43" t="s">
        <v>76</v>
      </c>
      <c r="EM9" s="43" t="s">
        <v>76</v>
      </c>
      <c r="EN9" s="42">
        <v>0</v>
      </c>
      <c r="EO9" s="42">
        <v>0</v>
      </c>
      <c r="EP9" s="42">
        <v>0</v>
      </c>
      <c r="EQ9" s="42">
        <v>0</v>
      </c>
      <c r="ER9" s="42">
        <v>0</v>
      </c>
      <c r="ES9" s="42">
        <v>0</v>
      </c>
      <c r="ET9" s="43" t="s">
        <v>76</v>
      </c>
      <c r="EU9" s="43" t="s">
        <v>76</v>
      </c>
      <c r="EV9" s="43" t="s">
        <v>76</v>
      </c>
      <c r="EW9" s="43" t="s">
        <v>76</v>
      </c>
      <c r="EX9" s="42">
        <v>0</v>
      </c>
      <c r="EY9" s="42">
        <v>0</v>
      </c>
      <c r="EZ9" s="43" t="s">
        <v>76</v>
      </c>
      <c r="FA9" s="43" t="s">
        <v>76</v>
      </c>
      <c r="FB9" s="43" t="s">
        <v>76</v>
      </c>
      <c r="FC9" s="43" t="s">
        <v>76</v>
      </c>
      <c r="FD9" s="43" t="s">
        <v>76</v>
      </c>
      <c r="FE9" s="43" t="s">
        <v>76</v>
      </c>
      <c r="FF9" s="43" t="s">
        <v>76</v>
      </c>
      <c r="FG9" s="43" t="s">
        <v>76</v>
      </c>
      <c r="FH9" s="43" t="s">
        <v>76</v>
      </c>
      <c r="FI9" s="43" t="s">
        <v>76</v>
      </c>
      <c r="FJ9" s="43" t="s">
        <v>76</v>
      </c>
      <c r="FK9" s="43" t="s">
        <v>76</v>
      </c>
      <c r="FL9" s="43" t="s">
        <v>76</v>
      </c>
      <c r="FM9" s="43" t="s">
        <v>76</v>
      </c>
      <c r="FN9" s="43" t="s">
        <v>76</v>
      </c>
      <c r="FO9" s="43" t="s">
        <v>76</v>
      </c>
      <c r="FP9" s="43" t="s">
        <v>76</v>
      </c>
      <c r="FQ9" s="43" t="s">
        <v>76</v>
      </c>
      <c r="FR9" s="43" t="s">
        <v>76</v>
      </c>
      <c r="FS9" s="43" t="s">
        <v>76</v>
      </c>
      <c r="FT9" s="43" t="s">
        <v>76</v>
      </c>
      <c r="FU9" s="43" t="s">
        <v>76</v>
      </c>
      <c r="FV9" s="43" t="s">
        <v>76</v>
      </c>
      <c r="FW9" s="43" t="s">
        <v>76</v>
      </c>
      <c r="FX9" s="43" t="s">
        <v>76</v>
      </c>
      <c r="FY9" s="43" t="s">
        <v>76</v>
      </c>
      <c r="FZ9" s="43" t="s">
        <v>76</v>
      </c>
      <c r="GA9" s="43" t="s">
        <v>76</v>
      </c>
      <c r="GB9" s="43" t="s">
        <v>76</v>
      </c>
      <c r="GC9" s="43" t="s">
        <v>76</v>
      </c>
      <c r="GD9" s="43" t="s">
        <v>76</v>
      </c>
      <c r="GE9" s="43" t="s">
        <v>76</v>
      </c>
      <c r="GF9" s="43" t="s">
        <v>76</v>
      </c>
      <c r="GG9" s="43" t="s">
        <v>76</v>
      </c>
      <c r="GH9" s="43" t="s">
        <v>76</v>
      </c>
      <c r="GI9" s="43" t="s">
        <v>76</v>
      </c>
      <c r="GJ9" s="43" t="s">
        <v>76</v>
      </c>
      <c r="GK9" s="43" t="s">
        <v>76</v>
      </c>
      <c r="GL9" s="43" t="s">
        <v>76</v>
      </c>
      <c r="GM9" s="43" t="s">
        <v>76</v>
      </c>
      <c r="GN9" s="43" t="s">
        <v>76</v>
      </c>
      <c r="GO9">
        <v>0</v>
      </c>
      <c r="GP9">
        <v>0</v>
      </c>
      <c r="GQ9" s="43" t="s">
        <v>76</v>
      </c>
      <c r="GR9" s="43" t="s">
        <v>76</v>
      </c>
      <c r="GS9" s="43" t="s">
        <v>76</v>
      </c>
    </row>
    <row r="10" spans="1:201" x14ac:dyDescent="0.35">
      <c r="A10" s="42" t="s">
        <v>76</v>
      </c>
      <c r="B10" s="42" t="s">
        <v>76</v>
      </c>
      <c r="C10" s="42" t="s">
        <v>76</v>
      </c>
      <c r="D10" s="42" t="s">
        <v>76</v>
      </c>
      <c r="E10" s="42" t="s">
        <v>76</v>
      </c>
      <c r="F10" s="42" t="s">
        <v>76</v>
      </c>
      <c r="G10" s="42" t="s">
        <v>76</v>
      </c>
      <c r="H10" s="42" t="s">
        <v>76</v>
      </c>
      <c r="I10" s="42" t="s">
        <v>76</v>
      </c>
      <c r="J10" s="42" t="s">
        <v>76</v>
      </c>
      <c r="K10" s="42" t="s">
        <v>76</v>
      </c>
      <c r="L10" s="42" t="s">
        <v>76</v>
      </c>
      <c r="M10" s="42" t="s">
        <v>76</v>
      </c>
      <c r="N10" s="42" t="s">
        <v>76</v>
      </c>
      <c r="O10" s="42" t="s">
        <v>76</v>
      </c>
      <c r="P10" s="42" t="s">
        <v>76</v>
      </c>
      <c r="Q10" s="42" t="s">
        <v>76</v>
      </c>
      <c r="R10" s="42" t="s">
        <v>76</v>
      </c>
      <c r="S10" s="42" t="s">
        <v>76</v>
      </c>
      <c r="T10" s="42" t="s">
        <v>76</v>
      </c>
      <c r="U10" s="42" t="s">
        <v>76</v>
      </c>
      <c r="V10" s="42" t="s">
        <v>76</v>
      </c>
      <c r="W10" s="42" t="s">
        <v>76</v>
      </c>
      <c r="X10" s="42" t="s">
        <v>76</v>
      </c>
      <c r="Y10" s="42" t="s">
        <v>76</v>
      </c>
      <c r="Z10" s="42" t="s">
        <v>76</v>
      </c>
      <c r="AA10" s="42" t="s">
        <v>76</v>
      </c>
      <c r="AB10" s="42" t="s">
        <v>76</v>
      </c>
      <c r="AC10" s="42" t="s">
        <v>76</v>
      </c>
      <c r="AD10" s="42" t="s">
        <v>76</v>
      </c>
      <c r="AE10" s="42" t="s">
        <v>76</v>
      </c>
      <c r="AF10" s="42" t="s">
        <v>76</v>
      </c>
      <c r="AG10" s="42" t="s">
        <v>76</v>
      </c>
      <c r="AH10" s="42" t="s">
        <v>76</v>
      </c>
      <c r="AI10" s="42" t="s">
        <v>76</v>
      </c>
      <c r="AJ10" s="42" t="s">
        <v>76</v>
      </c>
      <c r="AK10" s="42" t="s">
        <v>76</v>
      </c>
      <c r="AL10" s="42" t="s">
        <v>76</v>
      </c>
      <c r="AM10" s="42" t="s">
        <v>76</v>
      </c>
      <c r="AN10" s="42" t="s">
        <v>76</v>
      </c>
      <c r="AO10" s="42" t="s">
        <v>76</v>
      </c>
      <c r="AP10" s="42" t="s">
        <v>76</v>
      </c>
      <c r="AQ10" s="42" t="s">
        <v>76</v>
      </c>
      <c r="AR10" s="42" t="s">
        <v>76</v>
      </c>
      <c r="AS10" s="42" t="s">
        <v>76</v>
      </c>
      <c r="AT10" s="42" t="s">
        <v>76</v>
      </c>
      <c r="AU10" s="42" t="s">
        <v>76</v>
      </c>
      <c r="AV10" s="42" t="s">
        <v>76</v>
      </c>
      <c r="AW10" s="42" t="s">
        <v>76</v>
      </c>
      <c r="AX10" s="42" t="s">
        <v>76</v>
      </c>
      <c r="AY10" s="42" t="s">
        <v>76</v>
      </c>
      <c r="AZ10" s="42" t="s">
        <v>76</v>
      </c>
      <c r="BA10" s="42" t="s">
        <v>76</v>
      </c>
      <c r="BB10" s="42" t="s">
        <v>76</v>
      </c>
      <c r="BC10" s="42" t="s">
        <v>76</v>
      </c>
      <c r="BD10" s="42" t="s">
        <v>76</v>
      </c>
      <c r="BE10" s="42" t="s">
        <v>76</v>
      </c>
      <c r="BF10" s="42" t="s">
        <v>76</v>
      </c>
      <c r="BG10" s="42" t="s">
        <v>76</v>
      </c>
      <c r="BH10" s="42" t="s">
        <v>76</v>
      </c>
      <c r="BI10" s="42" t="s">
        <v>76</v>
      </c>
      <c r="BJ10" s="42" t="s">
        <v>76</v>
      </c>
      <c r="BK10" s="42" t="s">
        <v>76</v>
      </c>
      <c r="BL10" s="42" t="s">
        <v>76</v>
      </c>
      <c r="BM10" s="42" t="s">
        <v>76</v>
      </c>
      <c r="BN10" s="42" t="s">
        <v>76</v>
      </c>
      <c r="BO10" s="42" t="s">
        <v>76</v>
      </c>
      <c r="BP10" s="42" t="s">
        <v>76</v>
      </c>
      <c r="BQ10" s="42" t="s">
        <v>76</v>
      </c>
      <c r="BR10" s="42" t="s">
        <v>76</v>
      </c>
      <c r="BS10" s="42" t="s">
        <v>76</v>
      </c>
      <c r="BT10" s="42" t="s">
        <v>76</v>
      </c>
      <c r="BU10" s="11">
        <v>2.738</v>
      </c>
      <c r="BV10" s="11">
        <v>2.6059999999999999</v>
      </c>
      <c r="BW10" s="43" t="s">
        <v>76</v>
      </c>
      <c r="BX10" s="43" t="s">
        <v>76</v>
      </c>
      <c r="BY10" s="43" t="s">
        <v>76</v>
      </c>
      <c r="BZ10" s="43" t="s">
        <v>76</v>
      </c>
      <c r="CA10" s="43" t="s">
        <v>76</v>
      </c>
      <c r="CB10" s="43" t="s">
        <v>76</v>
      </c>
      <c r="CC10" s="43" t="s">
        <v>76</v>
      </c>
      <c r="CD10" s="11">
        <v>0</v>
      </c>
      <c r="CE10" s="11">
        <v>0</v>
      </c>
      <c r="CF10" s="43" t="s">
        <v>76</v>
      </c>
      <c r="CG10" s="43" t="s">
        <v>76</v>
      </c>
      <c r="CH10" s="43" t="s">
        <v>76</v>
      </c>
      <c r="CI10" s="43" t="s">
        <v>76</v>
      </c>
      <c r="CJ10" s="43" t="s">
        <v>76</v>
      </c>
      <c r="CK10" s="43" t="s">
        <v>76</v>
      </c>
      <c r="CL10" s="43" t="s">
        <v>76</v>
      </c>
      <c r="CM10" s="43" t="s">
        <v>76</v>
      </c>
      <c r="CN10" s="43" t="s">
        <v>76</v>
      </c>
      <c r="CO10" s="43" t="s">
        <v>76</v>
      </c>
      <c r="CP10" s="43" t="s">
        <v>76</v>
      </c>
      <c r="CQ10" s="43" t="s">
        <v>76</v>
      </c>
      <c r="CR10" s="43" t="s">
        <v>76</v>
      </c>
      <c r="CS10" s="43" t="s">
        <v>76</v>
      </c>
      <c r="CT10" s="43" t="s">
        <v>76</v>
      </c>
      <c r="CU10" s="43" t="s">
        <v>76</v>
      </c>
      <c r="CV10" s="43" t="s">
        <v>76</v>
      </c>
      <c r="CW10" s="43" t="s">
        <v>76</v>
      </c>
      <c r="CX10" s="43" t="s">
        <v>76</v>
      </c>
      <c r="CY10" s="43" t="s">
        <v>76</v>
      </c>
      <c r="CZ10" s="43" t="s">
        <v>76</v>
      </c>
      <c r="DA10" s="43" t="s">
        <v>76</v>
      </c>
      <c r="DB10" s="43" t="s">
        <v>76</v>
      </c>
      <c r="DC10" s="43" t="s">
        <v>76</v>
      </c>
      <c r="DD10" s="43" t="s">
        <v>76</v>
      </c>
      <c r="DE10" s="43" t="s">
        <v>76</v>
      </c>
      <c r="DF10" s="43" t="s">
        <v>76</v>
      </c>
      <c r="DG10" s="43" t="s">
        <v>76</v>
      </c>
      <c r="DH10" s="43" t="s">
        <v>76</v>
      </c>
      <c r="DI10" s="43" t="s">
        <v>76</v>
      </c>
      <c r="DJ10" s="43" t="s">
        <v>76</v>
      </c>
      <c r="DK10" s="43" t="s">
        <v>76</v>
      </c>
      <c r="DL10" s="43" t="s">
        <v>76</v>
      </c>
      <c r="DM10" s="43" t="s">
        <v>76</v>
      </c>
      <c r="DN10" s="43" t="s">
        <v>76</v>
      </c>
      <c r="DO10" s="43" t="s">
        <v>76</v>
      </c>
      <c r="DP10" s="43" t="s">
        <v>76</v>
      </c>
      <c r="DQ10" s="43" t="s">
        <v>76</v>
      </c>
      <c r="DR10" s="43" t="s">
        <v>76</v>
      </c>
      <c r="DS10" s="43" t="s">
        <v>76</v>
      </c>
      <c r="DT10" s="43" t="s">
        <v>76</v>
      </c>
      <c r="DU10" s="43" t="s">
        <v>76</v>
      </c>
      <c r="DV10" s="43" t="s">
        <v>76</v>
      </c>
      <c r="DW10" s="43" t="s">
        <v>76</v>
      </c>
      <c r="DX10" s="43" t="s">
        <v>76</v>
      </c>
      <c r="DY10" s="43" t="s">
        <v>76</v>
      </c>
      <c r="DZ10" s="43" t="s">
        <v>76</v>
      </c>
      <c r="EA10" s="43" t="s">
        <v>76</v>
      </c>
      <c r="EB10" s="43" t="s">
        <v>76</v>
      </c>
      <c r="EC10" s="43" t="s">
        <v>76</v>
      </c>
      <c r="ED10" s="43" t="s">
        <v>76</v>
      </c>
      <c r="EE10" s="43" t="s">
        <v>76</v>
      </c>
      <c r="EF10" s="43" t="s">
        <v>76</v>
      </c>
      <c r="EG10" s="43" t="s">
        <v>76</v>
      </c>
      <c r="EH10" s="43" t="s">
        <v>76</v>
      </c>
      <c r="EI10" s="43" t="s">
        <v>76</v>
      </c>
      <c r="EJ10" s="43" t="s">
        <v>76</v>
      </c>
      <c r="EK10" s="43" t="s">
        <v>76</v>
      </c>
      <c r="EL10" s="43" t="s">
        <v>76</v>
      </c>
      <c r="EM10" s="43" t="s">
        <v>76</v>
      </c>
      <c r="EN10" s="43" t="s">
        <v>76</v>
      </c>
      <c r="EO10" s="43" t="s">
        <v>76</v>
      </c>
      <c r="EP10" s="43" t="s">
        <v>76</v>
      </c>
      <c r="EQ10" s="43" t="s">
        <v>76</v>
      </c>
      <c r="ER10" s="43" t="s">
        <v>76</v>
      </c>
      <c r="ES10" s="43" t="s">
        <v>76</v>
      </c>
      <c r="ET10" s="43" t="s">
        <v>76</v>
      </c>
      <c r="EU10" s="43" t="s">
        <v>76</v>
      </c>
      <c r="EV10" s="43" t="s">
        <v>76</v>
      </c>
      <c r="EW10" s="43" t="s">
        <v>76</v>
      </c>
      <c r="EX10" s="43" t="s">
        <v>76</v>
      </c>
      <c r="EY10" s="43" t="s">
        <v>76</v>
      </c>
      <c r="EZ10" s="43" t="s">
        <v>76</v>
      </c>
      <c r="FA10" s="43" t="s">
        <v>76</v>
      </c>
      <c r="FB10" s="43" t="s">
        <v>76</v>
      </c>
      <c r="FC10" s="43" t="s">
        <v>76</v>
      </c>
      <c r="FD10" s="43" t="s">
        <v>76</v>
      </c>
      <c r="FE10" s="43" t="s">
        <v>76</v>
      </c>
      <c r="FF10" s="43" t="s">
        <v>76</v>
      </c>
      <c r="FG10" s="43" t="s">
        <v>76</v>
      </c>
      <c r="FH10" s="43" t="s">
        <v>76</v>
      </c>
      <c r="FI10" s="43" t="s">
        <v>76</v>
      </c>
      <c r="FJ10" s="43" t="s">
        <v>76</v>
      </c>
      <c r="FK10" s="43" t="s">
        <v>76</v>
      </c>
      <c r="FL10" s="43" t="s">
        <v>76</v>
      </c>
      <c r="FM10" s="43" t="s">
        <v>76</v>
      </c>
      <c r="FN10" s="43" t="s">
        <v>76</v>
      </c>
      <c r="FO10" s="43" t="s">
        <v>76</v>
      </c>
      <c r="FP10" s="43" t="s">
        <v>76</v>
      </c>
      <c r="FQ10" s="43" t="s">
        <v>76</v>
      </c>
      <c r="FR10" s="43" t="s">
        <v>76</v>
      </c>
      <c r="FS10" s="43" t="s">
        <v>76</v>
      </c>
      <c r="FT10" s="43" t="s">
        <v>76</v>
      </c>
      <c r="FU10" s="43" t="s">
        <v>76</v>
      </c>
      <c r="FV10" s="43" t="s">
        <v>76</v>
      </c>
      <c r="FW10" s="43" t="s">
        <v>76</v>
      </c>
      <c r="FX10" s="43" t="s">
        <v>76</v>
      </c>
      <c r="FY10" s="43" t="s">
        <v>76</v>
      </c>
      <c r="FZ10" s="43" t="s">
        <v>76</v>
      </c>
      <c r="GA10" s="43" t="s">
        <v>76</v>
      </c>
      <c r="GB10" s="43" t="s">
        <v>76</v>
      </c>
      <c r="GC10" s="43" t="s">
        <v>76</v>
      </c>
      <c r="GD10" s="43" t="s">
        <v>76</v>
      </c>
      <c r="GE10" s="43" t="s">
        <v>76</v>
      </c>
      <c r="GF10" s="43" t="s">
        <v>76</v>
      </c>
      <c r="GG10" s="43" t="s">
        <v>76</v>
      </c>
      <c r="GH10" s="43" t="s">
        <v>76</v>
      </c>
      <c r="GI10" s="43" t="s">
        <v>76</v>
      </c>
      <c r="GJ10" s="43" t="s">
        <v>76</v>
      </c>
      <c r="GK10" s="43" t="s">
        <v>76</v>
      </c>
      <c r="GL10" s="43" t="s">
        <v>76</v>
      </c>
      <c r="GM10" s="43" t="s">
        <v>76</v>
      </c>
      <c r="GN10" s="43" t="s">
        <v>76</v>
      </c>
      <c r="GO10" s="43" t="s">
        <v>76</v>
      </c>
      <c r="GP10" s="43" t="s">
        <v>76</v>
      </c>
      <c r="GQ10" s="43" t="s">
        <v>76</v>
      </c>
      <c r="GR10" s="43" t="s">
        <v>76</v>
      </c>
      <c r="GS10" s="43" t="s">
        <v>76</v>
      </c>
    </row>
    <row r="11" spans="1:201" x14ac:dyDescent="0.35">
      <c r="A11" s="42" t="s">
        <v>76</v>
      </c>
      <c r="B11" s="42" t="s">
        <v>76</v>
      </c>
      <c r="C11" s="42" t="s">
        <v>76</v>
      </c>
      <c r="D11" s="42" t="s">
        <v>76</v>
      </c>
      <c r="E11" s="42" t="s">
        <v>76</v>
      </c>
      <c r="F11" s="42" t="s">
        <v>76</v>
      </c>
      <c r="G11" s="42" t="s">
        <v>76</v>
      </c>
      <c r="H11" s="42" t="s">
        <v>76</v>
      </c>
      <c r="I11" s="42" t="s">
        <v>76</v>
      </c>
      <c r="J11" s="42" t="s">
        <v>76</v>
      </c>
      <c r="K11" s="42" t="s">
        <v>76</v>
      </c>
      <c r="L11" s="42" t="s">
        <v>76</v>
      </c>
      <c r="M11" s="42" t="s">
        <v>76</v>
      </c>
      <c r="N11" s="42" t="s">
        <v>76</v>
      </c>
      <c r="O11" s="42" t="s">
        <v>76</v>
      </c>
      <c r="P11" s="42" t="s">
        <v>76</v>
      </c>
      <c r="Q11" s="42" t="s">
        <v>76</v>
      </c>
      <c r="R11" s="42" t="s">
        <v>76</v>
      </c>
      <c r="S11" s="42" t="s">
        <v>76</v>
      </c>
      <c r="T11" s="42" t="s">
        <v>76</v>
      </c>
      <c r="U11" s="42" t="s">
        <v>76</v>
      </c>
      <c r="V11" s="42" t="s">
        <v>76</v>
      </c>
      <c r="W11" s="42" t="s">
        <v>76</v>
      </c>
      <c r="X11" s="42" t="s">
        <v>76</v>
      </c>
      <c r="Y11" s="42" t="s">
        <v>76</v>
      </c>
      <c r="Z11" s="42" t="s">
        <v>76</v>
      </c>
      <c r="AA11" s="42" t="s">
        <v>76</v>
      </c>
      <c r="AB11" s="42" t="s">
        <v>76</v>
      </c>
      <c r="AC11" s="42" t="s">
        <v>76</v>
      </c>
      <c r="AD11" s="42" t="s">
        <v>76</v>
      </c>
      <c r="AE11" s="42" t="s">
        <v>76</v>
      </c>
      <c r="AF11" s="42" t="s">
        <v>76</v>
      </c>
      <c r="AG11" s="42" t="s">
        <v>76</v>
      </c>
      <c r="AH11" s="42" t="s">
        <v>76</v>
      </c>
      <c r="AI11" s="42" t="s">
        <v>76</v>
      </c>
      <c r="AJ11" s="42" t="s">
        <v>76</v>
      </c>
      <c r="AK11" s="42" t="s">
        <v>76</v>
      </c>
      <c r="AL11" s="42" t="s">
        <v>76</v>
      </c>
      <c r="AM11" s="42" t="s">
        <v>76</v>
      </c>
      <c r="AN11" s="42" t="s">
        <v>76</v>
      </c>
      <c r="AO11" s="42" t="s">
        <v>76</v>
      </c>
      <c r="AP11" s="42" t="s">
        <v>76</v>
      </c>
      <c r="AQ11" s="42" t="s">
        <v>76</v>
      </c>
      <c r="AR11" s="42" t="s">
        <v>76</v>
      </c>
      <c r="AS11" s="42" t="s">
        <v>76</v>
      </c>
      <c r="AT11" s="42" t="s">
        <v>76</v>
      </c>
      <c r="AU11" s="42" t="s">
        <v>76</v>
      </c>
      <c r="AV11" s="42" t="s">
        <v>76</v>
      </c>
      <c r="AW11" s="42" t="s">
        <v>76</v>
      </c>
      <c r="AX11" s="42" t="s">
        <v>76</v>
      </c>
      <c r="AY11" s="42" t="s">
        <v>76</v>
      </c>
      <c r="AZ11" s="42" t="s">
        <v>76</v>
      </c>
      <c r="BA11" s="42" t="s">
        <v>76</v>
      </c>
      <c r="BB11" s="42" t="s">
        <v>76</v>
      </c>
      <c r="BC11" s="42" t="s">
        <v>76</v>
      </c>
      <c r="BD11" s="42" t="s">
        <v>76</v>
      </c>
      <c r="BE11" s="42" t="s">
        <v>76</v>
      </c>
      <c r="BF11" s="42" t="s">
        <v>76</v>
      </c>
      <c r="BG11" s="42" t="s">
        <v>76</v>
      </c>
      <c r="BH11" s="42" t="s">
        <v>76</v>
      </c>
      <c r="BI11" s="42" t="s">
        <v>76</v>
      </c>
      <c r="BJ11" s="42" t="s">
        <v>76</v>
      </c>
      <c r="BK11" s="42" t="s">
        <v>76</v>
      </c>
      <c r="BL11" s="42" t="s">
        <v>76</v>
      </c>
      <c r="BM11" s="42" t="s">
        <v>76</v>
      </c>
      <c r="BN11" s="42" t="s">
        <v>76</v>
      </c>
      <c r="BO11" s="42" t="s">
        <v>76</v>
      </c>
      <c r="BP11" s="42" t="s">
        <v>76</v>
      </c>
      <c r="BQ11" s="42" t="s">
        <v>76</v>
      </c>
      <c r="BR11" s="42" t="s">
        <v>76</v>
      </c>
      <c r="BS11" s="42" t="s">
        <v>76</v>
      </c>
      <c r="BT11" s="42" t="s">
        <v>76</v>
      </c>
      <c r="BU11" s="11">
        <v>2.669</v>
      </c>
      <c r="BV11" s="11">
        <v>2.5139999999999998</v>
      </c>
      <c r="BW11" s="43" t="s">
        <v>76</v>
      </c>
      <c r="BX11" s="43" t="s">
        <v>76</v>
      </c>
      <c r="BY11" s="43" t="s">
        <v>76</v>
      </c>
      <c r="BZ11" s="43" t="s">
        <v>76</v>
      </c>
      <c r="CA11" s="43" t="s">
        <v>76</v>
      </c>
      <c r="CB11" s="43" t="s">
        <v>76</v>
      </c>
      <c r="CC11" s="43" t="s">
        <v>76</v>
      </c>
      <c r="CD11" s="43" t="s">
        <v>76</v>
      </c>
      <c r="CE11" s="43" t="s">
        <v>76</v>
      </c>
      <c r="CF11" s="43" t="s">
        <v>76</v>
      </c>
      <c r="CG11" s="43" t="s">
        <v>76</v>
      </c>
      <c r="CH11" s="43" t="s">
        <v>76</v>
      </c>
      <c r="CI11" s="43" t="s">
        <v>76</v>
      </c>
      <c r="CJ11" s="43" t="s">
        <v>76</v>
      </c>
      <c r="CK11" s="43" t="s">
        <v>76</v>
      </c>
      <c r="CL11" s="43" t="s">
        <v>76</v>
      </c>
      <c r="CM11" s="43" t="s">
        <v>76</v>
      </c>
      <c r="CN11" s="43" t="s">
        <v>76</v>
      </c>
      <c r="CO11" s="43" t="s">
        <v>76</v>
      </c>
      <c r="CP11" s="43" t="s">
        <v>76</v>
      </c>
      <c r="CQ11" s="43" t="s">
        <v>76</v>
      </c>
      <c r="CR11" s="43" t="s">
        <v>76</v>
      </c>
      <c r="CS11" s="43" t="s">
        <v>76</v>
      </c>
      <c r="CT11" s="43" t="s">
        <v>76</v>
      </c>
      <c r="CU11" s="43" t="s">
        <v>76</v>
      </c>
      <c r="CV11" s="43" t="s">
        <v>76</v>
      </c>
      <c r="CW11" s="43" t="s">
        <v>76</v>
      </c>
      <c r="CX11" s="43" t="s">
        <v>76</v>
      </c>
      <c r="CY11" s="43" t="s">
        <v>76</v>
      </c>
      <c r="CZ11" s="43" t="s">
        <v>76</v>
      </c>
      <c r="DA11" s="43" t="s">
        <v>76</v>
      </c>
      <c r="DB11" s="43" t="s">
        <v>76</v>
      </c>
      <c r="DC11" s="43" t="s">
        <v>76</v>
      </c>
      <c r="DD11" s="43" t="s">
        <v>76</v>
      </c>
      <c r="DE11" s="43" t="s">
        <v>76</v>
      </c>
      <c r="DF11" s="43" t="s">
        <v>76</v>
      </c>
      <c r="DG11" s="43" t="s">
        <v>76</v>
      </c>
      <c r="DH11" s="43" t="s">
        <v>76</v>
      </c>
      <c r="DI11" s="43" t="s">
        <v>76</v>
      </c>
      <c r="DJ11" s="43" t="s">
        <v>76</v>
      </c>
      <c r="DK11" s="43" t="s">
        <v>76</v>
      </c>
      <c r="DL11" s="43" t="s">
        <v>76</v>
      </c>
      <c r="DM11" s="43" t="s">
        <v>76</v>
      </c>
      <c r="DN11" s="43" t="s">
        <v>76</v>
      </c>
      <c r="DO11" s="43" t="s">
        <v>76</v>
      </c>
      <c r="DP11" s="43" t="s">
        <v>76</v>
      </c>
      <c r="DQ11" s="43" t="s">
        <v>76</v>
      </c>
      <c r="DR11" s="43" t="s">
        <v>76</v>
      </c>
      <c r="DS11" s="43" t="s">
        <v>76</v>
      </c>
      <c r="DT11" s="43" t="s">
        <v>76</v>
      </c>
      <c r="DU11" s="43" t="s">
        <v>76</v>
      </c>
      <c r="DV11" s="43" t="s">
        <v>76</v>
      </c>
      <c r="DW11" s="43" t="s">
        <v>76</v>
      </c>
      <c r="DX11" s="43" t="s">
        <v>76</v>
      </c>
      <c r="DY11" s="43" t="s">
        <v>76</v>
      </c>
      <c r="DZ11" s="43" t="s">
        <v>76</v>
      </c>
      <c r="EA11" s="43" t="s">
        <v>76</v>
      </c>
      <c r="EB11" s="43" t="s">
        <v>76</v>
      </c>
      <c r="EC11" s="43" t="s">
        <v>76</v>
      </c>
      <c r="ED11" s="43" t="s">
        <v>76</v>
      </c>
      <c r="EE11" s="43" t="s">
        <v>76</v>
      </c>
      <c r="EF11" s="43" t="s">
        <v>76</v>
      </c>
      <c r="EG11" s="43" t="s">
        <v>76</v>
      </c>
      <c r="EH11" s="43" t="s">
        <v>76</v>
      </c>
      <c r="EI11" s="43" t="s">
        <v>76</v>
      </c>
      <c r="EJ11" s="43" t="s">
        <v>76</v>
      </c>
      <c r="EK11" s="43" t="s">
        <v>76</v>
      </c>
      <c r="EL11" s="43" t="s">
        <v>76</v>
      </c>
      <c r="EM11" s="43" t="s">
        <v>76</v>
      </c>
      <c r="EN11" s="43" t="s">
        <v>76</v>
      </c>
      <c r="EO11" s="43" t="s">
        <v>76</v>
      </c>
      <c r="EP11" s="43" t="s">
        <v>76</v>
      </c>
      <c r="EQ11" s="43" t="s">
        <v>76</v>
      </c>
      <c r="ER11" s="43" t="s">
        <v>76</v>
      </c>
      <c r="ES11" s="43" t="s">
        <v>76</v>
      </c>
      <c r="ET11" s="43" t="s">
        <v>76</v>
      </c>
      <c r="EU11" s="43" t="s">
        <v>76</v>
      </c>
      <c r="EV11" s="43" t="s">
        <v>76</v>
      </c>
      <c r="EW11" s="43" t="s">
        <v>76</v>
      </c>
      <c r="EX11" s="43" t="s">
        <v>76</v>
      </c>
      <c r="EY11" s="43" t="s">
        <v>76</v>
      </c>
      <c r="EZ11" s="43" t="s">
        <v>76</v>
      </c>
      <c r="FA11" s="43" t="s">
        <v>76</v>
      </c>
      <c r="FB11" s="43" t="s">
        <v>76</v>
      </c>
      <c r="FC11" s="43" t="s">
        <v>76</v>
      </c>
      <c r="FD11" s="43" t="s">
        <v>76</v>
      </c>
      <c r="FE11" s="43" t="s">
        <v>76</v>
      </c>
      <c r="FF11" s="43" t="s">
        <v>76</v>
      </c>
      <c r="FG11" s="43" t="s">
        <v>76</v>
      </c>
      <c r="FH11" s="43" t="s">
        <v>76</v>
      </c>
      <c r="FI11" s="43" t="s">
        <v>76</v>
      </c>
      <c r="FJ11" s="43" t="s">
        <v>76</v>
      </c>
      <c r="FK11" s="43" t="s">
        <v>76</v>
      </c>
      <c r="FL11" s="43" t="s">
        <v>76</v>
      </c>
      <c r="FM11" s="43" t="s">
        <v>76</v>
      </c>
      <c r="FN11" s="43" t="s">
        <v>76</v>
      </c>
      <c r="FO11" s="43" t="s">
        <v>76</v>
      </c>
      <c r="FP11" s="43" t="s">
        <v>76</v>
      </c>
      <c r="FQ11" s="43" t="s">
        <v>76</v>
      </c>
      <c r="FR11" s="43" t="s">
        <v>76</v>
      </c>
      <c r="FS11" s="43" t="s">
        <v>76</v>
      </c>
      <c r="FT11" s="43" t="s">
        <v>76</v>
      </c>
      <c r="FU11" s="43" t="s">
        <v>76</v>
      </c>
      <c r="FV11" s="43" t="s">
        <v>76</v>
      </c>
      <c r="FW11" s="43" t="s">
        <v>76</v>
      </c>
      <c r="FX11" s="43" t="s">
        <v>76</v>
      </c>
      <c r="FY11" s="43" t="s">
        <v>76</v>
      </c>
      <c r="FZ11" s="43" t="s">
        <v>76</v>
      </c>
      <c r="GA11" s="43" t="s">
        <v>76</v>
      </c>
      <c r="GB11" s="43" t="s">
        <v>76</v>
      </c>
      <c r="GC11" s="43" t="s">
        <v>76</v>
      </c>
      <c r="GD11" s="43" t="s">
        <v>76</v>
      </c>
      <c r="GE11" s="43" t="s">
        <v>76</v>
      </c>
      <c r="GF11" s="43" t="s">
        <v>76</v>
      </c>
      <c r="GG11" s="43" t="s">
        <v>76</v>
      </c>
      <c r="GH11" s="43" t="s">
        <v>76</v>
      </c>
      <c r="GI11" s="43" t="s">
        <v>76</v>
      </c>
      <c r="GJ11" s="43" t="s">
        <v>76</v>
      </c>
      <c r="GK11" s="43" t="s">
        <v>76</v>
      </c>
      <c r="GL11" s="43" t="s">
        <v>76</v>
      </c>
      <c r="GM11" s="43" t="s">
        <v>76</v>
      </c>
      <c r="GN11" s="43" t="s">
        <v>76</v>
      </c>
      <c r="GO11" s="43" t="s">
        <v>76</v>
      </c>
      <c r="GP11" s="43" t="s">
        <v>76</v>
      </c>
      <c r="GQ11" s="43" t="s">
        <v>76</v>
      </c>
      <c r="GR11" s="43" t="s">
        <v>76</v>
      </c>
      <c r="GS11" s="43" t="s">
        <v>76</v>
      </c>
    </row>
    <row r="12" spans="1:201" x14ac:dyDescent="0.35">
      <c r="A12" s="42" t="s">
        <v>76</v>
      </c>
      <c r="B12" s="42" t="s">
        <v>76</v>
      </c>
      <c r="C12" s="42" t="s">
        <v>76</v>
      </c>
      <c r="D12" s="42" t="s">
        <v>76</v>
      </c>
      <c r="E12" s="42" t="s">
        <v>76</v>
      </c>
      <c r="F12" s="42" t="s">
        <v>76</v>
      </c>
      <c r="G12" s="42" t="s">
        <v>76</v>
      </c>
      <c r="H12" s="42" t="s">
        <v>76</v>
      </c>
      <c r="I12" s="42" t="s">
        <v>76</v>
      </c>
      <c r="J12" s="42" t="s">
        <v>76</v>
      </c>
      <c r="K12" s="42" t="s">
        <v>76</v>
      </c>
      <c r="L12" s="42" t="s">
        <v>76</v>
      </c>
      <c r="M12" s="42" t="s">
        <v>76</v>
      </c>
      <c r="N12" s="42" t="s">
        <v>76</v>
      </c>
      <c r="O12" s="42" t="s">
        <v>76</v>
      </c>
      <c r="P12" s="42" t="s">
        <v>76</v>
      </c>
      <c r="Q12" s="42" t="s">
        <v>76</v>
      </c>
      <c r="R12" s="42" t="s">
        <v>76</v>
      </c>
      <c r="S12" s="42" t="s">
        <v>76</v>
      </c>
      <c r="T12" s="42" t="s">
        <v>76</v>
      </c>
      <c r="U12" s="42" t="s">
        <v>76</v>
      </c>
      <c r="V12" s="42" t="s">
        <v>76</v>
      </c>
      <c r="W12" s="42" t="s">
        <v>76</v>
      </c>
      <c r="X12" s="42" t="s">
        <v>76</v>
      </c>
      <c r="Y12" s="42" t="s">
        <v>76</v>
      </c>
      <c r="Z12" s="42" t="s">
        <v>76</v>
      </c>
      <c r="AA12" s="42" t="s">
        <v>76</v>
      </c>
      <c r="AB12" s="42" t="s">
        <v>76</v>
      </c>
      <c r="AC12" s="42" t="s">
        <v>76</v>
      </c>
      <c r="AD12" s="42" t="s">
        <v>76</v>
      </c>
      <c r="AE12" s="42" t="s">
        <v>76</v>
      </c>
      <c r="AF12" s="42" t="s">
        <v>76</v>
      </c>
      <c r="AG12" s="42" t="s">
        <v>76</v>
      </c>
      <c r="AH12" s="42" t="s">
        <v>76</v>
      </c>
      <c r="AI12" s="42" t="s">
        <v>76</v>
      </c>
      <c r="AJ12" s="42" t="s">
        <v>76</v>
      </c>
      <c r="AK12" s="42" t="s">
        <v>76</v>
      </c>
      <c r="AL12" s="42" t="s">
        <v>76</v>
      </c>
      <c r="AM12" s="42" t="s">
        <v>76</v>
      </c>
      <c r="AN12" s="42" t="s">
        <v>76</v>
      </c>
      <c r="AO12" s="42" t="s">
        <v>76</v>
      </c>
      <c r="AP12" s="42" t="s">
        <v>76</v>
      </c>
      <c r="AQ12" s="42" t="s">
        <v>76</v>
      </c>
      <c r="AR12" s="42" t="s">
        <v>76</v>
      </c>
      <c r="AS12" s="42" t="s">
        <v>76</v>
      </c>
      <c r="AT12" s="42" t="s">
        <v>76</v>
      </c>
      <c r="AU12" s="42" t="s">
        <v>76</v>
      </c>
      <c r="AV12" s="42" t="s">
        <v>76</v>
      </c>
      <c r="AW12" s="42" t="s">
        <v>76</v>
      </c>
      <c r="AX12" s="42" t="s">
        <v>76</v>
      </c>
      <c r="AY12" s="42" t="s">
        <v>76</v>
      </c>
      <c r="AZ12" s="42" t="s">
        <v>76</v>
      </c>
      <c r="BA12" s="42" t="s">
        <v>76</v>
      </c>
      <c r="BB12" s="42" t="s">
        <v>76</v>
      </c>
      <c r="BC12" s="42" t="s">
        <v>76</v>
      </c>
      <c r="BD12" s="42" t="s">
        <v>76</v>
      </c>
      <c r="BE12" s="42" t="s">
        <v>76</v>
      </c>
      <c r="BF12" s="42" t="s">
        <v>76</v>
      </c>
      <c r="BG12" s="42" t="s">
        <v>76</v>
      </c>
      <c r="BH12" s="42" t="s">
        <v>76</v>
      </c>
      <c r="BI12" s="42" t="s">
        <v>76</v>
      </c>
      <c r="BJ12" s="42" t="s">
        <v>76</v>
      </c>
      <c r="BK12" s="42" t="s">
        <v>76</v>
      </c>
      <c r="BL12" s="42" t="s">
        <v>76</v>
      </c>
      <c r="BM12" s="42" t="s">
        <v>76</v>
      </c>
      <c r="BN12" s="42" t="s">
        <v>76</v>
      </c>
      <c r="BO12" s="42" t="s">
        <v>76</v>
      </c>
      <c r="BP12" s="42" t="s">
        <v>76</v>
      </c>
      <c r="BQ12" s="42" t="s">
        <v>76</v>
      </c>
      <c r="BR12" s="42" t="s">
        <v>76</v>
      </c>
      <c r="BS12" s="42" t="s">
        <v>76</v>
      </c>
      <c r="BT12" s="42" t="s">
        <v>76</v>
      </c>
      <c r="BU12" s="11">
        <v>2.4420000000000002</v>
      </c>
      <c r="BV12" s="11">
        <v>2.2040000000000002</v>
      </c>
      <c r="BW12" s="43" t="s">
        <v>76</v>
      </c>
      <c r="BX12" s="43" t="s">
        <v>76</v>
      </c>
      <c r="BY12" s="43" t="s">
        <v>76</v>
      </c>
      <c r="BZ12" s="43" t="s">
        <v>76</v>
      </c>
      <c r="CA12" s="43" t="s">
        <v>76</v>
      </c>
      <c r="CB12" s="43" t="s">
        <v>76</v>
      </c>
      <c r="CC12" s="43" t="s">
        <v>76</v>
      </c>
      <c r="CD12" s="43" t="s">
        <v>76</v>
      </c>
      <c r="CE12" s="43" t="s">
        <v>76</v>
      </c>
      <c r="CF12" s="43" t="s">
        <v>76</v>
      </c>
      <c r="CG12" s="43" t="s">
        <v>76</v>
      </c>
      <c r="CH12" s="43" t="s">
        <v>76</v>
      </c>
      <c r="CI12" s="43" t="s">
        <v>76</v>
      </c>
      <c r="CJ12" s="43" t="s">
        <v>76</v>
      </c>
      <c r="CK12" s="43" t="s">
        <v>76</v>
      </c>
      <c r="CL12" s="43" t="s">
        <v>76</v>
      </c>
      <c r="CM12" s="43" t="s">
        <v>76</v>
      </c>
      <c r="CN12" s="43" t="s">
        <v>76</v>
      </c>
      <c r="CO12" s="43" t="s">
        <v>76</v>
      </c>
      <c r="CP12" s="43" t="s">
        <v>76</v>
      </c>
      <c r="CQ12" s="43" t="s">
        <v>76</v>
      </c>
      <c r="CR12" s="43" t="s">
        <v>76</v>
      </c>
      <c r="CS12" s="43" t="s">
        <v>76</v>
      </c>
      <c r="CT12" s="43" t="s">
        <v>76</v>
      </c>
      <c r="CU12" s="43" t="s">
        <v>76</v>
      </c>
      <c r="CV12" s="43" t="s">
        <v>76</v>
      </c>
      <c r="CW12" s="43" t="s">
        <v>76</v>
      </c>
      <c r="CX12" s="43" t="s">
        <v>76</v>
      </c>
      <c r="CY12" s="43" t="s">
        <v>76</v>
      </c>
      <c r="CZ12" s="43" t="s">
        <v>76</v>
      </c>
      <c r="DA12" s="43" t="s">
        <v>76</v>
      </c>
      <c r="DB12" s="43" t="s">
        <v>76</v>
      </c>
      <c r="DC12" s="43" t="s">
        <v>76</v>
      </c>
      <c r="DD12" s="43" t="s">
        <v>76</v>
      </c>
      <c r="DE12" s="43" t="s">
        <v>76</v>
      </c>
      <c r="DF12" s="43" t="s">
        <v>76</v>
      </c>
      <c r="DG12" s="43" t="s">
        <v>76</v>
      </c>
      <c r="DH12" s="43" t="s">
        <v>76</v>
      </c>
      <c r="DI12" s="43" t="s">
        <v>76</v>
      </c>
      <c r="DJ12" s="43" t="s">
        <v>76</v>
      </c>
      <c r="DK12" s="43" t="s">
        <v>76</v>
      </c>
      <c r="DL12" s="43" t="s">
        <v>76</v>
      </c>
      <c r="DM12" s="43" t="s">
        <v>76</v>
      </c>
      <c r="DN12" s="43" t="s">
        <v>76</v>
      </c>
      <c r="DO12" s="43" t="s">
        <v>76</v>
      </c>
      <c r="DP12" s="43" t="s">
        <v>76</v>
      </c>
      <c r="DQ12" s="43" t="s">
        <v>76</v>
      </c>
      <c r="DR12" s="43" t="s">
        <v>76</v>
      </c>
      <c r="DS12" s="43" t="s">
        <v>76</v>
      </c>
      <c r="DT12" s="43" t="s">
        <v>76</v>
      </c>
      <c r="DU12" s="43" t="s">
        <v>76</v>
      </c>
      <c r="DV12" s="43" t="s">
        <v>76</v>
      </c>
      <c r="DW12" s="43" t="s">
        <v>76</v>
      </c>
      <c r="DX12" s="43" t="s">
        <v>76</v>
      </c>
      <c r="DY12" s="43" t="s">
        <v>76</v>
      </c>
      <c r="DZ12" s="43" t="s">
        <v>76</v>
      </c>
      <c r="EA12" s="43" t="s">
        <v>76</v>
      </c>
      <c r="EB12" s="43" t="s">
        <v>76</v>
      </c>
      <c r="EC12" s="43" t="s">
        <v>76</v>
      </c>
      <c r="ED12" s="43" t="s">
        <v>76</v>
      </c>
      <c r="EE12" s="43" t="s">
        <v>76</v>
      </c>
      <c r="EF12" s="43" t="s">
        <v>76</v>
      </c>
      <c r="EG12" s="43" t="s">
        <v>76</v>
      </c>
      <c r="EH12" s="43" t="s">
        <v>76</v>
      </c>
      <c r="EI12" s="43" t="s">
        <v>76</v>
      </c>
      <c r="EJ12" s="43" t="s">
        <v>76</v>
      </c>
      <c r="EK12" s="43" t="s">
        <v>76</v>
      </c>
      <c r="EL12" s="43" t="s">
        <v>76</v>
      </c>
      <c r="EM12" s="43" t="s">
        <v>76</v>
      </c>
      <c r="EN12" s="43" t="s">
        <v>76</v>
      </c>
      <c r="EO12" s="43" t="s">
        <v>76</v>
      </c>
      <c r="EP12" s="43" t="s">
        <v>76</v>
      </c>
      <c r="EQ12" s="43" t="s">
        <v>76</v>
      </c>
      <c r="ER12" s="43" t="s">
        <v>76</v>
      </c>
      <c r="ES12" s="43" t="s">
        <v>76</v>
      </c>
      <c r="ET12" s="43" t="s">
        <v>76</v>
      </c>
      <c r="EU12" s="43" t="s">
        <v>76</v>
      </c>
      <c r="EV12" s="43" t="s">
        <v>76</v>
      </c>
      <c r="EW12" s="43" t="s">
        <v>76</v>
      </c>
      <c r="EX12" s="43" t="s">
        <v>76</v>
      </c>
      <c r="EY12" s="43" t="s">
        <v>76</v>
      </c>
      <c r="EZ12" s="43" t="s">
        <v>76</v>
      </c>
      <c r="FA12" s="43" t="s">
        <v>76</v>
      </c>
      <c r="FB12" s="43" t="s">
        <v>76</v>
      </c>
      <c r="FC12" s="43" t="s">
        <v>76</v>
      </c>
      <c r="FD12" s="43" t="s">
        <v>76</v>
      </c>
      <c r="FE12" s="43" t="s">
        <v>76</v>
      </c>
      <c r="FF12" s="43" t="s">
        <v>76</v>
      </c>
      <c r="FG12" s="43" t="s">
        <v>76</v>
      </c>
      <c r="FH12" s="43" t="s">
        <v>76</v>
      </c>
      <c r="FI12" s="43" t="s">
        <v>76</v>
      </c>
      <c r="FJ12" s="43" t="s">
        <v>76</v>
      </c>
      <c r="FK12" s="43" t="s">
        <v>76</v>
      </c>
      <c r="FL12" s="43" t="s">
        <v>76</v>
      </c>
      <c r="FM12" s="43" t="s">
        <v>76</v>
      </c>
      <c r="FN12" s="43" t="s">
        <v>76</v>
      </c>
      <c r="FO12" s="43" t="s">
        <v>76</v>
      </c>
      <c r="FP12" s="43" t="s">
        <v>76</v>
      </c>
      <c r="FQ12" s="43" t="s">
        <v>76</v>
      </c>
      <c r="FR12" s="43" t="s">
        <v>76</v>
      </c>
      <c r="FS12" s="43" t="s">
        <v>76</v>
      </c>
      <c r="FT12" s="43" t="s">
        <v>76</v>
      </c>
      <c r="FU12" s="43" t="s">
        <v>76</v>
      </c>
      <c r="FV12" s="43" t="s">
        <v>76</v>
      </c>
      <c r="FW12" s="43" t="s">
        <v>76</v>
      </c>
      <c r="FX12" s="43" t="s">
        <v>76</v>
      </c>
      <c r="FY12" s="43" t="s">
        <v>76</v>
      </c>
      <c r="FZ12" s="43" t="s">
        <v>76</v>
      </c>
      <c r="GA12" s="43" t="s">
        <v>76</v>
      </c>
      <c r="GB12" s="43" t="s">
        <v>76</v>
      </c>
      <c r="GC12" s="43" t="s">
        <v>76</v>
      </c>
      <c r="GD12" s="43" t="s">
        <v>76</v>
      </c>
      <c r="GE12" s="43" t="s">
        <v>76</v>
      </c>
      <c r="GF12" s="43" t="s">
        <v>76</v>
      </c>
      <c r="GG12" s="43" t="s">
        <v>76</v>
      </c>
      <c r="GH12" s="43" t="s">
        <v>76</v>
      </c>
      <c r="GI12" s="43" t="s">
        <v>76</v>
      </c>
      <c r="GJ12" s="43" t="s">
        <v>76</v>
      </c>
      <c r="GK12" s="43" t="s">
        <v>76</v>
      </c>
      <c r="GL12" s="43" t="s">
        <v>76</v>
      </c>
      <c r="GM12" s="43" t="s">
        <v>76</v>
      </c>
      <c r="GN12" s="43" t="s">
        <v>76</v>
      </c>
      <c r="GO12" s="43" t="s">
        <v>76</v>
      </c>
      <c r="GP12" s="43" t="s">
        <v>76</v>
      </c>
      <c r="GQ12" s="43" t="s">
        <v>76</v>
      </c>
      <c r="GR12" s="43" t="s">
        <v>76</v>
      </c>
      <c r="GS12" s="43" t="s">
        <v>76</v>
      </c>
    </row>
    <row r="13" spans="1:201" x14ac:dyDescent="0.35">
      <c r="A13" s="42" t="s">
        <v>76</v>
      </c>
      <c r="B13" s="42" t="s">
        <v>76</v>
      </c>
      <c r="C13" s="42" t="s">
        <v>76</v>
      </c>
      <c r="D13" s="42" t="s">
        <v>76</v>
      </c>
      <c r="E13" s="42" t="s">
        <v>76</v>
      </c>
      <c r="F13" s="42" t="s">
        <v>76</v>
      </c>
      <c r="G13" s="42" t="s">
        <v>76</v>
      </c>
      <c r="H13" s="42" t="s">
        <v>76</v>
      </c>
      <c r="I13" s="42" t="s">
        <v>76</v>
      </c>
      <c r="J13" s="42" t="s">
        <v>76</v>
      </c>
      <c r="K13" s="42" t="s">
        <v>76</v>
      </c>
      <c r="L13" s="42" t="s">
        <v>76</v>
      </c>
      <c r="M13" s="42" t="s">
        <v>76</v>
      </c>
      <c r="N13" s="42" t="s">
        <v>76</v>
      </c>
      <c r="O13" s="42" t="s">
        <v>76</v>
      </c>
      <c r="P13" s="42" t="s">
        <v>76</v>
      </c>
      <c r="Q13" s="42" t="s">
        <v>76</v>
      </c>
      <c r="R13" s="42" t="s">
        <v>76</v>
      </c>
      <c r="S13" s="42" t="s">
        <v>76</v>
      </c>
      <c r="T13" s="42" t="s">
        <v>76</v>
      </c>
      <c r="U13" s="42" t="s">
        <v>76</v>
      </c>
      <c r="V13" s="42" t="s">
        <v>76</v>
      </c>
      <c r="W13" s="42" t="s">
        <v>76</v>
      </c>
      <c r="X13" s="42" t="s">
        <v>76</v>
      </c>
      <c r="Y13" s="42" t="s">
        <v>76</v>
      </c>
      <c r="Z13" s="42" t="s">
        <v>76</v>
      </c>
      <c r="AA13" s="42" t="s">
        <v>76</v>
      </c>
      <c r="AB13" s="42" t="s">
        <v>76</v>
      </c>
      <c r="AC13" s="42" t="s">
        <v>76</v>
      </c>
      <c r="AD13" s="42" t="s">
        <v>76</v>
      </c>
      <c r="AE13" s="42" t="s">
        <v>76</v>
      </c>
      <c r="AF13" s="42" t="s">
        <v>76</v>
      </c>
      <c r="AG13" s="42" t="s">
        <v>76</v>
      </c>
      <c r="AH13" s="42" t="s">
        <v>76</v>
      </c>
      <c r="AI13" s="42" t="s">
        <v>76</v>
      </c>
      <c r="AJ13" s="42" t="s">
        <v>76</v>
      </c>
      <c r="AK13" s="42" t="s">
        <v>76</v>
      </c>
      <c r="AL13" s="42" t="s">
        <v>76</v>
      </c>
      <c r="AM13" s="42" t="s">
        <v>76</v>
      </c>
      <c r="AN13" s="42" t="s">
        <v>76</v>
      </c>
      <c r="AO13" s="42" t="s">
        <v>76</v>
      </c>
      <c r="AP13" s="42" t="s">
        <v>76</v>
      </c>
      <c r="AQ13" s="42" t="s">
        <v>76</v>
      </c>
      <c r="AR13" s="42" t="s">
        <v>76</v>
      </c>
      <c r="AS13" s="42" t="s">
        <v>76</v>
      </c>
      <c r="AT13" s="42" t="s">
        <v>76</v>
      </c>
      <c r="AU13" s="42" t="s">
        <v>76</v>
      </c>
      <c r="AV13" s="42" t="s">
        <v>76</v>
      </c>
      <c r="AW13" s="42" t="s">
        <v>76</v>
      </c>
      <c r="AX13" s="42" t="s">
        <v>76</v>
      </c>
      <c r="AY13" s="42" t="s">
        <v>76</v>
      </c>
      <c r="AZ13" s="42" t="s">
        <v>76</v>
      </c>
      <c r="BA13" s="42" t="s">
        <v>76</v>
      </c>
      <c r="BB13" s="42" t="s">
        <v>76</v>
      </c>
      <c r="BC13" s="42" t="s">
        <v>76</v>
      </c>
      <c r="BD13" s="42" t="s">
        <v>76</v>
      </c>
      <c r="BE13" s="42" t="s">
        <v>76</v>
      </c>
      <c r="BF13" s="42" t="s">
        <v>76</v>
      </c>
      <c r="BG13" s="42" t="s">
        <v>76</v>
      </c>
      <c r="BH13" s="42" t="s">
        <v>76</v>
      </c>
      <c r="BI13" s="42" t="s">
        <v>76</v>
      </c>
      <c r="BJ13" s="42" t="s">
        <v>76</v>
      </c>
      <c r="BK13" s="42" t="s">
        <v>76</v>
      </c>
      <c r="BL13" s="42" t="s">
        <v>76</v>
      </c>
      <c r="BM13" s="42" t="s">
        <v>76</v>
      </c>
      <c r="BN13" s="42" t="s">
        <v>76</v>
      </c>
      <c r="BO13" s="42" t="s">
        <v>76</v>
      </c>
      <c r="BP13" s="42" t="s">
        <v>76</v>
      </c>
      <c r="BQ13" s="42" t="s">
        <v>76</v>
      </c>
      <c r="BR13" s="42" t="s">
        <v>76</v>
      </c>
      <c r="BS13" s="42" t="s">
        <v>76</v>
      </c>
      <c r="BT13" s="42" t="s">
        <v>76</v>
      </c>
      <c r="BU13" s="11">
        <v>0</v>
      </c>
      <c r="BV13" s="11">
        <v>0</v>
      </c>
      <c r="BW13" s="43" t="s">
        <v>76</v>
      </c>
      <c r="BX13" s="43" t="s">
        <v>76</v>
      </c>
      <c r="BY13" s="43" t="s">
        <v>76</v>
      </c>
      <c r="BZ13" s="43" t="s">
        <v>76</v>
      </c>
      <c r="CA13" s="43" t="s">
        <v>76</v>
      </c>
      <c r="CB13" s="43" t="s">
        <v>76</v>
      </c>
      <c r="CC13" s="43" t="s">
        <v>76</v>
      </c>
      <c r="CD13" s="43" t="s">
        <v>76</v>
      </c>
      <c r="CE13" s="43" t="s">
        <v>76</v>
      </c>
      <c r="CF13" s="43" t="s">
        <v>76</v>
      </c>
      <c r="CG13" s="43" t="s">
        <v>76</v>
      </c>
      <c r="CH13" s="43" t="s">
        <v>76</v>
      </c>
      <c r="CI13" s="43" t="s">
        <v>76</v>
      </c>
      <c r="CJ13" s="43" t="s">
        <v>76</v>
      </c>
      <c r="CK13" s="43" t="s">
        <v>76</v>
      </c>
      <c r="CL13" s="43" t="s">
        <v>76</v>
      </c>
      <c r="CM13" s="43" t="s">
        <v>76</v>
      </c>
      <c r="CN13" s="43" t="s">
        <v>76</v>
      </c>
      <c r="CO13" s="43" t="s">
        <v>76</v>
      </c>
      <c r="CP13" s="43" t="s">
        <v>76</v>
      </c>
      <c r="CQ13" s="43" t="s">
        <v>76</v>
      </c>
      <c r="CR13" s="43" t="s">
        <v>76</v>
      </c>
      <c r="CS13" s="43" t="s">
        <v>76</v>
      </c>
      <c r="CT13" s="43" t="s">
        <v>76</v>
      </c>
      <c r="CU13" s="43" t="s">
        <v>76</v>
      </c>
      <c r="CV13" s="43" t="s">
        <v>76</v>
      </c>
      <c r="CW13" s="43" t="s">
        <v>76</v>
      </c>
      <c r="CX13" s="43" t="s">
        <v>76</v>
      </c>
      <c r="CY13" s="43" t="s">
        <v>76</v>
      </c>
      <c r="CZ13" s="43" t="s">
        <v>76</v>
      </c>
      <c r="DA13" s="43" t="s">
        <v>76</v>
      </c>
      <c r="DB13" s="43" t="s">
        <v>76</v>
      </c>
      <c r="DC13" s="43" t="s">
        <v>76</v>
      </c>
      <c r="DD13" s="43" t="s">
        <v>76</v>
      </c>
      <c r="DE13" s="43" t="s">
        <v>76</v>
      </c>
      <c r="DF13" s="43" t="s">
        <v>76</v>
      </c>
      <c r="DG13" s="43" t="s">
        <v>76</v>
      </c>
      <c r="DH13" s="43" t="s">
        <v>76</v>
      </c>
      <c r="DI13" s="43" t="s">
        <v>76</v>
      </c>
      <c r="DJ13" s="43" t="s">
        <v>76</v>
      </c>
      <c r="DK13" s="43" t="s">
        <v>76</v>
      </c>
      <c r="DL13" s="43" t="s">
        <v>76</v>
      </c>
      <c r="DM13" s="43" t="s">
        <v>76</v>
      </c>
      <c r="DN13" s="43" t="s">
        <v>76</v>
      </c>
      <c r="DO13" s="43" t="s">
        <v>76</v>
      </c>
      <c r="DP13" s="43" t="s">
        <v>76</v>
      </c>
      <c r="DQ13" s="43" t="s">
        <v>76</v>
      </c>
      <c r="DR13" s="43" t="s">
        <v>76</v>
      </c>
      <c r="DS13" s="43" t="s">
        <v>76</v>
      </c>
      <c r="DT13" s="43" t="s">
        <v>76</v>
      </c>
      <c r="DU13" s="43" t="s">
        <v>76</v>
      </c>
      <c r="DV13" s="43" t="s">
        <v>76</v>
      </c>
      <c r="DW13" s="43" t="s">
        <v>76</v>
      </c>
      <c r="DX13" s="43" t="s">
        <v>76</v>
      </c>
      <c r="DY13" s="43" t="s">
        <v>76</v>
      </c>
      <c r="DZ13" s="43" t="s">
        <v>76</v>
      </c>
      <c r="EA13" s="43" t="s">
        <v>76</v>
      </c>
      <c r="EB13" s="43" t="s">
        <v>76</v>
      </c>
      <c r="EC13" s="43" t="s">
        <v>76</v>
      </c>
      <c r="ED13" s="43" t="s">
        <v>76</v>
      </c>
      <c r="EE13" s="43" t="s">
        <v>76</v>
      </c>
      <c r="EF13" s="43" t="s">
        <v>76</v>
      </c>
      <c r="EG13" s="43" t="s">
        <v>76</v>
      </c>
      <c r="EH13" s="43" t="s">
        <v>76</v>
      </c>
      <c r="EI13" s="43" t="s">
        <v>76</v>
      </c>
      <c r="EJ13" s="43" t="s">
        <v>76</v>
      </c>
      <c r="EK13" s="43" t="s">
        <v>76</v>
      </c>
      <c r="EL13" s="43" t="s">
        <v>76</v>
      </c>
      <c r="EM13" s="43" t="s">
        <v>76</v>
      </c>
      <c r="EN13" s="43" t="s">
        <v>76</v>
      </c>
      <c r="EO13" s="43" t="s">
        <v>76</v>
      </c>
      <c r="EP13" s="43" t="s">
        <v>76</v>
      </c>
      <c r="EQ13" s="43" t="s">
        <v>76</v>
      </c>
      <c r="ER13" s="43" t="s">
        <v>76</v>
      </c>
      <c r="ES13" s="43" t="s">
        <v>76</v>
      </c>
      <c r="ET13" s="43" t="s">
        <v>76</v>
      </c>
      <c r="EU13" s="43" t="s">
        <v>76</v>
      </c>
      <c r="EV13" s="43" t="s">
        <v>76</v>
      </c>
      <c r="EW13" s="43" t="s">
        <v>76</v>
      </c>
      <c r="EX13" s="43" t="s">
        <v>76</v>
      </c>
      <c r="EY13" s="43" t="s">
        <v>76</v>
      </c>
      <c r="EZ13" s="43" t="s">
        <v>76</v>
      </c>
      <c r="FA13" s="43" t="s">
        <v>76</v>
      </c>
      <c r="FB13" s="43" t="s">
        <v>76</v>
      </c>
      <c r="FC13" s="43" t="s">
        <v>76</v>
      </c>
      <c r="FD13" s="43" t="s">
        <v>76</v>
      </c>
      <c r="FE13" s="43" t="s">
        <v>76</v>
      </c>
      <c r="FF13" s="43" t="s">
        <v>76</v>
      </c>
      <c r="FG13" s="43" t="s">
        <v>76</v>
      </c>
      <c r="FH13" s="43" t="s">
        <v>76</v>
      </c>
      <c r="FI13" s="43" t="s">
        <v>76</v>
      </c>
      <c r="FJ13" s="43" t="s">
        <v>76</v>
      </c>
      <c r="FK13" s="43" t="s">
        <v>76</v>
      </c>
      <c r="FL13" s="43" t="s">
        <v>76</v>
      </c>
      <c r="FM13" s="43" t="s">
        <v>76</v>
      </c>
      <c r="FN13" s="43" t="s">
        <v>76</v>
      </c>
      <c r="FO13" s="43" t="s">
        <v>76</v>
      </c>
      <c r="FP13" s="43" t="s">
        <v>76</v>
      </c>
      <c r="FQ13" s="43" t="s">
        <v>76</v>
      </c>
      <c r="FR13" s="43" t="s">
        <v>76</v>
      </c>
      <c r="FS13" s="43" t="s">
        <v>76</v>
      </c>
      <c r="FT13" s="43" t="s">
        <v>76</v>
      </c>
      <c r="FU13" s="43" t="s">
        <v>76</v>
      </c>
      <c r="FV13" s="43" t="s">
        <v>76</v>
      </c>
      <c r="FW13" s="43" t="s">
        <v>76</v>
      </c>
      <c r="FX13" s="43" t="s">
        <v>76</v>
      </c>
      <c r="FY13" s="43" t="s">
        <v>76</v>
      </c>
      <c r="FZ13" s="43" t="s">
        <v>76</v>
      </c>
      <c r="GA13" s="43" t="s">
        <v>76</v>
      </c>
      <c r="GB13" s="43" t="s">
        <v>76</v>
      </c>
      <c r="GC13" s="43" t="s">
        <v>76</v>
      </c>
      <c r="GD13" s="43" t="s">
        <v>76</v>
      </c>
      <c r="GE13" s="43" t="s">
        <v>76</v>
      </c>
      <c r="GF13" s="43" t="s">
        <v>76</v>
      </c>
      <c r="GG13" s="43" t="s">
        <v>76</v>
      </c>
      <c r="GH13" s="43" t="s">
        <v>76</v>
      </c>
      <c r="GI13" s="43" t="s">
        <v>76</v>
      </c>
      <c r="GJ13" s="43" t="s">
        <v>76</v>
      </c>
      <c r="GK13" s="43" t="s">
        <v>76</v>
      </c>
      <c r="GL13" s="43" t="s">
        <v>76</v>
      </c>
      <c r="GM13" s="43" t="s">
        <v>76</v>
      </c>
      <c r="GN13" s="43" t="s">
        <v>76</v>
      </c>
      <c r="GO13" s="43" t="s">
        <v>76</v>
      </c>
      <c r="GP13" s="43" t="s">
        <v>76</v>
      </c>
      <c r="GQ13" s="43" t="s">
        <v>76</v>
      </c>
      <c r="GR13" s="43" t="s">
        <v>76</v>
      </c>
      <c r="GS13" s="43" t="s">
        <v>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S93"/>
  <sheetViews>
    <sheetView workbookViewId="0">
      <selection activeCell="FY1" sqref="FY1:FY1048576"/>
    </sheetView>
  </sheetViews>
  <sheetFormatPr defaultRowHeight="14.5" x14ac:dyDescent="0.35"/>
  <cols>
    <col min="69" max="70" width="8.6328125" style="42"/>
  </cols>
  <sheetData>
    <row r="1" spans="1:201" s="1" customFormat="1" x14ac:dyDescent="0.35">
      <c r="A1" s="5" t="s">
        <v>517</v>
      </c>
    </row>
    <row r="2" spans="1:201" s="1" customFormat="1" x14ac:dyDescent="0.35"/>
    <row r="3" spans="1:201" s="1" customFormat="1" ht="87" x14ac:dyDescent="0.35">
      <c r="A3" s="1" t="str">
        <f>'Formulation Name Data'!A160&amp;"_T1"</f>
        <v>D502W_CL_C8G3_DGBE_0.2_0.19_0.5_T1</v>
      </c>
      <c r="B3" s="1" t="str">
        <f>'Formulation Name Data'!A160&amp;"_T2"</f>
        <v>D502W_CL_C8G3_DGBE_0.2_0.19_0.5_T2</v>
      </c>
      <c r="C3" s="1" t="str">
        <f>'Formulation Name Data'!A160&amp;"_T3"</f>
        <v>D502W_CL_C8G3_DGBE_0.2_0.19_0.5_T3</v>
      </c>
      <c r="D3" s="1" t="str">
        <f>'Formulation Name Data'!A56&amp;"_T1"</f>
        <v>G215_0.5_T1</v>
      </c>
      <c r="E3" s="1" t="str">
        <f>'Formulation Name Data'!A56&amp;"_T2"</f>
        <v>G215_0.5_T2</v>
      </c>
      <c r="F3" s="1" t="str">
        <f>'Formulation Name Data'!A56&amp;"_T3"</f>
        <v>G215_0.5_T3</v>
      </c>
      <c r="G3" s="1" t="str">
        <f>'Formulation Name Data'!A33&amp;"_T1"</f>
        <v>D502W_G215_DGBE_0.075_0.05_0.5_T1</v>
      </c>
      <c r="H3" s="1" t="str">
        <f>'Formulation Name Data'!A33&amp;"_T2"</f>
        <v>D502W_G215_DGBE_0.075_0.05_0.5_T2</v>
      </c>
      <c r="I3" s="1" t="str">
        <f>'Formulation Name Data'!A33&amp;"_T3"</f>
        <v>D502W_G215_DGBE_0.075_0.05_0.5_T3</v>
      </c>
      <c r="J3" s="1" t="str">
        <f>'Formulation Name Data'!A98&amp;"_T1"</f>
        <v>ComSor1830503_T1</v>
      </c>
      <c r="K3" s="1" t="str">
        <f>'Formulation Name Data'!A98&amp;"_T2"</f>
        <v>ComSor1830503_T2</v>
      </c>
      <c r="L3" s="1" t="str">
        <f>'Formulation Name Data'!A99&amp;"_T1"</f>
        <v>ComSor_26990-95B_T1</v>
      </c>
      <c r="M3" s="1" t="str">
        <f>'Formulation Name Data'!A100&amp;"_T1"</f>
        <v>ComSor_26990-95C_T1</v>
      </c>
      <c r="N3" s="1" t="str">
        <f>'Formulation Name Data'!A100&amp;"_T2"</f>
        <v>ComSor_26990-95C_T2</v>
      </c>
      <c r="O3" s="1" t="str">
        <f>'Formulation Name Data'!A101&amp;"_T1"</f>
        <v>ComSor_26990-95D_T1</v>
      </c>
      <c r="P3" s="1" t="str">
        <f>'Formulation Name Data'!A101&amp;"_T2"</f>
        <v>ComSor_26990-95D_T2</v>
      </c>
      <c r="Q3" s="1" t="str">
        <f>'Formulation Name Data'!A102&amp;"_T1"</f>
        <v>D502W_C8SG2_DGBE_0.2_0.19_0.5_T1</v>
      </c>
      <c r="R3" s="1" t="str">
        <f>'Formulation Name Data'!A102&amp;"_T2"</f>
        <v>D502W_C8SG2_DGBE_0.2_0.19_0.5_T2</v>
      </c>
      <c r="S3" s="1" t="str">
        <f>'Formulation Name Data'!A102&amp;"_T3"</f>
        <v>D502W_C8SG2_DGBE_0.2_0.19_0.5_T3</v>
      </c>
      <c r="T3" s="1" t="str">
        <f>'Formulation Name Data'!A103&amp;"_T1"</f>
        <v>D502W_Cymal_DGBE_0.2_0.19_0.5_T1</v>
      </c>
      <c r="U3" s="1" t="str">
        <f>'Formulation Name Data'!A103&amp;"_T2"</f>
        <v>D502W_Cymal_DGBE_0.2_0.19_0.5_T2</v>
      </c>
      <c r="V3" s="1" t="str">
        <f>'Formulation Name Data'!A103&amp;"_T3"</f>
        <v>D502W_Cymal_DGBE_0.2_0.19_0.5_T3</v>
      </c>
      <c r="W3" s="1" t="str">
        <f>'Formulation Name Data'!A104&amp;"_T1"</f>
        <v>D502W_iC8G2_DGBE_0.2_0.19_0.5_T1</v>
      </c>
      <c r="X3" s="1" t="str">
        <f>'Formulation Name Data'!A104&amp;"_T2"</f>
        <v>D502W_iC8G2_DGBE_0.2_0.19_0.5_T2</v>
      </c>
      <c r="Y3" s="1" t="str">
        <f>'Formulation Name Data'!A104&amp;"_T3"</f>
        <v>D502W_iC8G2_DGBE_0.2_0.19_0.5_T3</v>
      </c>
      <c r="Z3" s="1" t="str">
        <f>'Formulation Name Data'!A105&amp;"_T1"</f>
        <v>D502W_C6G2_DGBE_0.2_0.19_0.5_T1</v>
      </c>
      <c r="AA3" s="1" t="str">
        <f>'Formulation Name Data'!A105&amp;"_T2"</f>
        <v>D502W_C6G2_DGBE_0.2_0.19_0.5_T2</v>
      </c>
      <c r="AB3" s="1" t="str">
        <f>'Formulation Name Data'!A105&amp;"_T3"</f>
        <v>D502W_C6G2_DGBE_0.2_0.19_0.5_T3</v>
      </c>
      <c r="AC3" s="1" t="str">
        <f>'Formulation Name Data'!A106&amp;"_T1"</f>
        <v>D502W_C9G2_DGBE_0.2_0.19_0.5_T1</v>
      </c>
      <c r="AD3" s="1" t="str">
        <f>'Formulation Name Data'!A106&amp;"_T2"</f>
        <v>D502W_C9G2_DGBE_0.2_0.19_0.5_T2</v>
      </c>
      <c r="AE3" s="1" t="str">
        <f>'Formulation Name Data'!A106&amp;"_T3"</f>
        <v>D502W_C9G2_DGBE_0.2_0.19_0.5_T3</v>
      </c>
      <c r="AF3" s="1" t="str">
        <f>'Formulation Name Data'!A107&amp;"_T1"</f>
        <v>D502W_C6G1_DGBE_0.2_0.19_0.5_T1</v>
      </c>
      <c r="AG3" s="1" t="str">
        <f>'Formulation Name Data'!A107&amp;"_T2"</f>
        <v>D502W_C6G1_DGBE_0.2_0.19_0.5_T2</v>
      </c>
      <c r="AH3" s="1" t="str">
        <f>'Formulation Name Data'!A107&amp;"_T3"</f>
        <v>D502W_C6G1_DGBE_0.2_0.19_0.5_T3</v>
      </c>
      <c r="AI3" s="1" t="str">
        <f>'Formulation Name Data'!A108&amp;"_T1"</f>
        <v>D502W_C7G1_DGBE_0.2_0.19_0.5_T1</v>
      </c>
      <c r="AJ3" s="1" t="str">
        <f>'Formulation Name Data'!A108&amp;"_T2"</f>
        <v>D502W_C7G1_DGBE_0.2_0.19_0.5_T2</v>
      </c>
      <c r="AK3" s="1" t="str">
        <f>'Formulation Name Data'!A108&amp;"_T3"</f>
        <v>D502W_C7G1_DGBE_0.2_0.19_0.5_T3</v>
      </c>
      <c r="AL3" s="1" t="str">
        <f>'Formulation Name Data'!A44&amp;"_T1"</f>
        <v>Cap_0.5_T1</v>
      </c>
      <c r="AM3" s="1" t="str">
        <f>'Formulation Name Data'!A44&amp;"_T2"</f>
        <v>Cap_0.5_T2</v>
      </c>
      <c r="AN3" s="1" t="str">
        <f>'Formulation Name Data'!A44&amp;"_T3"</f>
        <v>Cap_0.5_T3</v>
      </c>
      <c r="AO3" s="1" t="str">
        <f>'Formulation Name Data'!A41&amp;"_T1"</f>
        <v>G225_0.5_T1</v>
      </c>
      <c r="AP3" s="1" t="str">
        <f>'Formulation Name Data'!A41&amp;"_T2"</f>
        <v>G225_0.5_T2</v>
      </c>
      <c r="AQ3" s="1" t="str">
        <f>'Formulation Name Data'!A41&amp;"_T3"</f>
        <v>G225_0.5_T3</v>
      </c>
      <c r="AR3" s="1" t="str">
        <f>'Formulation Name Data'!A38&amp;"_T1"</f>
        <v>D502W_G225_0.2_0.3_T1</v>
      </c>
      <c r="AS3" s="1" t="str">
        <f>'Formulation Name Data'!A38&amp;"_T2"</f>
        <v>D502W_G225_0.2_0.3_T2</v>
      </c>
      <c r="AT3" s="1" t="str">
        <f>'Formulation Name Data'!A38&amp;"_T3"</f>
        <v>D502W_G225_0.2_0.3_T3</v>
      </c>
      <c r="AU3" s="1" t="str">
        <f>'Formulation Name Data'!A37&amp;"_T5"</f>
        <v>D502W_G225_DGBE_0.2_0.3_0.5_T5</v>
      </c>
      <c r="AV3" s="1" t="str">
        <f>'Formulation Name Data'!A37&amp;"_T6"</f>
        <v>D502W_G225_DGBE_0.2_0.3_0.5_T6</v>
      </c>
      <c r="AW3" s="1" t="str">
        <f>'Formulation Name Data'!A37&amp;"_T7"</f>
        <v>D502W_G225_DGBE_0.2_0.3_0.5_T7</v>
      </c>
      <c r="AX3" s="1" t="str">
        <f>'Formulation Name Data'!A109&amp;"_T1"</f>
        <v>G225_DGBE_0.3_0.5_T1</v>
      </c>
      <c r="AY3" s="1" t="str">
        <f>'Formulation Name Data'!A109&amp;"_T2"</f>
        <v>G225_DGBE_0.3_0.5_T2</v>
      </c>
      <c r="AZ3" s="1" t="str">
        <f>'Formulation Name Data'!A64&amp;"_T1"</f>
        <v>Avio®F3 Green KHC_T1</v>
      </c>
      <c r="BA3" s="1" t="str">
        <f>'Formulation Name Data'!A64&amp;"_T2"</f>
        <v>Avio®F3 Green KHC_T2</v>
      </c>
      <c r="BB3" s="1" t="str">
        <f>'Formulation Name Data'!A64&amp;"_T3"</f>
        <v>Avio®F3 Green KHC_T3</v>
      </c>
      <c r="BC3" s="1" t="str">
        <f>'Formulation Name Data'!A65&amp;"_T1"</f>
        <v>JetFoam 3%_T1</v>
      </c>
      <c r="BD3" s="1" t="str">
        <f>'Formulation Name Data'!A65&amp;"_T2"</f>
        <v>JetFoam 3%_T2</v>
      </c>
      <c r="BE3" s="1" t="str">
        <f>'Formulation Name Data'!A110&amp;"_T1"</f>
        <v>ComSor_EXP-21-CH1035-B_T1</v>
      </c>
      <c r="BF3" s="1" t="str">
        <f>'Formulation Name Data'!A110&amp;"_T2"</f>
        <v>ComSor_EXP-21-CH1035-B_T2</v>
      </c>
      <c r="BG3" s="1" t="str">
        <f>'Formulation Name Data'!A117&amp;"_T1"</f>
        <v>ComSor_EXP-21-CH1035-A_T1</v>
      </c>
      <c r="BH3" s="1" t="str">
        <f>'Formulation Name Data'!A117&amp;"_T2"</f>
        <v>ComSor_EXP-21-CH1035-A_T2</v>
      </c>
      <c r="BI3" s="1" t="str">
        <f>'Formulation Name Data'!A118&amp;"_T1"</f>
        <v>ComSor_EXP-21-CH1035-C_T1</v>
      </c>
      <c r="BJ3" s="1" t="str">
        <f>'Formulation Name Data'!A63&amp;"_T1"</f>
        <v>ComSor_EXP-21-1_T1</v>
      </c>
      <c r="BK3" s="1" t="str">
        <f>'Formulation Name Data'!A63&amp;"_T2"</f>
        <v>ComSor_EXP-21-1_T2</v>
      </c>
      <c r="BL3" s="1" t="str">
        <f>'Formulation Name Data'!A62&amp;"_T1"</f>
        <v>ComSor_EXP-21-2_T1</v>
      </c>
      <c r="BM3" s="1" t="str">
        <f>'Formulation Name Data'!A62&amp;"_T2"</f>
        <v>ComSor_EXP-21-2_T2</v>
      </c>
      <c r="BN3" s="1" t="str">
        <f>'Formulation Name Data'!A68&amp;"_T1"</f>
        <v>ComSor_EXP-21-3_T1</v>
      </c>
      <c r="BO3" s="1" t="str">
        <f>'Formulation Name Data'!A69&amp;"_T1"</f>
        <v>ComSor_EXP-21-5_T1</v>
      </c>
      <c r="BP3" s="1" t="str">
        <f>'Formulation Name Data'!A69&amp;"_T2"</f>
        <v>ComSor_EXP-21-5_T2</v>
      </c>
      <c r="BQ3" s="1" t="str">
        <f>'Formulation Name Data'!A70&amp;"_T1"</f>
        <v>ComSor_EXP-21-6_T1</v>
      </c>
      <c r="BR3" s="1" t="str">
        <f>'Formulation Name Data'!A70&amp;"_T2"</f>
        <v>ComSor_EXP-21-6_T2</v>
      </c>
      <c r="BS3" s="1" t="str">
        <f>'Formulation Name Data'!A71&amp;"_T1"</f>
        <v>ComSor_EXP-21-7_T1</v>
      </c>
      <c r="BT3" s="1" t="str">
        <f>'Formulation Name Data'!A71&amp;"_T2"</f>
        <v>ComSor_EXP-21-7_T2</v>
      </c>
      <c r="BU3" s="1" t="str">
        <f>'Formulation Name Data'!A8&amp;"_T1"</f>
        <v>Cap_G215_DGBE_0.3_0.2_0.5_T1</v>
      </c>
      <c r="BV3" s="1" t="str">
        <f>'Formulation Name Data'!A8&amp;"_T2"</f>
        <v>Cap_G215_DGBE_0.3_0.2_0.5_T2</v>
      </c>
      <c r="BW3" s="1" t="str">
        <f>'Formulation Name Data'!A37&amp;"_T1"</f>
        <v>D502W_G225_DGBE_0.2_0.3_0.5_T1</v>
      </c>
      <c r="BX3" s="1" t="str">
        <f>'Formulation Name Data'!A37&amp;"_T2"</f>
        <v>D502W_G225_DGBE_0.2_0.3_0.5_T2</v>
      </c>
      <c r="BY3" s="1" t="str">
        <f>'Formulation Name Data'!A37&amp;"_T3"</f>
        <v>D502W_G225_DGBE_0.2_0.3_0.5_T3</v>
      </c>
      <c r="BZ3" s="1" t="str">
        <f>'Formulation Name Data'!A37&amp;"_T4"</f>
        <v>D502W_G225_DGBE_0.2_0.3_0.5_T4</v>
      </c>
      <c r="CA3" s="1" t="str">
        <f>'Formulation Name Data'!A54&amp;"_T1"</f>
        <v>D502W_0.5_T1</v>
      </c>
      <c r="CB3" s="1" t="str">
        <f>'Formulation Name Data'!A54&amp;"_T2"</f>
        <v>D502W_0.5_T2</v>
      </c>
      <c r="CC3" s="1" t="str">
        <f>'Formulation Name Data'!A54&amp;"_T3"</f>
        <v>D502W_0.5_T3</v>
      </c>
      <c r="CD3" s="1" t="str">
        <f>'Formulation Name Data'!A55&amp;"_T1"</f>
        <v>D193_0.5_T1</v>
      </c>
      <c r="CE3" s="1" t="str">
        <f>'Formulation Name Data'!A55&amp;"_T2"</f>
        <v>D193_0.5_T2</v>
      </c>
      <c r="CF3" s="1" t="str">
        <f>'Formulation Name Data'!A42&amp;"_T1"</f>
        <v>D501W_0.5_T1</v>
      </c>
      <c r="CG3" s="1" t="str">
        <f>'Formulation Name Data'!A42&amp;"_T2"</f>
        <v>D501W_0.5_T2</v>
      </c>
      <c r="CH3" s="1" t="str">
        <f>'Formulation Name Data'!A42&amp;"_T3"</f>
        <v>D501W_0.5_T3</v>
      </c>
      <c r="CI3" s="1" t="str">
        <f>'Formulation Name Data'!A52&amp;"_T1"</f>
        <v>L77_0.5_T1</v>
      </c>
      <c r="CJ3" s="1" t="str">
        <f>'Formulation Name Data'!A52&amp;"_T2"</f>
        <v>L77_0.5_T2</v>
      </c>
      <c r="CK3" s="1" t="str">
        <f>'Formulation Name Data'!A52&amp;"_T3"</f>
        <v>L77_0.5_T3</v>
      </c>
      <c r="CL3" s="1" t="str">
        <f>'Formulation Name Data'!A43&amp;"_T2"</f>
        <v>D67_0.5_T2</v>
      </c>
      <c r="CM3" s="1" t="str">
        <f>'Formulation Name Data'!A43&amp;"_T3"</f>
        <v>D67_0.5_T3</v>
      </c>
      <c r="CN3" s="1" t="str">
        <f>'Formulation Name Data'!A53&amp;"_T1"</f>
        <v>Gel6185_0.5_T1</v>
      </c>
      <c r="CO3" s="1" t="str">
        <f>'Formulation Name Data'!A53&amp;"_T2"</f>
        <v>Gel6185_0.5_T2</v>
      </c>
      <c r="CP3" s="1" t="str">
        <f>'Formulation Name Data'!A53&amp;"_T3"</f>
        <v>Gel6185_0.5_T3</v>
      </c>
      <c r="CQ3" s="1" t="str">
        <f>'Formulation Name Data'!A32&amp;"_T1"</f>
        <v>D501W_G215_DGBE_0.04_0.027_0.5_T1</v>
      </c>
      <c r="CR3" s="1" t="str">
        <f>'Formulation Name Data'!A32&amp;"_T2"</f>
        <v>D501W_G215_DGBE_0.04_0.027_0.5_T2</v>
      </c>
      <c r="CS3" s="1" t="str">
        <f>'Formulation Name Data'!A35&amp;"_T1"</f>
        <v>L77_G215_DGBE_0.11_0.08_0.5_T1</v>
      </c>
      <c r="CT3" s="1" t="str">
        <f>'Formulation Name Data'!A35&amp;"_T2"</f>
        <v>L77_G215_DGBE_0.11_0.08_0.5_T2</v>
      </c>
      <c r="CU3" s="1" t="str">
        <f>'Formulation Name Data'!A36&amp;"_T1"</f>
        <v>D67_G215_DGBE_0.06_0.04_0.5_T1</v>
      </c>
      <c r="CV3" s="1" t="str">
        <f>'Formulation Name Data'!A36&amp;"_T2"</f>
        <v>D67_G215_DGBE_0.06_0.04_0.5_T2</v>
      </c>
      <c r="CW3" s="1" t="str">
        <f>'Formulation Name Data'!A36&amp;"_T3"</f>
        <v>D67_G215_DGBE_0.06_0.04_0.5_T3</v>
      </c>
      <c r="CX3" s="1" t="str">
        <f>'Formulation Name Data'!A45&amp;"_T1"</f>
        <v>Gel6185_G215_DGBE_0.06_0.04_0.5_T1</v>
      </c>
      <c r="CY3" s="1" t="str">
        <f>'Formulation Name Data'!A45&amp;"_T2"</f>
        <v>Gel6185_G215_DGBE_0.06_0.04_0.5_T2</v>
      </c>
      <c r="CZ3" s="1" t="str">
        <f>'Formulation Name Data'!A45&amp;"_T3"</f>
        <v>Gel6185_G215_DGBE_0.06_0.04_0.5_T3</v>
      </c>
      <c r="DA3" s="12" t="str">
        <f>'Formulation Name Data'!A120&amp;"_T1"</f>
        <v>NRL_N10477-03_G225_DGBE_0.2_0.3_0.5_T1</v>
      </c>
      <c r="DB3" s="12" t="str">
        <f>'Formulation Name Data'!A120&amp;"_T2"</f>
        <v>NRL_N10477-03_G225_DGBE_0.2_0.3_0.5_T2</v>
      </c>
      <c r="DC3" s="12" t="str">
        <f>'Formulation Name Data'!A120&amp;"_T3"</f>
        <v>NRL_N10477-03_G225_DGBE_0.2_0.3_0.5_T3</v>
      </c>
      <c r="DD3" s="12" t="str">
        <f>'Formulation Name Data'!A121&amp;"_T1"</f>
        <v>NRL_N10477-01_G225_DGBE_0.2_0.3_0.5_T1</v>
      </c>
      <c r="DE3" s="12" t="str">
        <f>'Formulation Name Data'!A121&amp;"_T2"</f>
        <v>NRL_N10477-01_G225_DGBE_0.2_0.3_0.5_T2</v>
      </c>
      <c r="DF3" s="12" t="str">
        <f>'Formulation Name Data'!A75&amp;"_T1"</f>
        <v>D193_G215_DGBE_0.3_0.2_0.5_T1</v>
      </c>
      <c r="DG3" s="12" t="str">
        <f>'Formulation Name Data'!A75&amp;"_T2"</f>
        <v>D193_G215_DGBE_0.3_0.2_0.5_T2</v>
      </c>
      <c r="DH3" s="12" t="str">
        <f>'Formulation Name Data'!A92&amp;"_T1"</f>
        <v>NRL_N10477-09_G225_DGBE_0.2_0.3_0.5_T1</v>
      </c>
      <c r="DI3" s="12" t="str">
        <f>'Formulation Name Data'!A92&amp;"_T2"</f>
        <v>NRL_N10477-09_G225_DGBE_0.2_0.3_0.5_T2</v>
      </c>
      <c r="DJ3" s="12" t="str">
        <f>'Formulation Name Data'!A92&amp;"_T3"</f>
        <v>NRL_N10477-09_G225_DGBE_0.2_0.3_0.5_T3</v>
      </c>
      <c r="DK3" s="12" t="str">
        <f>'Formulation Name Data'!A93&amp;"_T1"</f>
        <v>TrX100_G215_DGBE_0.06_0.04_0.5_T1</v>
      </c>
      <c r="DL3" s="12" t="str">
        <f>'Formulation Name Data'!A93&amp;"_T2"</f>
        <v>TrX100_G215_DGBE_0.06_0.04_0.5_T2</v>
      </c>
      <c r="DM3" s="12" t="str">
        <f>'Formulation Name Data'!A93&amp;"_T3"</f>
        <v>TrX100_G215_DGBE_0.06_0.04_0.5_T3</v>
      </c>
      <c r="DN3" s="12" t="str">
        <f>'Formulation Name Data'!A21&amp;"_T1"</f>
        <v>TrX45_G215_DGBE_0.022_0.015_0.5_T1</v>
      </c>
      <c r="DO3" s="12" t="str">
        <f>'Formulation Name Data'!A21&amp;"_T2"</f>
        <v>TrX45_G215_DGBE_0.022_0.015_0.5_T2</v>
      </c>
      <c r="DP3" s="12" t="str">
        <f>'Formulation Name Data'!A21&amp;"_T3"</f>
        <v>TrX45_G215_DGBE_0.022_0.015_0.5_T3</v>
      </c>
      <c r="DQ3" s="12" t="str">
        <f>'Formulation Name Data'!A22&amp;"_T1"</f>
        <v>TrX114_G215_DGBE_0.04_0.027_0.5_T1</v>
      </c>
      <c r="DR3" s="12" t="str">
        <f>'Formulation Name Data'!A22&amp;"_T2"</f>
        <v>TrX114_G215_DGBE_0.04_0.027_0.5_T2</v>
      </c>
      <c r="DS3" s="12" t="str">
        <f>'Formulation Name Data'!A22&amp;"_T3"</f>
        <v>TrX114_G215_DGBE_0.04_0.027_0.5_T3</v>
      </c>
      <c r="DT3" s="12" t="str">
        <f>'Formulation Name Data'!A20&amp;"_T1"</f>
        <v>T15-S-7_G215_DGBE_0.03_0.02_0.5_T1</v>
      </c>
      <c r="DU3" s="12" t="str">
        <f>'Formulation Name Data'!A20&amp;"_T2"</f>
        <v>T15-S-7_G215_DGBE_0.03_0.02_0.5_T2</v>
      </c>
      <c r="DV3" s="12" t="str">
        <f>'Formulation Name Data'!A20&amp;"_T3"</f>
        <v>T15-S-7_G215_DGBE_0.03_0.02_0.5_T3</v>
      </c>
      <c r="DW3" s="12" t="str">
        <f>'Formulation Name Data'!A114&amp;"_T1"</f>
        <v>T15-S-9_G215_DGBE_0.03_0.02_0.5_T1</v>
      </c>
      <c r="DX3" s="12" t="str">
        <f>'Formulation Name Data'!A114&amp;"_T2"</f>
        <v>T15-S-9_G215_DGBE_0.03_0.02_0.5_T2</v>
      </c>
      <c r="DY3" s="12" t="str">
        <f>'Formulation Name Data'!A114&amp;"_T3"</f>
        <v>T15-S-9_G215_DGBE_0.03_0.02_0.5_T3</v>
      </c>
      <c r="DZ3" s="12" t="str">
        <f>'Formulation Name Data'!A115&amp;"_T1"</f>
        <v>T15-S-12_G215_DGBE_0.03_0.02_0.5_T1</v>
      </c>
      <c r="EA3" s="12" t="str">
        <f>'Formulation Name Data'!A115&amp;"_T2"</f>
        <v>T15-S-12_G215_DGBE_0.03_0.02_0.5_T2</v>
      </c>
      <c r="EB3" s="12" t="str">
        <f>'Formulation Name Data'!A115&amp;"_T3"</f>
        <v>T15-S-12_G215_DGBE_0.03_0.02_0.5_T3</v>
      </c>
      <c r="EC3" s="12" t="str">
        <f>'Formulation Name Data'!A95&amp;"_T2"</f>
        <v>SDS_G215_DGBE_0.22_0.15_0.5_T2</v>
      </c>
      <c r="ED3" s="12" t="str">
        <f>'Formulation Name Data'!A95&amp;"_T3"</f>
        <v>SDS_G215_DGBE_0.22_0.15_0.5_T3</v>
      </c>
      <c r="EE3" s="12" t="str">
        <f>'Formulation Name Data'!A28&amp;"_T1"</f>
        <v>Mys_G215_DGBE_0.068_0.045_0.5_T1</v>
      </c>
      <c r="EF3" s="12" t="str">
        <f>'Formulation Name Data'!A28&amp;"_T2"</f>
        <v>Mys_G215_DGBE_0.068_0.045_0.5_T2</v>
      </c>
      <c r="EG3" s="12" t="str">
        <f>'Formulation Name Data'!A28&amp;"_T3"</f>
        <v>Mys_G215_DGBE_0.068_0.045_0.5_T3</v>
      </c>
      <c r="EH3" s="12" t="str">
        <f>'Formulation Name Data'!A94&amp;"_T1"</f>
        <v>Gel6492.6_G215_DGBE_0.06_0.04_0.5_T1</v>
      </c>
      <c r="EI3" s="12" t="str">
        <f>'Formulation Name Data'!A94&amp;"_T2"</f>
        <v>Gel6492.6_G215_DGBE_0.06_0.04_0.5_T2</v>
      </c>
      <c r="EJ3" s="12" t="str">
        <f>'Formulation Name Data'!A94&amp;"_T3"</f>
        <v>Gel6492.6_G215_DGBE_0.06_0.04_0.5_T3</v>
      </c>
      <c r="EK3" s="12" t="str">
        <f>'Formulation Name Data'!A96&amp;"_T1"</f>
        <v>NRL_N10477-12_G225_DGBE_0.2_0.3_0.5_T1</v>
      </c>
      <c r="EL3" s="12" t="str">
        <f>'Formulation Name Data'!A96&amp;"_T2"</f>
        <v>NRL_N10477-12_G225_DGBE_0.2_0.3_0.5_T2</v>
      </c>
      <c r="EM3" s="12" t="str">
        <f>'Formulation Name Data'!A96&amp;"_T3"</f>
        <v>NRL_N10477-12_G225_DGBE_0.2_0.3_0.5_T3</v>
      </c>
      <c r="EN3" s="12" t="str">
        <f>'Formulation Name Data'!A97&amp;"_T1"</f>
        <v>NRL_N10477-07_G225_DGBE_0.2_0.3_0.5_T1</v>
      </c>
      <c r="EO3" s="12" t="str">
        <f>'Formulation Name Data'!A97&amp;"_T2"</f>
        <v>NRL_N10477-07_G225_DGBE_0.2_0.3_0.5_T2</v>
      </c>
      <c r="EP3" s="12" t="str">
        <f>'Formulation Name Data'!A97&amp;"_T3"</f>
        <v>NRL_N10477-07_G225_DGBE_0.2_0.3_0.5_T3</v>
      </c>
      <c r="EQ3" s="12" t="str">
        <f>'Formulation Name Data'!A39&amp;"_T1"</f>
        <v>NRL_N10358-176_G225_DGBE_0.2_0.3_0.5_T1</v>
      </c>
      <c r="ER3" s="12" t="str">
        <f>'Formulation Name Data'!A39&amp;"_T2"</f>
        <v>NRL_N10358-176_G225_DGBE_0.2_0.3_0.5_T2</v>
      </c>
      <c r="ES3" s="12" t="str">
        <f>'Formulation Name Data'!A39&amp;"_T3"</f>
        <v>NRL_N10358-176_G225_DGBE_0.2_0.3_0.5_T3</v>
      </c>
      <c r="ET3" s="12" t="str">
        <f>'Formulation Name Data'!A116&amp;"_T1"</f>
        <v>NRL_N10477-05_G215_DGBE_0.2_0.3_0.5_T1</v>
      </c>
      <c r="EU3" s="12" t="str">
        <f>'Formulation Name Data'!A116&amp;"_T2"</f>
        <v>NRL_N10477-05_G215_DGBE_0.2_0.3_0.5_T2</v>
      </c>
      <c r="EV3" s="12" t="str">
        <f>'Formulation Name Data'!A116&amp;"_T3"</f>
        <v>NRL_N10477-05_G215_DGBE_0.2_0.3_0.5_T3</v>
      </c>
      <c r="EW3" s="12" t="str">
        <f>'Formulation Name Data'!A40&amp;"_T1"</f>
        <v>NRL_N10358-174_G225_DGBE_0.2_0.3_0.5_T1</v>
      </c>
      <c r="EX3" s="12" t="str">
        <f>'Formulation Name Data'!A40&amp;"_T2"</f>
        <v>NRL_N10358-174_G225_DGBE_0.2_0.3_0.5_T2</v>
      </c>
      <c r="EY3" s="12" t="str">
        <f>'Formulation Name Data'!A40&amp;"_T3"</f>
        <v>NRL_N10358-174_G225_DGBE_0.2_0.3_0.5_T3</v>
      </c>
      <c r="EZ3" s="12" t="str">
        <f>'Formulation Name Data'!A46&amp;"_T1"</f>
        <v>ComSor181360_G225_DGBE_0.2_0.3_0.5_T1</v>
      </c>
      <c r="FA3" s="12" t="str">
        <f>'Formulation Name Data'!A48&amp;"_T1"</f>
        <v>D502W_C8G2_DGBE_0.2_0.19_0.5_T1</v>
      </c>
      <c r="FB3" s="12" t="str">
        <f>'Formulation Name Data'!A48&amp;"_T2"</f>
        <v>D502W_C8G2_DGBE_0.2_0.19_0.5_T2</v>
      </c>
      <c r="FC3" s="12" t="str">
        <f>'Formulation Name Data'!A48&amp;"_T3"</f>
        <v>D502W_C8G2_DGBE_0.2_0.19_0.5_T3</v>
      </c>
      <c r="FD3" s="12" t="str">
        <f>'Formulation Name Data'!A51&amp;"_T1"</f>
        <v>D502W_C8G1_DGBE_0.2_0.19_0.5_T1</v>
      </c>
      <c r="FE3" s="12" t="str">
        <f>'Formulation Name Data'!A51&amp;"_T2"</f>
        <v>D502W_C8G1_DGBE_0.2_0.19_0.5_T2</v>
      </c>
      <c r="FF3" s="12" t="str">
        <f>'Formulation Name Data'!A51&amp;"_T3"</f>
        <v>D502W_C8G1_DGBE_0.2_0.19_0.5_T3</v>
      </c>
      <c r="FG3" s="12" t="str">
        <f>'Formulation Name Data'!A49&amp;"_T1"</f>
        <v>D502W_C10G2_DGBE_0.2_0.19_0.5_T1</v>
      </c>
      <c r="FH3" s="12" t="str">
        <f>'Formulation Name Data'!A49&amp;"_T2"</f>
        <v>D502W_C10G2_DGBE_0.2_0.19_0.5_T2</v>
      </c>
      <c r="FI3" s="12" t="str">
        <f>'Formulation Name Data'!A50&amp;"_T3"</f>
        <v>D502W_C12G2_DGBE_0.2_0.19_0.5_T3</v>
      </c>
      <c r="FJ3" s="12" t="str">
        <f>'Formulation Name Data'!A187&amp;"_T1"</f>
        <v>NRL_N10478-240_G225_DGBE_#_0.3_0.5_T1</v>
      </c>
      <c r="FK3" s="12" t="str">
        <f>'Formulation Name Data'!A187&amp;"_T2"</f>
        <v>NRL_N10478-240_G225_DGBE_#_0.3_0.5_T2</v>
      </c>
      <c r="FL3" s="12" t="str">
        <f>'Formulation Name Data'!A188&amp;"_T1"</f>
        <v>CL_MD2102-90_G225_DGBE_0.2_0.3_0.5_T1</v>
      </c>
      <c r="FM3" s="12" t="str">
        <f>'Formulation Name Data'!A189&amp;"_T1"</f>
        <v>CL_MD2102-112_G225_DGBE_0.05_0.3_0.5_T1</v>
      </c>
      <c r="FN3" s="12" t="str">
        <f>'Formulation Name Data'!A189&amp;"_T2"</f>
        <v>CL_MD2102-112_G225_DGBE_0.05_0.3_0.5_T2</v>
      </c>
      <c r="FO3" s="12" t="str">
        <f>'Formulation Name Data'!A191&amp;"_T1"</f>
        <v>ComSor_EXP-21-CH1070-1_3_T1</v>
      </c>
      <c r="FP3" s="12" t="str">
        <f>'Formulation Name Data'!A191&amp;"_T2"</f>
        <v>ComSor_EXP-21-CH1070-1_3_T2</v>
      </c>
      <c r="FQ3" s="12" t="str">
        <f>'Formulation Name Data'!A190&amp;"_T1"</f>
        <v>CL_MD2102-118_G225_DGBE_0.2_0.3_0.5_T1</v>
      </c>
      <c r="FR3" s="12" t="str">
        <f>'Formulation Name Data'!A190&amp;"_T2"</f>
        <v>CL_MD2102-118_G225_DGBE_0.2_0.3_0.5_T2</v>
      </c>
      <c r="FS3" s="12" t="str">
        <f>'Formulation Name Data'!A192&amp;"_T1"</f>
        <v>ComSor_EXP-21-CH1070-2_3_T1</v>
      </c>
      <c r="FT3" s="12" t="str">
        <f>'Formulation Name Data'!A192&amp;"_T2"</f>
        <v>ComSor_EXP-21-CH1070-2_3_T2</v>
      </c>
      <c r="FU3" s="12" t="str">
        <f>'Formulation Name Data'!A193&amp;"_T1"</f>
        <v>ComSor_EXP-21-CH1070-4_1_T1</v>
      </c>
      <c r="FV3" s="12" t="str">
        <f>'Formulation Name Data'!A193&amp;"_T2"</f>
        <v>ComSor_EXP-21-CH1070-4_1_T2</v>
      </c>
      <c r="FW3" s="12" t="str">
        <f>'Formulation Name Data'!A182&amp;"_T1"</f>
        <v>NRL_LBII43_G225_DGBE_0.2_0.3_0.5_T1</v>
      </c>
      <c r="FX3" s="12" t="str">
        <f>'Formulation Name Data'!A182&amp;"_T2"</f>
        <v>NRL_LBII43_G225_DGBE_0.2_0.3_0.5_T2</v>
      </c>
      <c r="FY3" s="1" t="str">
        <f>'Formulation Name Data'!A185&amp;"_T1"</f>
        <v>NRL_N10478-227_G225_DGBE_0.063_0.3_0.5_T1</v>
      </c>
      <c r="FZ3" s="1" t="str">
        <f>'Formulation Name Data'!A72&amp;"_T1"</f>
        <v>D502W_DGBE_0.1_0.5_T1</v>
      </c>
      <c r="GA3" s="1" t="str">
        <f>'Formulation Name Data'!A72&amp;"_T2"</f>
        <v>D502W_DGBE_0.1_0.5_T2</v>
      </c>
      <c r="GB3" s="1" t="str">
        <f>'Formulation Name Data'!A72&amp;"_T3"</f>
        <v>D502W_DGBE_0.1_0.5_T3</v>
      </c>
      <c r="GC3" s="1" t="str">
        <f>'Formulation Name Data'!A183&amp;"_T1"</f>
        <v>NRL_CB_DTBTS_SB_G225_DGBE_0.02_0.3_0.5_T1</v>
      </c>
      <c r="GD3" s="1" t="str">
        <f>'Formulation Name Data'!A183&amp;"_T2"</f>
        <v>NRL_CB_DTBTS_SB_G225_DGBE_0.02_0.3_0.5_T2</v>
      </c>
      <c r="GE3" s="1" t="str">
        <f>'Formulation Name Data'!A184&amp;"_T1"</f>
        <v>NRL_CB-1-123_G225_DGBE_0.2_0.3_0.5_T1</v>
      </c>
      <c r="GF3" s="1" t="str">
        <f>'Formulation Name Data'!A138&amp;"_T1"</f>
        <v>CL_MD2086-97_G225_DGBE_0.34_0.56_0.5_T1</v>
      </c>
      <c r="GG3" s="1" t="str">
        <f>'Formulation Name Data'!A67&amp;"_T1"</f>
        <v>FomtecEnviroUSP 3%_T1</v>
      </c>
      <c r="GH3" s="1" t="str">
        <f>'Formulation Name Data'!A67&amp;"_T2"</f>
        <v>FomtecEnviroUSP 3%_T2</v>
      </c>
      <c r="GI3" s="1" t="str">
        <f>'Formulation Name Data'!A66&amp;"_T1"</f>
        <v>Solberg® Rehealing RF3 3%_T1</v>
      </c>
      <c r="GJ3" s="1" t="str">
        <f>'Formulation Name Data'!A66&amp;"_T2"</f>
        <v>Solberg® Rehealing RF3 3%_T2</v>
      </c>
      <c r="GK3" s="1" t="str">
        <f>'Formulation Name Data'!A197&amp;"_T1"</f>
        <v>NRL_CB-1-192_G225_DGBE_0.14_0.21_0.5_T1</v>
      </c>
      <c r="GL3" s="1" t="str">
        <f>'Formulation Name Data'!A197&amp;"_T2"</f>
        <v>NRL_CB-1-192_G225_DGBE_0.14_0.21_0.5_T2</v>
      </c>
      <c r="GM3" s="1" t="str">
        <f>'Formulation Name Data'!A166&amp;"_T1"</f>
        <v>ComSor_EXP-22-CH1050_T1</v>
      </c>
      <c r="GN3" s="1" t="str">
        <f>'Formulation Name Data'!A111&amp;"_T1"</f>
        <v>G225_DGBE_0.5_0.5_T1</v>
      </c>
      <c r="GO3" s="1" t="str">
        <f>'Formulation Name Data'!A111&amp;"_T2"</f>
        <v>G225_DGBE_0.5_0.5_T2</v>
      </c>
      <c r="GP3" s="1" t="str">
        <f>'Formulation Name Data'!A111&amp;"_T3"</f>
        <v>G225_DGBE_0.5_0.5_T3</v>
      </c>
      <c r="GQ3" s="1" t="str">
        <f>'Formulation Name Data'!A112&amp;"_T1"</f>
        <v>G600_DGBE_0.5_0.5_T1</v>
      </c>
      <c r="GR3" s="1" t="str">
        <f>'Formulation Name Data'!A112&amp;"_T2"</f>
        <v>G600_DGBE_0.5_0.5_T2</v>
      </c>
      <c r="GS3" s="1" t="str">
        <f>'Formulation Name Data'!A112&amp;"_T3"</f>
        <v>G600_DGBE_0.5_0.5_T3</v>
      </c>
    </row>
    <row r="4" spans="1:201" x14ac:dyDescent="0.35">
      <c r="A4" s="42">
        <v>0</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c r="AS4" s="42">
        <v>0</v>
      </c>
      <c r="AT4" s="42">
        <v>0</v>
      </c>
      <c r="AU4" s="42">
        <v>0</v>
      </c>
      <c r="AV4" s="42">
        <v>0</v>
      </c>
      <c r="AW4" s="42">
        <v>0</v>
      </c>
      <c r="AX4" s="42">
        <v>0</v>
      </c>
      <c r="AY4" s="42">
        <v>0</v>
      </c>
      <c r="AZ4" s="42">
        <v>0</v>
      </c>
      <c r="BA4" s="42">
        <v>0</v>
      </c>
      <c r="BB4" s="42">
        <v>0</v>
      </c>
      <c r="BC4" s="42">
        <v>0</v>
      </c>
      <c r="BD4" s="42">
        <v>0</v>
      </c>
      <c r="BE4" s="42">
        <v>0</v>
      </c>
      <c r="BF4" s="42">
        <v>0</v>
      </c>
      <c r="BG4" s="42">
        <v>0</v>
      </c>
      <c r="BH4" s="42">
        <v>0</v>
      </c>
      <c r="BI4" s="42">
        <v>0</v>
      </c>
      <c r="BJ4" s="42">
        <v>0</v>
      </c>
      <c r="BK4" s="42">
        <v>0</v>
      </c>
      <c r="BL4" s="42">
        <v>0</v>
      </c>
      <c r="BM4" s="42">
        <v>0</v>
      </c>
      <c r="BN4" s="42">
        <v>0</v>
      </c>
      <c r="BO4" s="42">
        <v>0</v>
      </c>
      <c r="BP4" s="42">
        <v>0</v>
      </c>
      <c r="BQ4" s="42">
        <v>8</v>
      </c>
      <c r="BR4" s="42">
        <v>0</v>
      </c>
      <c r="BS4" s="42">
        <v>0</v>
      </c>
      <c r="BT4" s="42">
        <v>0</v>
      </c>
      <c r="BU4" s="42">
        <v>30</v>
      </c>
      <c r="BV4" s="42">
        <v>30</v>
      </c>
      <c r="BW4" s="42">
        <v>0</v>
      </c>
      <c r="BX4" s="42">
        <v>0</v>
      </c>
      <c r="BY4" s="42">
        <v>0</v>
      </c>
      <c r="BZ4" s="42">
        <v>0</v>
      </c>
      <c r="CA4" s="42">
        <v>60</v>
      </c>
      <c r="CB4" s="42">
        <v>60</v>
      </c>
      <c r="CC4" s="42">
        <v>60</v>
      </c>
      <c r="CD4" s="42">
        <v>51</v>
      </c>
      <c r="CE4" s="42">
        <v>51</v>
      </c>
      <c r="CF4" s="42">
        <v>40</v>
      </c>
      <c r="CG4" s="42">
        <v>40</v>
      </c>
      <c r="CH4" s="42">
        <v>40</v>
      </c>
      <c r="CI4" s="42">
        <v>40</v>
      </c>
      <c r="CJ4" s="42">
        <v>40</v>
      </c>
      <c r="CK4" s="42">
        <v>40</v>
      </c>
      <c r="CL4" s="42">
        <v>51</v>
      </c>
      <c r="CM4" s="42">
        <v>51</v>
      </c>
      <c r="CN4" s="42">
        <v>40</v>
      </c>
      <c r="CO4" s="42">
        <v>40</v>
      </c>
      <c r="CP4" s="42">
        <v>40</v>
      </c>
      <c r="CQ4" s="42">
        <v>53</v>
      </c>
      <c r="CR4" s="42">
        <v>53</v>
      </c>
      <c r="CS4" s="42">
        <v>55</v>
      </c>
      <c r="CT4" s="42">
        <v>55</v>
      </c>
      <c r="CU4" s="42">
        <v>50</v>
      </c>
      <c r="CV4" s="42">
        <v>50</v>
      </c>
      <c r="CW4" s="42">
        <v>50</v>
      </c>
      <c r="CX4" s="42">
        <v>43</v>
      </c>
      <c r="CY4" s="42">
        <v>43</v>
      </c>
      <c r="CZ4" s="42">
        <v>43</v>
      </c>
      <c r="DA4" s="42">
        <v>0</v>
      </c>
      <c r="DB4" s="42">
        <v>0</v>
      </c>
      <c r="DC4" s="42">
        <v>0</v>
      </c>
      <c r="DD4" s="42">
        <v>0</v>
      </c>
      <c r="DE4" s="42">
        <v>0</v>
      </c>
      <c r="DF4" s="42">
        <v>48</v>
      </c>
      <c r="DG4" s="42">
        <v>48</v>
      </c>
      <c r="DH4" s="42">
        <v>0</v>
      </c>
      <c r="DI4" s="42">
        <v>0</v>
      </c>
      <c r="DJ4" s="42">
        <v>0</v>
      </c>
      <c r="DK4" s="42">
        <v>0</v>
      </c>
      <c r="DL4" s="42">
        <v>0</v>
      </c>
      <c r="DM4" s="42">
        <v>0</v>
      </c>
      <c r="DN4" s="42">
        <v>0</v>
      </c>
      <c r="DO4" s="42">
        <v>0</v>
      </c>
      <c r="DP4" s="42">
        <v>0</v>
      </c>
      <c r="DQ4" s="42">
        <v>0</v>
      </c>
      <c r="DR4" s="42">
        <v>0</v>
      </c>
      <c r="DS4" s="42">
        <v>0</v>
      </c>
      <c r="DT4" s="42">
        <v>0</v>
      </c>
      <c r="DU4" s="42">
        <v>0</v>
      </c>
      <c r="DV4" s="42">
        <v>0</v>
      </c>
      <c r="DW4" s="42">
        <v>0</v>
      </c>
      <c r="DX4" s="42">
        <v>0</v>
      </c>
      <c r="DY4" s="42">
        <v>0</v>
      </c>
      <c r="DZ4" s="42">
        <v>0</v>
      </c>
      <c r="EA4" s="42">
        <v>0</v>
      </c>
      <c r="EB4" s="42">
        <v>0</v>
      </c>
      <c r="EC4" s="42">
        <v>48</v>
      </c>
      <c r="ED4" s="42">
        <v>0</v>
      </c>
      <c r="EE4" s="42">
        <v>0</v>
      </c>
      <c r="EF4" s="42">
        <v>0</v>
      </c>
      <c r="EG4" s="42">
        <v>0</v>
      </c>
      <c r="EH4" s="42">
        <v>0</v>
      </c>
      <c r="EI4" s="42">
        <v>0</v>
      </c>
      <c r="EJ4" s="42">
        <v>0</v>
      </c>
      <c r="EK4" s="42">
        <v>0</v>
      </c>
      <c r="EL4" s="42">
        <v>0</v>
      </c>
      <c r="EM4" s="42">
        <v>0</v>
      </c>
      <c r="EN4" s="42">
        <v>0</v>
      </c>
      <c r="EO4" s="42">
        <v>0</v>
      </c>
      <c r="EP4" s="42">
        <v>0</v>
      </c>
      <c r="EQ4" s="42">
        <v>0</v>
      </c>
      <c r="ER4" s="42">
        <v>0</v>
      </c>
      <c r="ES4" s="42">
        <v>0</v>
      </c>
      <c r="ET4" s="42">
        <v>0</v>
      </c>
      <c r="EU4" s="42">
        <v>16</v>
      </c>
      <c r="EV4" s="42">
        <v>0</v>
      </c>
      <c r="EW4" s="42">
        <v>0</v>
      </c>
      <c r="EX4" s="42">
        <v>0</v>
      </c>
      <c r="EY4" s="42">
        <v>0</v>
      </c>
      <c r="EZ4" s="42">
        <v>0</v>
      </c>
      <c r="FA4" s="42">
        <v>0</v>
      </c>
      <c r="FB4" s="42">
        <v>0</v>
      </c>
      <c r="FC4" s="42">
        <v>0</v>
      </c>
      <c r="FD4" s="42">
        <v>0</v>
      </c>
      <c r="FE4" s="42">
        <v>0</v>
      </c>
      <c r="FF4" s="42">
        <v>0</v>
      </c>
      <c r="FG4" s="42">
        <v>0</v>
      </c>
      <c r="FH4" s="42">
        <v>0</v>
      </c>
      <c r="FI4" s="42">
        <v>0</v>
      </c>
      <c r="FJ4" s="42">
        <v>0</v>
      </c>
      <c r="FK4" s="42">
        <v>0</v>
      </c>
      <c r="FL4" s="42">
        <v>0</v>
      </c>
      <c r="FM4" s="42">
        <v>0</v>
      </c>
      <c r="FN4" s="42">
        <v>0</v>
      </c>
      <c r="FO4" s="42">
        <v>0</v>
      </c>
      <c r="FP4">
        <v>0</v>
      </c>
      <c r="FQ4" s="42">
        <v>0</v>
      </c>
      <c r="FR4">
        <v>0</v>
      </c>
      <c r="FS4" s="42">
        <v>8</v>
      </c>
      <c r="FT4" s="42">
        <v>8</v>
      </c>
      <c r="FU4" s="42">
        <v>0</v>
      </c>
      <c r="FV4" s="42">
        <v>0</v>
      </c>
      <c r="FW4" s="42">
        <v>0</v>
      </c>
      <c r="FX4" s="42">
        <v>0</v>
      </c>
      <c r="FY4" s="42">
        <v>0</v>
      </c>
      <c r="FZ4" s="42">
        <v>0</v>
      </c>
      <c r="GA4" s="42">
        <v>0</v>
      </c>
      <c r="GB4" s="42">
        <v>0</v>
      </c>
      <c r="GC4" s="42">
        <v>0</v>
      </c>
      <c r="GD4" s="42">
        <v>0</v>
      </c>
      <c r="GE4">
        <v>0</v>
      </c>
      <c r="GF4" s="42">
        <v>0</v>
      </c>
      <c r="GG4" s="42">
        <v>0</v>
      </c>
      <c r="GH4" s="42">
        <v>0</v>
      </c>
      <c r="GI4" s="42">
        <v>0</v>
      </c>
      <c r="GJ4" s="42">
        <v>0</v>
      </c>
      <c r="GK4" s="42">
        <v>0</v>
      </c>
      <c r="GL4" s="42">
        <v>0</v>
      </c>
      <c r="GM4" s="42">
        <v>0</v>
      </c>
      <c r="GN4" s="42">
        <v>0</v>
      </c>
      <c r="GO4" s="42">
        <v>0</v>
      </c>
      <c r="GP4" s="42">
        <v>0</v>
      </c>
      <c r="GQ4" s="42">
        <v>0</v>
      </c>
      <c r="GR4" s="42">
        <v>0</v>
      </c>
      <c r="GS4" s="42">
        <v>0</v>
      </c>
    </row>
    <row r="5" spans="1:201" x14ac:dyDescent="0.35">
      <c r="A5" s="42">
        <v>8</v>
      </c>
      <c r="B5" s="42">
        <v>8</v>
      </c>
      <c r="C5" s="42">
        <v>8</v>
      </c>
      <c r="D5" s="42">
        <v>8</v>
      </c>
      <c r="E5" s="42">
        <v>8</v>
      </c>
      <c r="F5" s="42">
        <v>8</v>
      </c>
      <c r="G5" s="42">
        <v>8</v>
      </c>
      <c r="H5" s="42">
        <v>8</v>
      </c>
      <c r="I5" s="42">
        <v>8</v>
      </c>
      <c r="J5" s="42">
        <v>8</v>
      </c>
      <c r="K5" s="42">
        <v>8</v>
      </c>
      <c r="L5" s="42">
        <v>8</v>
      </c>
      <c r="M5" s="42">
        <v>8</v>
      </c>
      <c r="N5" s="42">
        <v>8</v>
      </c>
      <c r="O5" s="42">
        <v>8</v>
      </c>
      <c r="P5" s="42">
        <v>8</v>
      </c>
      <c r="Q5" s="42">
        <v>8</v>
      </c>
      <c r="R5" s="42">
        <v>8</v>
      </c>
      <c r="S5" s="42">
        <v>8</v>
      </c>
      <c r="T5" s="42">
        <v>8</v>
      </c>
      <c r="U5" s="42">
        <v>8</v>
      </c>
      <c r="V5" s="42">
        <v>8</v>
      </c>
      <c r="W5" s="42">
        <v>8</v>
      </c>
      <c r="X5" s="42">
        <v>8</v>
      </c>
      <c r="Y5" s="42">
        <v>8</v>
      </c>
      <c r="Z5" s="42">
        <v>8</v>
      </c>
      <c r="AA5" s="42">
        <v>8</v>
      </c>
      <c r="AB5" s="42">
        <v>8</v>
      </c>
      <c r="AC5" s="42">
        <v>8</v>
      </c>
      <c r="AD5" s="42">
        <v>8</v>
      </c>
      <c r="AE5" s="42">
        <v>8</v>
      </c>
      <c r="AF5" s="42">
        <v>8</v>
      </c>
      <c r="AG5" s="42">
        <v>8</v>
      </c>
      <c r="AH5" s="42">
        <v>8</v>
      </c>
      <c r="AI5" s="42">
        <v>8</v>
      </c>
      <c r="AJ5" s="42">
        <v>8</v>
      </c>
      <c r="AK5" s="42">
        <v>8</v>
      </c>
      <c r="AL5" s="42">
        <v>8</v>
      </c>
      <c r="AM5" s="42">
        <v>8</v>
      </c>
      <c r="AN5" s="42">
        <v>8</v>
      </c>
      <c r="AO5" s="42">
        <v>8</v>
      </c>
      <c r="AP5" s="42">
        <v>8</v>
      </c>
      <c r="AQ5" s="42">
        <v>8</v>
      </c>
      <c r="AR5" s="42">
        <v>8</v>
      </c>
      <c r="AS5" s="42">
        <v>8</v>
      </c>
      <c r="AT5" s="42">
        <v>8</v>
      </c>
      <c r="AU5" s="42">
        <v>8</v>
      </c>
      <c r="AV5" s="42">
        <v>8</v>
      </c>
      <c r="AW5" s="42">
        <v>8</v>
      </c>
      <c r="AX5" s="42">
        <v>8</v>
      </c>
      <c r="AY5" s="42">
        <v>8</v>
      </c>
      <c r="AZ5" s="42">
        <v>8</v>
      </c>
      <c r="BA5" s="42">
        <v>8</v>
      </c>
      <c r="BB5" s="42">
        <v>8</v>
      </c>
      <c r="BC5" s="42">
        <v>8</v>
      </c>
      <c r="BD5" s="42">
        <v>8</v>
      </c>
      <c r="BE5" s="42">
        <v>8</v>
      </c>
      <c r="BF5" s="42">
        <v>8</v>
      </c>
      <c r="BG5" s="42">
        <v>8</v>
      </c>
      <c r="BH5" s="42">
        <v>8</v>
      </c>
      <c r="BI5" s="42">
        <v>8</v>
      </c>
      <c r="BJ5" s="42">
        <v>8</v>
      </c>
      <c r="BK5" s="42">
        <v>8</v>
      </c>
      <c r="BL5" s="42">
        <v>8</v>
      </c>
      <c r="BM5" s="42">
        <v>8</v>
      </c>
      <c r="BN5" s="42">
        <v>8</v>
      </c>
      <c r="BO5" s="42">
        <v>8</v>
      </c>
      <c r="BP5" s="42">
        <v>8</v>
      </c>
      <c r="BQ5" s="42">
        <v>72</v>
      </c>
      <c r="BR5" s="42">
        <v>8</v>
      </c>
      <c r="BS5" s="42">
        <v>8</v>
      </c>
      <c r="BT5" s="42">
        <v>8</v>
      </c>
      <c r="BU5" s="42">
        <v>366</v>
      </c>
      <c r="BV5" s="42">
        <v>366</v>
      </c>
      <c r="BW5" s="42">
        <f>8+BW4</f>
        <v>8</v>
      </c>
      <c r="BX5" s="42">
        <f>8+BX4</f>
        <v>8</v>
      </c>
      <c r="BY5" s="42">
        <f>8+BY4</f>
        <v>8</v>
      </c>
      <c r="BZ5" s="42">
        <v>8</v>
      </c>
      <c r="CA5" s="42">
        <v>68</v>
      </c>
      <c r="CB5" s="42">
        <v>68</v>
      </c>
      <c r="CC5" s="42">
        <v>68</v>
      </c>
      <c r="CD5" s="42">
        <v>67</v>
      </c>
      <c r="CE5" s="42">
        <v>67</v>
      </c>
      <c r="CF5" s="42">
        <v>72</v>
      </c>
      <c r="CG5" s="42">
        <v>72</v>
      </c>
      <c r="CH5" s="42">
        <v>72</v>
      </c>
      <c r="CI5" s="42">
        <v>48</v>
      </c>
      <c r="CJ5" s="42">
        <v>48</v>
      </c>
      <c r="CK5" s="42">
        <v>48</v>
      </c>
      <c r="CL5" s="42">
        <v>67</v>
      </c>
      <c r="CM5" s="42">
        <v>67</v>
      </c>
      <c r="CN5" s="42">
        <v>48</v>
      </c>
      <c r="CO5" s="42">
        <v>48</v>
      </c>
      <c r="CP5" s="42">
        <v>48</v>
      </c>
      <c r="CQ5" s="42">
        <v>61</v>
      </c>
      <c r="CR5" s="42">
        <v>61</v>
      </c>
      <c r="CS5" s="42">
        <v>71</v>
      </c>
      <c r="CT5" s="42">
        <v>71</v>
      </c>
      <c r="CU5" s="42">
        <v>66</v>
      </c>
      <c r="CV5" s="42">
        <v>66</v>
      </c>
      <c r="CW5" s="42">
        <v>66</v>
      </c>
      <c r="CX5" s="42">
        <v>59</v>
      </c>
      <c r="CY5" s="42">
        <v>59</v>
      </c>
      <c r="CZ5" s="42">
        <v>59</v>
      </c>
      <c r="DA5" s="42">
        <v>8</v>
      </c>
      <c r="DB5" s="42">
        <v>8</v>
      </c>
      <c r="DC5" s="42">
        <v>8</v>
      </c>
      <c r="DD5" s="42">
        <v>16</v>
      </c>
      <c r="DE5" s="42">
        <v>16</v>
      </c>
      <c r="DF5" s="42">
        <v>64</v>
      </c>
      <c r="DG5" s="42">
        <v>64</v>
      </c>
      <c r="DH5" s="42">
        <v>152</v>
      </c>
      <c r="DI5" s="42">
        <v>8</v>
      </c>
      <c r="DJ5" s="42">
        <v>8</v>
      </c>
      <c r="DK5" s="42">
        <v>8</v>
      </c>
      <c r="DL5" s="42">
        <v>8</v>
      </c>
      <c r="DM5" s="42">
        <v>8</v>
      </c>
      <c r="DN5" s="42">
        <f>8+DN4</f>
        <v>8</v>
      </c>
      <c r="DO5" s="42">
        <f>8+DO4</f>
        <v>8</v>
      </c>
      <c r="DP5" s="42">
        <f>8+DP4</f>
        <v>8</v>
      </c>
      <c r="DQ5" s="42">
        <v>8</v>
      </c>
      <c r="DR5" s="42">
        <v>8</v>
      </c>
      <c r="DS5" s="42">
        <v>8</v>
      </c>
      <c r="DT5" s="42">
        <v>8</v>
      </c>
      <c r="DU5" s="42">
        <v>8</v>
      </c>
      <c r="DV5" s="42">
        <v>8</v>
      </c>
      <c r="DW5" s="42">
        <f t="shared" ref="DW5:EB5" si="0">8+DW4</f>
        <v>8</v>
      </c>
      <c r="DX5" s="42">
        <f t="shared" si="0"/>
        <v>8</v>
      </c>
      <c r="DY5" s="42">
        <f t="shared" si="0"/>
        <v>8</v>
      </c>
      <c r="DZ5" s="42">
        <f t="shared" si="0"/>
        <v>8</v>
      </c>
      <c r="EA5" s="42">
        <f t="shared" si="0"/>
        <v>8</v>
      </c>
      <c r="EB5" s="42">
        <f t="shared" si="0"/>
        <v>8</v>
      </c>
      <c r="EC5" s="42">
        <v>64</v>
      </c>
      <c r="ED5" s="42">
        <v>8</v>
      </c>
      <c r="EE5" s="42">
        <f t="shared" ref="EE5:EJ5" si="1">8+EE4</f>
        <v>8</v>
      </c>
      <c r="EF5" s="42">
        <f t="shared" si="1"/>
        <v>8</v>
      </c>
      <c r="EG5" s="42">
        <f t="shared" si="1"/>
        <v>8</v>
      </c>
      <c r="EH5" s="42">
        <f t="shared" si="1"/>
        <v>8</v>
      </c>
      <c r="EI5" s="42">
        <f t="shared" si="1"/>
        <v>8</v>
      </c>
      <c r="EJ5" s="42">
        <f t="shared" si="1"/>
        <v>8</v>
      </c>
      <c r="EK5" s="42">
        <v>8</v>
      </c>
      <c r="EL5" s="42">
        <v>8</v>
      </c>
      <c r="EM5" s="42">
        <v>8</v>
      </c>
      <c r="EN5" s="42">
        <f t="shared" ref="EN5:ET5" si="2">8+EN4</f>
        <v>8</v>
      </c>
      <c r="EO5" s="42">
        <f t="shared" si="2"/>
        <v>8</v>
      </c>
      <c r="EP5" s="42">
        <f t="shared" si="2"/>
        <v>8</v>
      </c>
      <c r="EQ5" s="42">
        <f t="shared" si="2"/>
        <v>8</v>
      </c>
      <c r="ER5" s="42">
        <f t="shared" si="2"/>
        <v>8</v>
      </c>
      <c r="ES5" s="42">
        <f t="shared" si="2"/>
        <v>8</v>
      </c>
      <c r="ET5" s="42">
        <f t="shared" si="2"/>
        <v>8</v>
      </c>
      <c r="EU5" s="42">
        <v>40</v>
      </c>
      <c r="EV5" s="42">
        <v>8</v>
      </c>
      <c r="EW5" s="42">
        <f>8+EW4</f>
        <v>8</v>
      </c>
      <c r="EX5" s="42">
        <f>8+EX4</f>
        <v>8</v>
      </c>
      <c r="EY5" s="42">
        <f>8+EY4</f>
        <v>8</v>
      </c>
      <c r="EZ5" s="42">
        <v>24</v>
      </c>
      <c r="FA5" s="42">
        <v>24</v>
      </c>
      <c r="FB5" s="42">
        <v>24</v>
      </c>
      <c r="FC5" s="42">
        <v>24</v>
      </c>
      <c r="FD5" s="42">
        <f>8+FD4</f>
        <v>8</v>
      </c>
      <c r="FE5" s="42">
        <f>8+FE4</f>
        <v>8</v>
      </c>
      <c r="FF5" s="42">
        <f>8+FF4</f>
        <v>8</v>
      </c>
      <c r="FG5" s="42">
        <v>8</v>
      </c>
      <c r="FH5" s="42">
        <v>8</v>
      </c>
      <c r="FI5" s="42">
        <v>8</v>
      </c>
      <c r="FJ5" s="42">
        <v>8</v>
      </c>
      <c r="FK5" s="42">
        <v>8</v>
      </c>
      <c r="FL5" s="42">
        <v>8</v>
      </c>
      <c r="FM5" s="42">
        <v>8</v>
      </c>
      <c r="FN5" s="42">
        <v>8</v>
      </c>
      <c r="FO5" s="42">
        <v>8</v>
      </c>
      <c r="FP5">
        <v>8</v>
      </c>
      <c r="FQ5" s="42">
        <v>16</v>
      </c>
      <c r="FR5">
        <v>8</v>
      </c>
      <c r="FS5" s="42">
        <v>96</v>
      </c>
      <c r="FT5" s="42">
        <v>96</v>
      </c>
      <c r="FU5" s="42">
        <v>8</v>
      </c>
      <c r="FV5" s="42">
        <v>8</v>
      </c>
      <c r="FW5" s="42">
        <v>8</v>
      </c>
      <c r="FX5" s="42">
        <v>8</v>
      </c>
      <c r="FY5" s="42">
        <v>8</v>
      </c>
      <c r="FZ5" s="42">
        <v>8</v>
      </c>
      <c r="GA5" s="42">
        <v>8</v>
      </c>
      <c r="GB5" s="42">
        <v>8</v>
      </c>
      <c r="GC5" s="42">
        <v>8</v>
      </c>
      <c r="GD5" s="42">
        <v>8</v>
      </c>
      <c r="GE5">
        <v>8</v>
      </c>
      <c r="GF5" s="42">
        <v>8</v>
      </c>
      <c r="GG5" s="42">
        <v>40</v>
      </c>
      <c r="GH5" s="42">
        <v>40</v>
      </c>
      <c r="GI5" s="42">
        <v>8</v>
      </c>
      <c r="GJ5" s="42">
        <v>8</v>
      </c>
      <c r="GK5" s="42">
        <v>8</v>
      </c>
      <c r="GL5" s="42">
        <v>8</v>
      </c>
      <c r="GM5" s="42">
        <f>8+GM4</f>
        <v>8</v>
      </c>
      <c r="GN5" s="42">
        <v>80</v>
      </c>
      <c r="GO5" s="42">
        <v>80</v>
      </c>
      <c r="GP5" s="42">
        <v>80</v>
      </c>
      <c r="GQ5" s="42">
        <v>32</v>
      </c>
      <c r="GR5" s="42">
        <v>32</v>
      </c>
      <c r="GS5" s="42">
        <v>32</v>
      </c>
    </row>
    <row r="6" spans="1:201" x14ac:dyDescent="0.35">
      <c r="A6" s="42">
        <v>56</v>
      </c>
      <c r="B6" s="42">
        <v>32</v>
      </c>
      <c r="C6" s="42">
        <v>32</v>
      </c>
      <c r="D6" s="42">
        <v>56</v>
      </c>
      <c r="E6" s="42">
        <v>56</v>
      </c>
      <c r="F6" s="42">
        <v>56</v>
      </c>
      <c r="G6" s="42">
        <v>96</v>
      </c>
      <c r="H6" s="42">
        <v>96</v>
      </c>
      <c r="I6" s="42">
        <v>96</v>
      </c>
      <c r="J6" s="42">
        <v>48</v>
      </c>
      <c r="K6" s="42">
        <v>48</v>
      </c>
      <c r="L6" s="42">
        <v>64</v>
      </c>
      <c r="M6" s="42">
        <v>40</v>
      </c>
      <c r="N6" s="42">
        <v>40</v>
      </c>
      <c r="O6" s="42">
        <v>24</v>
      </c>
      <c r="P6" s="42">
        <v>24</v>
      </c>
      <c r="Q6" s="42">
        <v>16</v>
      </c>
      <c r="R6" s="42">
        <v>16</v>
      </c>
      <c r="S6" s="42">
        <v>16</v>
      </c>
      <c r="T6" s="42">
        <v>32</v>
      </c>
      <c r="U6" s="42">
        <v>32</v>
      </c>
      <c r="V6" s="42">
        <v>16</v>
      </c>
      <c r="W6" s="42">
        <v>32</v>
      </c>
      <c r="X6" s="42">
        <v>32</v>
      </c>
      <c r="Y6" s="42">
        <v>32</v>
      </c>
      <c r="Z6" s="42">
        <v>40</v>
      </c>
      <c r="AA6" s="42">
        <v>40</v>
      </c>
      <c r="AB6" s="42">
        <v>40</v>
      </c>
      <c r="AC6" s="42">
        <v>24</v>
      </c>
      <c r="AD6" s="42">
        <v>24</v>
      </c>
      <c r="AE6" s="42">
        <v>24</v>
      </c>
      <c r="AF6" s="42">
        <v>24</v>
      </c>
      <c r="AG6" s="42">
        <v>16</v>
      </c>
      <c r="AH6" s="42">
        <v>16</v>
      </c>
      <c r="AI6" s="42">
        <v>32</v>
      </c>
      <c r="AJ6" s="42">
        <v>32</v>
      </c>
      <c r="AK6" s="42">
        <v>32</v>
      </c>
      <c r="AL6" s="42">
        <v>136</v>
      </c>
      <c r="AM6" s="42">
        <v>72</v>
      </c>
      <c r="AN6" s="42">
        <v>136</v>
      </c>
      <c r="AO6" s="42">
        <v>152</v>
      </c>
      <c r="AP6" s="42">
        <v>152</v>
      </c>
      <c r="AQ6" s="42">
        <v>152</v>
      </c>
      <c r="AR6" s="42">
        <v>80</v>
      </c>
      <c r="AS6" s="42">
        <v>80</v>
      </c>
      <c r="AT6" s="42">
        <v>80</v>
      </c>
      <c r="AU6" s="42">
        <v>56</v>
      </c>
      <c r="AV6" s="42">
        <v>32</v>
      </c>
      <c r="AW6" s="42">
        <v>32</v>
      </c>
      <c r="AX6" s="42">
        <v>32</v>
      </c>
      <c r="AY6" s="42">
        <v>32</v>
      </c>
      <c r="AZ6" s="42">
        <v>16</v>
      </c>
      <c r="BA6" s="42">
        <v>16</v>
      </c>
      <c r="BB6" s="42">
        <v>16</v>
      </c>
      <c r="BC6" s="42">
        <v>64</v>
      </c>
      <c r="BD6" s="42">
        <v>64</v>
      </c>
      <c r="BE6" s="42">
        <v>16</v>
      </c>
      <c r="BF6" s="42">
        <v>16</v>
      </c>
      <c r="BG6" s="42">
        <v>72</v>
      </c>
      <c r="BH6" s="42">
        <v>72</v>
      </c>
      <c r="BI6" s="42">
        <v>16</v>
      </c>
      <c r="BJ6" s="42">
        <v>16</v>
      </c>
      <c r="BK6" s="42">
        <v>16</v>
      </c>
      <c r="BL6" s="42">
        <v>16</v>
      </c>
      <c r="BM6" s="42">
        <v>16</v>
      </c>
      <c r="BN6" s="42">
        <v>16</v>
      </c>
      <c r="BO6" s="42">
        <v>72</v>
      </c>
      <c r="BP6" s="42">
        <v>72</v>
      </c>
      <c r="BQ6" s="42">
        <v>136</v>
      </c>
      <c r="BR6" s="42">
        <v>72</v>
      </c>
      <c r="BS6" s="42">
        <v>72</v>
      </c>
      <c r="BT6" s="42">
        <v>72</v>
      </c>
      <c r="BU6" s="42">
        <v>702</v>
      </c>
      <c r="BV6" s="42">
        <v>702</v>
      </c>
      <c r="BW6" s="42">
        <v>104</v>
      </c>
      <c r="BX6" s="42">
        <v>104</v>
      </c>
      <c r="BY6" s="42">
        <v>104</v>
      </c>
      <c r="BZ6" s="42">
        <v>80</v>
      </c>
      <c r="CA6" s="42">
        <v>84</v>
      </c>
      <c r="CB6" s="42">
        <v>84</v>
      </c>
      <c r="CC6" s="42">
        <v>84</v>
      </c>
      <c r="CD6" s="42">
        <v>83</v>
      </c>
      <c r="CE6" s="42">
        <v>83</v>
      </c>
      <c r="CF6" s="42">
        <v>104</v>
      </c>
      <c r="CG6" s="42">
        <v>104</v>
      </c>
      <c r="CH6" s="42">
        <v>104</v>
      </c>
      <c r="CI6" s="42">
        <v>56</v>
      </c>
      <c r="CJ6" s="42">
        <v>56</v>
      </c>
      <c r="CK6" s="42">
        <v>56</v>
      </c>
      <c r="CL6" s="42">
        <v>83</v>
      </c>
      <c r="CM6" s="42">
        <v>83</v>
      </c>
      <c r="CN6" s="42">
        <v>64</v>
      </c>
      <c r="CO6" s="42">
        <v>64</v>
      </c>
      <c r="CP6" s="42">
        <v>64</v>
      </c>
      <c r="CQ6" s="42">
        <v>77</v>
      </c>
      <c r="CR6" s="42">
        <v>77</v>
      </c>
      <c r="CS6" s="42">
        <v>95</v>
      </c>
      <c r="CT6" s="42">
        <v>95</v>
      </c>
      <c r="CU6" s="42">
        <v>114</v>
      </c>
      <c r="CV6" s="42">
        <v>114</v>
      </c>
      <c r="CW6" s="42">
        <v>114</v>
      </c>
      <c r="CX6" s="42">
        <v>91</v>
      </c>
      <c r="CY6" s="42">
        <v>91</v>
      </c>
      <c r="CZ6" s="42">
        <v>91</v>
      </c>
      <c r="DA6" s="42">
        <v>56</v>
      </c>
      <c r="DB6" s="42">
        <v>32</v>
      </c>
      <c r="DC6" s="42">
        <v>32</v>
      </c>
      <c r="DD6" s="42">
        <v>112</v>
      </c>
      <c r="DE6" s="42">
        <v>112</v>
      </c>
      <c r="DF6" s="42">
        <v>96</v>
      </c>
      <c r="DG6" s="42">
        <v>96</v>
      </c>
      <c r="DH6" s="42">
        <v>176</v>
      </c>
      <c r="DI6" s="42">
        <v>32</v>
      </c>
      <c r="DJ6" s="42">
        <v>32</v>
      </c>
      <c r="DK6" s="42">
        <v>32</v>
      </c>
      <c r="DL6" s="42">
        <v>16</v>
      </c>
      <c r="DM6" s="42">
        <v>16</v>
      </c>
      <c r="DN6" s="42">
        <f t="shared" ref="DN6:DP14" si="3">8+DN5</f>
        <v>16</v>
      </c>
      <c r="DO6" s="42">
        <f t="shared" si="3"/>
        <v>16</v>
      </c>
      <c r="DP6" s="42">
        <f t="shared" si="3"/>
        <v>16</v>
      </c>
      <c r="DQ6" s="42">
        <v>24</v>
      </c>
      <c r="DR6" s="42">
        <v>24</v>
      </c>
      <c r="DS6" s="42">
        <v>24</v>
      </c>
      <c r="DT6" s="42">
        <v>54</v>
      </c>
      <c r="DU6" s="42">
        <v>54</v>
      </c>
      <c r="DV6" s="42">
        <v>54</v>
      </c>
      <c r="DW6" s="42">
        <v>32</v>
      </c>
      <c r="DX6" s="42">
        <v>32</v>
      </c>
      <c r="DY6" s="42">
        <v>32</v>
      </c>
      <c r="DZ6" s="42">
        <v>40</v>
      </c>
      <c r="EA6" s="42">
        <v>40</v>
      </c>
      <c r="EB6" s="42">
        <v>40</v>
      </c>
      <c r="EC6" s="42">
        <v>80</v>
      </c>
      <c r="ED6" s="42">
        <v>32</v>
      </c>
      <c r="EE6" s="42">
        <v>24</v>
      </c>
      <c r="EF6" s="42">
        <v>24</v>
      </c>
      <c r="EG6" s="42">
        <v>24</v>
      </c>
      <c r="EH6" s="42">
        <v>32</v>
      </c>
      <c r="EI6" s="42">
        <v>32</v>
      </c>
      <c r="EJ6" s="42">
        <v>32</v>
      </c>
      <c r="EK6" s="42">
        <v>16</v>
      </c>
      <c r="EL6" s="42">
        <v>40</v>
      </c>
      <c r="EM6" s="42">
        <v>40</v>
      </c>
      <c r="EN6" s="42">
        <v>80</v>
      </c>
      <c r="EO6" s="42">
        <v>80</v>
      </c>
      <c r="EP6" s="42">
        <v>80</v>
      </c>
      <c r="EQ6" s="42">
        <v>80</v>
      </c>
      <c r="ER6" s="42">
        <v>80</v>
      </c>
      <c r="ES6" s="42">
        <v>80</v>
      </c>
      <c r="ET6" s="42">
        <f>8+ET5</f>
        <v>16</v>
      </c>
      <c r="EU6" s="42">
        <v>72</v>
      </c>
      <c r="EV6" s="42">
        <v>16</v>
      </c>
      <c r="EW6" s="42">
        <v>40</v>
      </c>
      <c r="EX6" s="42">
        <v>40</v>
      </c>
      <c r="EY6" s="42">
        <v>40</v>
      </c>
      <c r="EZ6" s="42">
        <v>40</v>
      </c>
      <c r="FA6" s="42">
        <v>40</v>
      </c>
      <c r="FB6" s="42">
        <v>40</v>
      </c>
      <c r="FC6" s="42">
        <v>40</v>
      </c>
      <c r="FD6" s="42">
        <v>40</v>
      </c>
      <c r="FE6" s="42">
        <v>40</v>
      </c>
      <c r="FF6" s="42">
        <v>40</v>
      </c>
      <c r="FG6" s="42">
        <v>40</v>
      </c>
      <c r="FH6" s="42">
        <v>40</v>
      </c>
      <c r="FI6" s="42">
        <v>56</v>
      </c>
      <c r="FJ6" s="42">
        <v>16</v>
      </c>
      <c r="FK6" s="42">
        <v>24</v>
      </c>
      <c r="FL6" s="42">
        <f>8+FL5</f>
        <v>16</v>
      </c>
      <c r="FM6" s="42">
        <v>32</v>
      </c>
      <c r="FN6" s="42">
        <v>48</v>
      </c>
      <c r="FO6" s="42">
        <v>24</v>
      </c>
      <c r="FP6">
        <v>24</v>
      </c>
      <c r="FQ6" s="42">
        <v>32</v>
      </c>
      <c r="FR6">
        <v>16</v>
      </c>
      <c r="FS6" s="42">
        <v>256</v>
      </c>
      <c r="FT6" s="42">
        <v>256</v>
      </c>
      <c r="FU6" s="42">
        <v>168</v>
      </c>
      <c r="FV6" s="42">
        <v>168</v>
      </c>
      <c r="FW6" s="42">
        <v>32</v>
      </c>
      <c r="FX6" s="42">
        <v>56</v>
      </c>
      <c r="FY6" s="42" t="s">
        <v>76</v>
      </c>
      <c r="FZ6" s="42">
        <v>40</v>
      </c>
      <c r="GA6" s="42">
        <v>24</v>
      </c>
      <c r="GB6" s="42">
        <v>24</v>
      </c>
      <c r="GC6" s="42">
        <v>40</v>
      </c>
      <c r="GD6" s="42">
        <v>40</v>
      </c>
      <c r="GE6" t="s">
        <v>76</v>
      </c>
      <c r="GF6" s="42">
        <v>16</v>
      </c>
      <c r="GG6" s="42">
        <v>48</v>
      </c>
      <c r="GH6" s="42">
        <v>48</v>
      </c>
      <c r="GI6" s="42">
        <v>16</v>
      </c>
      <c r="GJ6" s="42">
        <v>16</v>
      </c>
      <c r="GK6" s="42">
        <v>40</v>
      </c>
      <c r="GL6" s="42">
        <v>40</v>
      </c>
      <c r="GM6" s="42">
        <v>168</v>
      </c>
      <c r="GN6" s="42">
        <v>240</v>
      </c>
      <c r="GO6" s="42">
        <v>240</v>
      </c>
      <c r="GP6" s="42">
        <v>240</v>
      </c>
      <c r="GQ6" s="42">
        <v>104</v>
      </c>
      <c r="GR6" s="42">
        <v>104</v>
      </c>
      <c r="GS6" s="42">
        <v>104</v>
      </c>
    </row>
    <row r="7" spans="1:201" x14ac:dyDescent="0.35">
      <c r="A7" s="42">
        <v>80</v>
      </c>
      <c r="B7" s="42">
        <v>56</v>
      </c>
      <c r="C7" s="42">
        <v>56</v>
      </c>
      <c r="D7" s="42">
        <v>80</v>
      </c>
      <c r="E7" s="42">
        <v>80</v>
      </c>
      <c r="F7" s="42">
        <v>80</v>
      </c>
      <c r="G7" s="42">
        <v>144</v>
      </c>
      <c r="H7" s="42">
        <v>144</v>
      </c>
      <c r="I7" s="42">
        <v>144</v>
      </c>
      <c r="J7" s="42">
        <v>96</v>
      </c>
      <c r="K7" s="42">
        <v>96</v>
      </c>
      <c r="L7" s="42">
        <v>136</v>
      </c>
      <c r="M7" s="42">
        <v>88</v>
      </c>
      <c r="N7" s="42">
        <v>88</v>
      </c>
      <c r="O7" s="42">
        <v>40</v>
      </c>
      <c r="P7" s="42">
        <v>40</v>
      </c>
      <c r="Q7" s="42">
        <v>48</v>
      </c>
      <c r="R7" s="42">
        <v>32</v>
      </c>
      <c r="S7" s="42">
        <v>48</v>
      </c>
      <c r="T7" s="42">
        <v>56</v>
      </c>
      <c r="U7" s="42">
        <v>56</v>
      </c>
      <c r="V7" s="42">
        <v>32</v>
      </c>
      <c r="W7" s="42">
        <v>48</v>
      </c>
      <c r="X7" s="42">
        <v>48</v>
      </c>
      <c r="Y7" s="42">
        <v>48</v>
      </c>
      <c r="Z7" s="42">
        <v>72</v>
      </c>
      <c r="AA7" s="42">
        <v>72</v>
      </c>
      <c r="AB7" s="42">
        <v>72</v>
      </c>
      <c r="AC7" s="42">
        <v>40</v>
      </c>
      <c r="AD7" s="42">
        <v>40</v>
      </c>
      <c r="AE7" s="42">
        <v>40</v>
      </c>
      <c r="AF7" s="42">
        <v>40</v>
      </c>
      <c r="AG7" s="42">
        <v>32</v>
      </c>
      <c r="AH7" s="42">
        <v>32</v>
      </c>
      <c r="AI7" s="42">
        <v>56</v>
      </c>
      <c r="AJ7" s="42">
        <v>80</v>
      </c>
      <c r="AK7" s="42">
        <v>80</v>
      </c>
      <c r="AL7" s="42">
        <v>264</v>
      </c>
      <c r="AM7" s="42">
        <v>200</v>
      </c>
      <c r="AN7" s="42">
        <v>200</v>
      </c>
      <c r="AO7" s="42">
        <v>224</v>
      </c>
      <c r="AP7" s="42">
        <v>224</v>
      </c>
      <c r="AQ7" s="42">
        <v>224</v>
      </c>
      <c r="AR7" s="42">
        <v>152</v>
      </c>
      <c r="AS7" s="42">
        <v>152</v>
      </c>
      <c r="AT7" s="42">
        <v>224</v>
      </c>
      <c r="AU7" s="42">
        <v>152</v>
      </c>
      <c r="AV7" s="42">
        <v>80</v>
      </c>
      <c r="AW7" s="42">
        <v>104</v>
      </c>
      <c r="AX7" s="42">
        <v>56</v>
      </c>
      <c r="AY7" s="42">
        <v>56</v>
      </c>
      <c r="AZ7" s="42">
        <v>40</v>
      </c>
      <c r="BA7" s="42">
        <v>48</v>
      </c>
      <c r="BB7" s="42">
        <v>24</v>
      </c>
      <c r="BC7" s="42">
        <v>104</v>
      </c>
      <c r="BD7" s="42">
        <v>104</v>
      </c>
      <c r="BE7" s="42">
        <v>48</v>
      </c>
      <c r="BF7" s="42">
        <v>48</v>
      </c>
      <c r="BG7" s="42">
        <v>120</v>
      </c>
      <c r="BH7" s="42">
        <v>120</v>
      </c>
      <c r="BI7" s="42">
        <v>32</v>
      </c>
      <c r="BJ7" s="42">
        <v>40</v>
      </c>
      <c r="BK7" s="42">
        <v>24</v>
      </c>
      <c r="BL7" s="42">
        <v>48</v>
      </c>
      <c r="BM7" s="42">
        <v>48</v>
      </c>
      <c r="BN7" s="42">
        <v>168</v>
      </c>
      <c r="BO7" s="42">
        <v>136</v>
      </c>
      <c r="BP7" s="42">
        <v>200</v>
      </c>
      <c r="BQ7" s="42">
        <v>264</v>
      </c>
      <c r="BR7" s="42">
        <v>264</v>
      </c>
      <c r="BS7" s="42">
        <v>264</v>
      </c>
      <c r="BT7" s="42">
        <v>264</v>
      </c>
      <c r="BU7" s="42">
        <v>1038</v>
      </c>
      <c r="BV7" s="42">
        <v>1038</v>
      </c>
      <c r="BW7" s="42">
        <v>200</v>
      </c>
      <c r="BX7" s="42">
        <v>200</v>
      </c>
      <c r="BY7" s="42">
        <v>200</v>
      </c>
      <c r="BZ7" s="42">
        <v>152</v>
      </c>
      <c r="CA7" s="42">
        <v>100</v>
      </c>
      <c r="CB7" s="42">
        <v>100</v>
      </c>
      <c r="CC7" s="42">
        <v>100</v>
      </c>
      <c r="CD7" s="42">
        <v>99</v>
      </c>
      <c r="CE7" s="42">
        <v>99</v>
      </c>
      <c r="CF7" s="42">
        <v>136</v>
      </c>
      <c r="CG7" s="42">
        <v>136</v>
      </c>
      <c r="CH7" s="42">
        <v>136</v>
      </c>
      <c r="CI7" s="42">
        <v>72</v>
      </c>
      <c r="CJ7" s="42">
        <v>72</v>
      </c>
      <c r="CK7" s="42">
        <v>72</v>
      </c>
      <c r="CL7" s="42">
        <v>99</v>
      </c>
      <c r="CM7" s="42">
        <v>99</v>
      </c>
      <c r="CN7" s="42">
        <v>80</v>
      </c>
      <c r="CO7" s="42">
        <v>80</v>
      </c>
      <c r="CP7" s="42">
        <v>80</v>
      </c>
      <c r="CQ7" s="42">
        <v>101</v>
      </c>
      <c r="CR7" s="42">
        <v>101</v>
      </c>
      <c r="CS7" s="42">
        <v>127</v>
      </c>
      <c r="CT7" s="42">
        <v>127</v>
      </c>
      <c r="CU7" s="42">
        <v>210</v>
      </c>
      <c r="CV7" s="42">
        <v>210</v>
      </c>
      <c r="CW7" s="42">
        <v>210</v>
      </c>
      <c r="CX7" s="42">
        <v>155</v>
      </c>
      <c r="CY7" s="42">
        <v>155</v>
      </c>
      <c r="CZ7" s="42">
        <v>155</v>
      </c>
      <c r="DA7" s="42">
        <v>128</v>
      </c>
      <c r="DB7" s="42">
        <v>56</v>
      </c>
      <c r="DC7" s="42">
        <v>104</v>
      </c>
      <c r="DD7" s="42">
        <v>208</v>
      </c>
      <c r="DE7" s="42">
        <v>208</v>
      </c>
      <c r="DF7" s="42">
        <v>128</v>
      </c>
      <c r="DG7" s="42">
        <v>128</v>
      </c>
      <c r="DH7" s="42">
        <v>200</v>
      </c>
      <c r="DI7" s="42">
        <v>56</v>
      </c>
      <c r="DJ7" s="42">
        <v>56</v>
      </c>
      <c r="DK7" s="42">
        <v>64</v>
      </c>
      <c r="DL7" s="42">
        <v>48</v>
      </c>
      <c r="DM7" s="42">
        <v>32</v>
      </c>
      <c r="DN7" s="42">
        <f t="shared" si="3"/>
        <v>24</v>
      </c>
      <c r="DO7" s="42">
        <f t="shared" si="3"/>
        <v>24</v>
      </c>
      <c r="DP7" s="42">
        <f t="shared" si="3"/>
        <v>24</v>
      </c>
      <c r="DQ7" s="42">
        <v>48</v>
      </c>
      <c r="DR7" s="42">
        <v>48</v>
      </c>
      <c r="DS7" s="42">
        <v>48</v>
      </c>
      <c r="DT7" s="42">
        <v>86</v>
      </c>
      <c r="DU7" s="42">
        <v>86</v>
      </c>
      <c r="DV7" s="42">
        <v>86</v>
      </c>
      <c r="DW7" s="42">
        <v>56</v>
      </c>
      <c r="DX7" s="42">
        <v>104</v>
      </c>
      <c r="DY7" s="42">
        <v>104</v>
      </c>
      <c r="DZ7" s="42">
        <v>72</v>
      </c>
      <c r="EA7" s="42">
        <v>72</v>
      </c>
      <c r="EB7" s="42">
        <v>72</v>
      </c>
      <c r="EC7" s="42">
        <v>96</v>
      </c>
      <c r="ED7" s="42">
        <v>64</v>
      </c>
      <c r="EE7" s="42">
        <v>56</v>
      </c>
      <c r="EF7" s="42">
        <v>56</v>
      </c>
      <c r="EG7" s="42">
        <v>56</v>
      </c>
      <c r="EH7" s="42">
        <v>80</v>
      </c>
      <c r="EI7" s="42">
        <v>80</v>
      </c>
      <c r="EJ7" s="42">
        <v>80</v>
      </c>
      <c r="EK7" s="42">
        <v>24</v>
      </c>
      <c r="EL7" s="42">
        <v>56</v>
      </c>
      <c r="EM7" s="42">
        <v>56</v>
      </c>
      <c r="EN7" s="42">
        <v>128</v>
      </c>
      <c r="EO7" s="42">
        <v>128</v>
      </c>
      <c r="EP7" s="42">
        <v>128</v>
      </c>
      <c r="EQ7" s="42">
        <v>128</v>
      </c>
      <c r="ER7" s="42">
        <v>128</v>
      </c>
      <c r="ES7" s="42">
        <v>128</v>
      </c>
      <c r="ET7" s="42">
        <v>72</v>
      </c>
      <c r="EU7" s="42">
        <v>136</v>
      </c>
      <c r="EV7" s="42">
        <v>72</v>
      </c>
      <c r="EW7" s="42">
        <v>88</v>
      </c>
      <c r="EX7" s="42">
        <v>88</v>
      </c>
      <c r="EY7" s="42">
        <v>88</v>
      </c>
      <c r="EZ7" s="42">
        <v>64</v>
      </c>
      <c r="FA7" s="42">
        <v>56</v>
      </c>
      <c r="FB7" s="42">
        <v>56</v>
      </c>
      <c r="FC7" s="42">
        <v>56</v>
      </c>
      <c r="FD7" s="42">
        <v>56</v>
      </c>
      <c r="FE7" s="42">
        <v>56</v>
      </c>
      <c r="FF7" s="42">
        <v>56</v>
      </c>
      <c r="FG7" s="42">
        <v>56</v>
      </c>
      <c r="FH7" s="42">
        <v>56</v>
      </c>
      <c r="FI7" s="42">
        <v>88</v>
      </c>
      <c r="FJ7" s="42">
        <v>24</v>
      </c>
      <c r="FK7" s="42">
        <v>32</v>
      </c>
      <c r="FL7" s="42">
        <f t="shared" ref="FL7:FL13" si="4">8+FL6</f>
        <v>24</v>
      </c>
      <c r="FM7" s="42">
        <v>48</v>
      </c>
      <c r="FN7" s="42">
        <v>80</v>
      </c>
      <c r="FO7" s="42">
        <v>328</v>
      </c>
      <c r="FP7">
        <v>328</v>
      </c>
      <c r="FQ7" s="42">
        <v>40</v>
      </c>
      <c r="FR7">
        <v>24</v>
      </c>
      <c r="FS7" s="42">
        <v>336</v>
      </c>
      <c r="FT7" s="42">
        <v>336</v>
      </c>
      <c r="FU7" s="42">
        <v>248</v>
      </c>
      <c r="FV7" s="42">
        <v>248</v>
      </c>
      <c r="FW7" s="42">
        <v>56</v>
      </c>
      <c r="FX7" s="42">
        <v>104</v>
      </c>
      <c r="FY7" s="42" t="s">
        <v>76</v>
      </c>
      <c r="FZ7" s="42">
        <v>72</v>
      </c>
      <c r="GA7" s="42">
        <v>40</v>
      </c>
      <c r="GB7" s="42">
        <v>40</v>
      </c>
      <c r="GC7" s="42">
        <v>72</v>
      </c>
      <c r="GD7" s="42">
        <v>72</v>
      </c>
      <c r="GE7" s="42" t="s">
        <v>76</v>
      </c>
      <c r="GF7" s="42">
        <v>24</v>
      </c>
      <c r="GG7" s="42">
        <v>64</v>
      </c>
      <c r="GH7" s="42">
        <v>64</v>
      </c>
      <c r="GI7" s="42">
        <v>24</v>
      </c>
      <c r="GJ7" s="42">
        <v>24</v>
      </c>
      <c r="GK7" s="42">
        <v>56</v>
      </c>
      <c r="GL7" s="42">
        <v>56</v>
      </c>
      <c r="GM7" s="42">
        <v>488</v>
      </c>
      <c r="GN7" s="42">
        <v>320</v>
      </c>
      <c r="GO7" s="42">
        <v>320</v>
      </c>
      <c r="GP7" s="42">
        <v>320</v>
      </c>
      <c r="GQ7" s="42">
        <v>128</v>
      </c>
      <c r="GR7" s="42">
        <v>128</v>
      </c>
      <c r="GS7" s="42">
        <v>128</v>
      </c>
    </row>
    <row r="8" spans="1:201" x14ac:dyDescent="0.35">
      <c r="A8" s="42">
        <v>104</v>
      </c>
      <c r="B8" s="42">
        <v>80</v>
      </c>
      <c r="C8" s="42">
        <v>80</v>
      </c>
      <c r="D8" s="42">
        <v>104</v>
      </c>
      <c r="E8" s="42">
        <v>104</v>
      </c>
      <c r="F8" s="42">
        <v>104</v>
      </c>
      <c r="G8" s="42">
        <v>240</v>
      </c>
      <c r="H8" s="42">
        <v>240</v>
      </c>
      <c r="I8" s="42">
        <v>192</v>
      </c>
      <c r="J8" s="42">
        <v>144</v>
      </c>
      <c r="K8" s="42">
        <v>144</v>
      </c>
      <c r="L8" s="42">
        <v>208</v>
      </c>
      <c r="M8" s="42">
        <v>136</v>
      </c>
      <c r="N8" s="42">
        <v>136</v>
      </c>
      <c r="O8" s="42">
        <v>88</v>
      </c>
      <c r="P8" s="42">
        <v>88</v>
      </c>
      <c r="Q8" s="42">
        <v>64</v>
      </c>
      <c r="R8" s="42">
        <v>64</v>
      </c>
      <c r="S8" s="42">
        <v>64</v>
      </c>
      <c r="T8" s="42">
        <v>80</v>
      </c>
      <c r="U8" s="42">
        <v>80</v>
      </c>
      <c r="V8" s="42">
        <v>40</v>
      </c>
      <c r="W8" s="42">
        <v>56</v>
      </c>
      <c r="X8" s="42">
        <v>56</v>
      </c>
      <c r="Y8" s="42">
        <v>56</v>
      </c>
      <c r="Z8" s="42">
        <v>104</v>
      </c>
      <c r="AA8" s="42">
        <v>104</v>
      </c>
      <c r="AB8" s="42">
        <v>104</v>
      </c>
      <c r="AC8" s="42">
        <v>64</v>
      </c>
      <c r="AD8" s="42">
        <v>64</v>
      </c>
      <c r="AE8" s="42">
        <v>64</v>
      </c>
      <c r="AF8" s="42">
        <v>56</v>
      </c>
      <c r="AG8" s="42">
        <v>56</v>
      </c>
      <c r="AH8" s="42">
        <v>56</v>
      </c>
      <c r="AI8" s="42">
        <v>80</v>
      </c>
      <c r="AJ8" s="42">
        <v>104</v>
      </c>
      <c r="AK8" s="42">
        <v>104</v>
      </c>
      <c r="AL8" s="42">
        <v>392</v>
      </c>
      <c r="AM8" s="42">
        <v>328</v>
      </c>
      <c r="AN8" s="42">
        <v>456</v>
      </c>
      <c r="AO8" s="42">
        <v>296</v>
      </c>
      <c r="AP8" s="42">
        <v>296</v>
      </c>
      <c r="AQ8" s="42">
        <v>296</v>
      </c>
      <c r="AR8" s="42">
        <v>296</v>
      </c>
      <c r="AS8" s="42">
        <v>296</v>
      </c>
      <c r="AT8" s="42">
        <v>368</v>
      </c>
      <c r="AU8" s="42">
        <v>176</v>
      </c>
      <c r="AV8" s="42">
        <v>128</v>
      </c>
      <c r="AW8" s="42">
        <v>248</v>
      </c>
      <c r="AX8" s="42">
        <v>80</v>
      </c>
      <c r="AY8" s="42">
        <v>80</v>
      </c>
      <c r="AZ8" s="42">
        <v>104</v>
      </c>
      <c r="BA8" s="42">
        <v>80</v>
      </c>
      <c r="BB8" s="42">
        <v>64</v>
      </c>
      <c r="BC8" s="42">
        <v>144</v>
      </c>
      <c r="BD8" s="42">
        <v>144</v>
      </c>
      <c r="BE8" s="42">
        <v>88</v>
      </c>
      <c r="BF8" s="42">
        <v>88</v>
      </c>
      <c r="BG8" s="42">
        <v>168</v>
      </c>
      <c r="BH8" s="42">
        <v>168</v>
      </c>
      <c r="BI8" s="42">
        <v>48</v>
      </c>
      <c r="BJ8" s="42">
        <v>64</v>
      </c>
      <c r="BK8" s="42">
        <v>64</v>
      </c>
      <c r="BL8" s="42">
        <v>80</v>
      </c>
      <c r="BM8" s="42">
        <v>80</v>
      </c>
      <c r="BN8" s="42">
        <v>488</v>
      </c>
      <c r="BO8" s="42">
        <v>200</v>
      </c>
      <c r="BP8" s="42">
        <v>456</v>
      </c>
      <c r="BQ8" s="42">
        <v>392</v>
      </c>
      <c r="BR8" s="42">
        <v>456</v>
      </c>
      <c r="BS8" s="42">
        <v>456</v>
      </c>
      <c r="BT8" s="42">
        <v>456</v>
      </c>
      <c r="BU8" s="42">
        <v>1374</v>
      </c>
      <c r="BV8" s="42">
        <v>1374</v>
      </c>
      <c r="BW8" s="42">
        <v>296</v>
      </c>
      <c r="BX8" s="42">
        <v>296</v>
      </c>
      <c r="BY8" s="42">
        <v>296</v>
      </c>
      <c r="BZ8" s="42">
        <v>224</v>
      </c>
      <c r="CA8" s="42">
        <v>116</v>
      </c>
      <c r="CB8" s="42">
        <v>116</v>
      </c>
      <c r="CC8" s="42">
        <v>116</v>
      </c>
      <c r="CD8" s="42">
        <v>115</v>
      </c>
      <c r="CE8" s="42">
        <v>115</v>
      </c>
      <c r="CF8" s="42">
        <v>152</v>
      </c>
      <c r="CG8" s="42">
        <v>152</v>
      </c>
      <c r="CH8" s="42">
        <v>152</v>
      </c>
      <c r="CI8" s="42">
        <v>88</v>
      </c>
      <c r="CJ8" s="42">
        <v>88</v>
      </c>
      <c r="CK8" s="42">
        <v>88</v>
      </c>
      <c r="CL8" s="42">
        <v>115</v>
      </c>
      <c r="CM8" s="42">
        <v>115</v>
      </c>
      <c r="CN8" s="42">
        <v>96</v>
      </c>
      <c r="CO8" s="42">
        <v>96</v>
      </c>
      <c r="CP8" s="42">
        <v>96</v>
      </c>
      <c r="CQ8" s="42">
        <v>125</v>
      </c>
      <c r="CR8" s="42">
        <v>125</v>
      </c>
      <c r="CS8" s="42">
        <v>223</v>
      </c>
      <c r="CT8" s="42">
        <v>223</v>
      </c>
      <c r="CU8" s="42">
        <v>306</v>
      </c>
      <c r="CV8" s="42">
        <v>306</v>
      </c>
      <c r="CW8" s="42">
        <v>306</v>
      </c>
      <c r="CX8" s="42">
        <v>219</v>
      </c>
      <c r="CY8" s="42">
        <v>219</v>
      </c>
      <c r="CZ8" s="42">
        <v>219</v>
      </c>
      <c r="DA8" s="42">
        <v>200</v>
      </c>
      <c r="DB8" s="42">
        <v>128</v>
      </c>
      <c r="DC8" s="42">
        <v>176</v>
      </c>
      <c r="DD8" s="42">
        <v>304</v>
      </c>
      <c r="DE8" s="42">
        <v>304</v>
      </c>
      <c r="DF8" s="42">
        <v>160</v>
      </c>
      <c r="DG8" s="42">
        <v>160</v>
      </c>
      <c r="DH8" s="42">
        <v>248</v>
      </c>
      <c r="DI8" s="42">
        <v>104</v>
      </c>
      <c r="DJ8" s="42">
        <v>104</v>
      </c>
      <c r="DK8" s="42">
        <v>96</v>
      </c>
      <c r="DL8" s="42">
        <v>96</v>
      </c>
      <c r="DM8" s="42">
        <v>64</v>
      </c>
      <c r="DN8" s="42">
        <f t="shared" si="3"/>
        <v>32</v>
      </c>
      <c r="DO8" s="42">
        <f t="shared" si="3"/>
        <v>32</v>
      </c>
      <c r="DP8" s="42">
        <f t="shared" si="3"/>
        <v>32</v>
      </c>
      <c r="DQ8" s="42">
        <v>72</v>
      </c>
      <c r="DR8" s="42">
        <v>72</v>
      </c>
      <c r="DS8" s="42">
        <v>72</v>
      </c>
      <c r="DT8" s="42">
        <v>134</v>
      </c>
      <c r="DU8" s="42">
        <v>134</v>
      </c>
      <c r="DV8" s="42">
        <v>134</v>
      </c>
      <c r="DW8" s="42">
        <v>80</v>
      </c>
      <c r="DX8" s="42">
        <v>176</v>
      </c>
      <c r="DY8" s="42">
        <v>176</v>
      </c>
      <c r="DZ8" s="42">
        <v>136</v>
      </c>
      <c r="EA8" s="42">
        <v>136</v>
      </c>
      <c r="EB8" s="42">
        <v>136</v>
      </c>
      <c r="EC8" s="42">
        <v>112</v>
      </c>
      <c r="ED8" s="42">
        <v>96</v>
      </c>
      <c r="EE8" s="42">
        <v>72</v>
      </c>
      <c r="EF8" s="42">
        <v>72</v>
      </c>
      <c r="EG8" s="42">
        <v>72</v>
      </c>
      <c r="EH8" s="42">
        <v>104</v>
      </c>
      <c r="EI8" s="42">
        <v>104</v>
      </c>
      <c r="EJ8" s="42">
        <v>104</v>
      </c>
      <c r="EK8" s="42">
        <v>32</v>
      </c>
      <c r="EL8" s="42">
        <v>72</v>
      </c>
      <c r="EM8" s="42">
        <v>72</v>
      </c>
      <c r="EN8" s="42">
        <v>176</v>
      </c>
      <c r="EO8" s="42">
        <v>176</v>
      </c>
      <c r="EP8" s="42">
        <v>176</v>
      </c>
      <c r="EQ8" s="42">
        <v>176</v>
      </c>
      <c r="ER8" s="42">
        <v>176</v>
      </c>
      <c r="ES8" s="42">
        <v>176</v>
      </c>
      <c r="ET8" s="42">
        <v>136</v>
      </c>
      <c r="EU8" s="42">
        <v>200</v>
      </c>
      <c r="EV8" s="42">
        <v>136</v>
      </c>
      <c r="EW8" s="42">
        <v>184</v>
      </c>
      <c r="EX8" s="42">
        <v>184</v>
      </c>
      <c r="EY8" s="42">
        <v>184</v>
      </c>
      <c r="EZ8" s="42">
        <v>72</v>
      </c>
      <c r="FA8" s="42">
        <v>88</v>
      </c>
      <c r="FB8" s="42">
        <v>88</v>
      </c>
      <c r="FC8" s="42">
        <v>88</v>
      </c>
      <c r="FD8" s="42">
        <v>88</v>
      </c>
      <c r="FE8" s="42">
        <v>88</v>
      </c>
      <c r="FF8" s="42">
        <v>88</v>
      </c>
      <c r="FG8" s="42">
        <v>88</v>
      </c>
      <c r="FH8" s="42">
        <v>88</v>
      </c>
      <c r="FI8" s="42">
        <v>120</v>
      </c>
      <c r="FJ8" s="42">
        <v>32</v>
      </c>
      <c r="FK8" s="42">
        <v>40</v>
      </c>
      <c r="FL8" s="42">
        <f t="shared" si="4"/>
        <v>32</v>
      </c>
      <c r="FM8" s="42">
        <v>56</v>
      </c>
      <c r="FN8" s="42">
        <v>112</v>
      </c>
      <c r="FO8" s="42">
        <v>648</v>
      </c>
      <c r="FP8">
        <v>648</v>
      </c>
      <c r="FQ8" s="42">
        <v>64</v>
      </c>
      <c r="FR8">
        <v>32</v>
      </c>
      <c r="FS8" s="42">
        <v>496</v>
      </c>
      <c r="FT8" s="42">
        <v>496</v>
      </c>
      <c r="FU8" s="42">
        <v>488</v>
      </c>
      <c r="FV8" s="42">
        <v>488</v>
      </c>
      <c r="FW8" s="42">
        <v>80</v>
      </c>
      <c r="FX8" s="42">
        <v>152</v>
      </c>
      <c r="FY8" s="42" t="s">
        <v>76</v>
      </c>
      <c r="FZ8" s="42">
        <v>104</v>
      </c>
      <c r="GA8" s="42">
        <v>72</v>
      </c>
      <c r="GB8" s="42">
        <v>72</v>
      </c>
      <c r="GC8" s="42">
        <v>104</v>
      </c>
      <c r="GD8" s="42">
        <v>104</v>
      </c>
      <c r="GE8" s="42" t="s">
        <v>76</v>
      </c>
      <c r="GF8" s="42">
        <v>32</v>
      </c>
      <c r="GG8" s="42">
        <v>72</v>
      </c>
      <c r="GH8" s="42">
        <v>72</v>
      </c>
      <c r="GI8" s="42">
        <v>48</v>
      </c>
      <c r="GJ8" s="42">
        <v>48</v>
      </c>
      <c r="GK8" s="42">
        <v>72</v>
      </c>
      <c r="GL8" s="42">
        <v>72</v>
      </c>
      <c r="GM8" s="42">
        <v>808</v>
      </c>
      <c r="GN8" s="42">
        <v>400</v>
      </c>
      <c r="GO8" s="42">
        <v>400</v>
      </c>
      <c r="GP8" s="42">
        <v>400</v>
      </c>
      <c r="GQ8" s="42">
        <v>176</v>
      </c>
      <c r="GR8" s="42">
        <v>176</v>
      </c>
      <c r="GS8" s="42">
        <v>176</v>
      </c>
    </row>
    <row r="9" spans="1:201" x14ac:dyDescent="0.35">
      <c r="A9" s="42">
        <v>128</v>
      </c>
      <c r="B9" s="42">
        <v>104</v>
      </c>
      <c r="C9" s="42">
        <v>104</v>
      </c>
      <c r="D9" s="42">
        <v>128</v>
      </c>
      <c r="E9" s="42">
        <v>128</v>
      </c>
      <c r="F9" s="42">
        <v>128</v>
      </c>
      <c r="G9" s="42">
        <v>288</v>
      </c>
      <c r="H9" s="42">
        <v>288</v>
      </c>
      <c r="I9" s="42">
        <v>240</v>
      </c>
      <c r="J9" s="42">
        <v>192</v>
      </c>
      <c r="K9" s="42">
        <v>192</v>
      </c>
      <c r="L9" s="42">
        <v>280</v>
      </c>
      <c r="M9" s="42">
        <v>184</v>
      </c>
      <c r="N9" s="42">
        <v>184</v>
      </c>
      <c r="O9" s="42">
        <v>112</v>
      </c>
      <c r="P9" s="42">
        <v>112</v>
      </c>
      <c r="Q9" s="42">
        <v>96</v>
      </c>
      <c r="R9" s="42">
        <v>80</v>
      </c>
      <c r="S9" s="42">
        <v>80</v>
      </c>
      <c r="T9" s="42">
        <v>104</v>
      </c>
      <c r="U9" s="42">
        <v>104</v>
      </c>
      <c r="V9" s="42">
        <v>56</v>
      </c>
      <c r="W9" s="42">
        <v>72</v>
      </c>
      <c r="X9" s="42">
        <v>72</v>
      </c>
      <c r="Y9" s="42">
        <v>72</v>
      </c>
      <c r="Z9" s="42">
        <v>136</v>
      </c>
      <c r="AA9" s="42">
        <v>136</v>
      </c>
      <c r="AB9" s="42">
        <v>136</v>
      </c>
      <c r="AC9" s="42">
        <v>72</v>
      </c>
      <c r="AD9" s="42">
        <v>72</v>
      </c>
      <c r="AE9" s="42">
        <v>72</v>
      </c>
      <c r="AF9" s="42">
        <v>72</v>
      </c>
      <c r="AG9" s="42">
        <v>80</v>
      </c>
      <c r="AH9" s="42">
        <v>80</v>
      </c>
      <c r="AI9" s="42">
        <v>104</v>
      </c>
      <c r="AJ9" s="42">
        <v>152</v>
      </c>
      <c r="AK9" s="42">
        <v>152</v>
      </c>
      <c r="AL9" s="42">
        <v>648</v>
      </c>
      <c r="AM9" s="42">
        <v>584</v>
      </c>
      <c r="AN9" s="42">
        <v>712</v>
      </c>
      <c r="AO9" s="42">
        <v>368</v>
      </c>
      <c r="AP9" s="42">
        <v>368</v>
      </c>
      <c r="AQ9" s="42">
        <v>368</v>
      </c>
      <c r="AR9" s="42">
        <v>368</v>
      </c>
      <c r="AS9" s="42">
        <v>368</v>
      </c>
      <c r="AT9" s="42">
        <v>440</v>
      </c>
      <c r="AU9" s="42">
        <v>272</v>
      </c>
      <c r="AV9" s="42">
        <v>200</v>
      </c>
      <c r="AW9" s="42">
        <v>320</v>
      </c>
      <c r="AX9" s="42">
        <v>128</v>
      </c>
      <c r="AY9" s="42">
        <v>128</v>
      </c>
      <c r="AZ9" s="42">
        <v>176</v>
      </c>
      <c r="BA9" s="42">
        <v>144</v>
      </c>
      <c r="BB9" s="42">
        <v>144</v>
      </c>
      <c r="BC9" s="42">
        <v>224</v>
      </c>
      <c r="BD9" s="42">
        <v>224</v>
      </c>
      <c r="BE9" s="42">
        <v>128</v>
      </c>
      <c r="BF9" s="42">
        <v>128</v>
      </c>
      <c r="BG9" s="42">
        <v>216</v>
      </c>
      <c r="BH9" s="42">
        <v>216</v>
      </c>
      <c r="BI9" s="42">
        <v>72</v>
      </c>
      <c r="BJ9" s="42">
        <v>88</v>
      </c>
      <c r="BK9" s="42">
        <v>104</v>
      </c>
      <c r="BL9" s="42">
        <v>112</v>
      </c>
      <c r="BM9" s="42">
        <v>112</v>
      </c>
      <c r="BN9" s="42">
        <v>968</v>
      </c>
      <c r="BO9" s="42">
        <v>328</v>
      </c>
      <c r="BP9" s="42">
        <v>584</v>
      </c>
      <c r="BQ9" s="42">
        <v>648</v>
      </c>
      <c r="BR9" s="42">
        <v>520</v>
      </c>
      <c r="BS9" s="42">
        <v>648</v>
      </c>
      <c r="BT9" s="42">
        <v>648</v>
      </c>
      <c r="BU9" s="42">
        <v>1710</v>
      </c>
      <c r="BV9" s="42">
        <v>1710</v>
      </c>
      <c r="BW9" s="42">
        <v>392</v>
      </c>
      <c r="BX9" s="42">
        <v>392</v>
      </c>
      <c r="BY9" s="42">
        <v>392</v>
      </c>
      <c r="BZ9" s="42">
        <v>296</v>
      </c>
      <c r="CA9" s="42">
        <v>132</v>
      </c>
      <c r="CB9" s="42">
        <v>132</v>
      </c>
      <c r="CC9" s="42">
        <v>132</v>
      </c>
      <c r="CD9" s="42">
        <v>131</v>
      </c>
      <c r="CE9" s="42">
        <v>131</v>
      </c>
      <c r="CF9" s="42">
        <v>184</v>
      </c>
      <c r="CG9" s="42">
        <v>184</v>
      </c>
      <c r="CH9" s="42">
        <v>184</v>
      </c>
      <c r="CI9" s="42">
        <v>104</v>
      </c>
      <c r="CJ9" s="42">
        <v>104</v>
      </c>
      <c r="CK9" s="42">
        <v>104</v>
      </c>
      <c r="CL9" s="42">
        <v>131</v>
      </c>
      <c r="CM9" s="42">
        <v>131</v>
      </c>
      <c r="CN9" s="42">
        <v>112</v>
      </c>
      <c r="CO9" s="42">
        <v>112</v>
      </c>
      <c r="CP9" s="42">
        <v>112</v>
      </c>
      <c r="CQ9" s="42">
        <v>149</v>
      </c>
      <c r="CR9" s="42">
        <v>149</v>
      </c>
      <c r="CS9" s="42">
        <v>351</v>
      </c>
      <c r="CT9" s="42">
        <v>351</v>
      </c>
      <c r="CU9" s="42">
        <v>354</v>
      </c>
      <c r="CV9" s="42">
        <v>354</v>
      </c>
      <c r="CW9" s="42">
        <v>354</v>
      </c>
      <c r="CX9" s="42">
        <v>251</v>
      </c>
      <c r="CY9" s="42">
        <v>251</v>
      </c>
      <c r="CZ9" s="42">
        <v>251</v>
      </c>
      <c r="DA9" s="42">
        <v>272</v>
      </c>
      <c r="DB9" s="42">
        <v>272</v>
      </c>
      <c r="DC9" s="42">
        <v>248</v>
      </c>
      <c r="DD9" s="42">
        <v>400</v>
      </c>
      <c r="DE9" s="42">
        <v>400</v>
      </c>
      <c r="DF9" s="42">
        <v>224</v>
      </c>
      <c r="DG9" s="42">
        <v>224</v>
      </c>
      <c r="DH9" s="42">
        <v>272</v>
      </c>
      <c r="DI9" s="42">
        <v>128</v>
      </c>
      <c r="DJ9" s="42">
        <v>128</v>
      </c>
      <c r="DK9" s="42">
        <v>128</v>
      </c>
      <c r="DL9" s="42">
        <v>176</v>
      </c>
      <c r="DM9" s="42">
        <v>96</v>
      </c>
      <c r="DN9" s="42">
        <f t="shared" si="3"/>
        <v>40</v>
      </c>
      <c r="DO9" s="42">
        <f t="shared" si="3"/>
        <v>40</v>
      </c>
      <c r="DP9" s="42">
        <f t="shared" si="3"/>
        <v>40</v>
      </c>
      <c r="DQ9" s="42">
        <v>96</v>
      </c>
      <c r="DR9" s="42">
        <v>96</v>
      </c>
      <c r="DS9" s="42">
        <v>96</v>
      </c>
      <c r="DT9" s="42">
        <v>166</v>
      </c>
      <c r="DU9" s="42">
        <v>166</v>
      </c>
      <c r="DV9" s="42">
        <v>166</v>
      </c>
      <c r="DW9" s="42">
        <v>104</v>
      </c>
      <c r="DX9" s="42">
        <v>248</v>
      </c>
      <c r="DY9" s="42">
        <v>248</v>
      </c>
      <c r="DZ9" s="42">
        <v>168</v>
      </c>
      <c r="EA9" s="42">
        <v>168</v>
      </c>
      <c r="EB9" s="42">
        <v>168</v>
      </c>
      <c r="EC9" s="42">
        <v>128</v>
      </c>
      <c r="ED9" s="42">
        <v>128</v>
      </c>
      <c r="EE9" s="42">
        <v>104</v>
      </c>
      <c r="EF9" s="42">
        <v>104</v>
      </c>
      <c r="EG9" s="42">
        <v>104</v>
      </c>
      <c r="EH9" s="42">
        <v>176</v>
      </c>
      <c r="EI9" s="42">
        <v>176</v>
      </c>
      <c r="EJ9" s="42">
        <v>176</v>
      </c>
      <c r="EK9" s="42">
        <v>40</v>
      </c>
      <c r="EL9" s="42">
        <v>88</v>
      </c>
      <c r="EM9" s="42">
        <v>88</v>
      </c>
      <c r="EN9" s="42">
        <v>224</v>
      </c>
      <c r="EO9" s="42">
        <v>224</v>
      </c>
      <c r="EP9" s="42">
        <v>224</v>
      </c>
      <c r="EQ9" s="42">
        <v>224</v>
      </c>
      <c r="ER9" s="42">
        <v>224</v>
      </c>
      <c r="ES9" s="42">
        <v>224</v>
      </c>
      <c r="ET9" s="42">
        <v>200</v>
      </c>
      <c r="EU9" s="42">
        <v>264</v>
      </c>
      <c r="EV9" s="42">
        <v>168</v>
      </c>
      <c r="EW9" s="42">
        <v>232</v>
      </c>
      <c r="EX9" s="42">
        <v>232</v>
      </c>
      <c r="EY9" s="42">
        <v>232</v>
      </c>
      <c r="EZ9" s="42">
        <v>80</v>
      </c>
      <c r="FA9" s="42">
        <v>104</v>
      </c>
      <c r="FB9" s="42">
        <v>104</v>
      </c>
      <c r="FC9" s="42">
        <v>104</v>
      </c>
      <c r="FD9" s="42">
        <v>104</v>
      </c>
      <c r="FE9" s="42">
        <v>104</v>
      </c>
      <c r="FF9" s="42">
        <v>104</v>
      </c>
      <c r="FG9" s="42">
        <v>104</v>
      </c>
      <c r="FH9" s="42">
        <v>104</v>
      </c>
      <c r="FI9" s="42">
        <v>184</v>
      </c>
      <c r="FJ9" s="42">
        <v>40</v>
      </c>
      <c r="FK9" s="42">
        <v>56</v>
      </c>
      <c r="FL9" s="42">
        <f t="shared" si="4"/>
        <v>40</v>
      </c>
      <c r="FM9" s="42">
        <v>72</v>
      </c>
      <c r="FN9" s="42">
        <v>128</v>
      </c>
      <c r="FO9" s="42">
        <v>968</v>
      </c>
      <c r="FP9">
        <v>968</v>
      </c>
      <c r="FQ9" s="42">
        <v>88</v>
      </c>
      <c r="FR9">
        <v>40</v>
      </c>
      <c r="FS9" s="42">
        <v>576</v>
      </c>
      <c r="FT9" s="42">
        <v>576</v>
      </c>
      <c r="FU9" s="42">
        <v>568</v>
      </c>
      <c r="FV9" s="42">
        <v>568</v>
      </c>
      <c r="FW9" s="42">
        <v>104</v>
      </c>
      <c r="FX9" s="42">
        <v>200</v>
      </c>
      <c r="FY9" s="42" t="s">
        <v>76</v>
      </c>
      <c r="FZ9" s="42">
        <v>168</v>
      </c>
      <c r="GA9" s="42">
        <v>104</v>
      </c>
      <c r="GB9" s="42">
        <v>104</v>
      </c>
      <c r="GC9" s="42">
        <v>136</v>
      </c>
      <c r="GD9" s="42">
        <v>136</v>
      </c>
      <c r="GE9" s="42" t="s">
        <v>76</v>
      </c>
      <c r="GF9" s="42">
        <v>40</v>
      </c>
      <c r="GG9" s="42">
        <v>96</v>
      </c>
      <c r="GH9" s="42">
        <v>88</v>
      </c>
      <c r="GI9" s="42">
        <v>56</v>
      </c>
      <c r="GJ9" s="42">
        <v>56</v>
      </c>
      <c r="GK9" s="42">
        <v>88</v>
      </c>
      <c r="GL9" s="42">
        <v>88</v>
      </c>
      <c r="GM9" s="42">
        <v>1128</v>
      </c>
      <c r="GN9" s="42">
        <v>560</v>
      </c>
      <c r="GO9" s="42">
        <v>480</v>
      </c>
      <c r="GP9" s="42">
        <v>560</v>
      </c>
      <c r="GQ9" s="42">
        <v>248</v>
      </c>
      <c r="GR9" s="42">
        <v>200</v>
      </c>
      <c r="GS9" s="42">
        <v>248</v>
      </c>
    </row>
    <row r="10" spans="1:201" x14ac:dyDescent="0.35">
      <c r="A10" s="42">
        <v>152</v>
      </c>
      <c r="B10" s="42">
        <v>152</v>
      </c>
      <c r="C10" s="42">
        <v>128</v>
      </c>
      <c r="D10" s="42">
        <v>176</v>
      </c>
      <c r="E10" s="42">
        <v>176</v>
      </c>
      <c r="F10" s="42">
        <v>176</v>
      </c>
      <c r="G10" s="42">
        <v>384</v>
      </c>
      <c r="H10" s="42">
        <v>384</v>
      </c>
      <c r="I10" s="42">
        <v>288</v>
      </c>
      <c r="J10" s="42">
        <v>256</v>
      </c>
      <c r="K10" s="42">
        <v>256</v>
      </c>
      <c r="L10" s="42">
        <v>352</v>
      </c>
      <c r="M10" s="42">
        <v>232</v>
      </c>
      <c r="N10" s="42">
        <v>232</v>
      </c>
      <c r="O10" s="42">
        <v>160</v>
      </c>
      <c r="P10" s="42">
        <v>160</v>
      </c>
      <c r="Q10" s="42">
        <v>128</v>
      </c>
      <c r="R10" s="42">
        <v>96</v>
      </c>
      <c r="S10" s="42">
        <v>96</v>
      </c>
      <c r="T10" s="42">
        <v>128</v>
      </c>
      <c r="U10" s="42">
        <v>128</v>
      </c>
      <c r="V10" s="42">
        <v>64</v>
      </c>
      <c r="W10" s="42">
        <v>96</v>
      </c>
      <c r="X10" s="42">
        <v>96</v>
      </c>
      <c r="Y10" s="42">
        <v>96</v>
      </c>
      <c r="Z10" s="42">
        <v>152</v>
      </c>
      <c r="AA10" s="42">
        <v>152</v>
      </c>
      <c r="AB10" s="42">
        <v>152</v>
      </c>
      <c r="AC10" s="42">
        <v>96</v>
      </c>
      <c r="AD10" s="42">
        <v>96</v>
      </c>
      <c r="AE10" s="42">
        <v>96</v>
      </c>
      <c r="AF10" s="42">
        <v>88</v>
      </c>
      <c r="AG10" s="42">
        <v>104</v>
      </c>
      <c r="AH10" s="42">
        <v>104</v>
      </c>
      <c r="AI10" s="42">
        <v>128</v>
      </c>
      <c r="AJ10" s="42">
        <v>176</v>
      </c>
      <c r="AK10" s="42">
        <v>176</v>
      </c>
      <c r="AL10" s="42">
        <v>904</v>
      </c>
      <c r="AM10" s="42">
        <v>1096</v>
      </c>
      <c r="AN10" s="42">
        <v>840</v>
      </c>
      <c r="AO10" s="42">
        <v>512</v>
      </c>
      <c r="AP10" s="42">
        <v>512</v>
      </c>
      <c r="AQ10" s="42">
        <v>512</v>
      </c>
      <c r="AR10" s="42">
        <v>512</v>
      </c>
      <c r="AS10" s="42">
        <v>512</v>
      </c>
      <c r="AT10" s="42">
        <v>512</v>
      </c>
      <c r="AU10" s="42">
        <v>368</v>
      </c>
      <c r="AV10" s="42">
        <v>272</v>
      </c>
      <c r="AW10" s="42">
        <v>464</v>
      </c>
      <c r="AX10" s="42">
        <v>176</v>
      </c>
      <c r="AY10" s="42">
        <v>176</v>
      </c>
      <c r="AZ10" s="42">
        <v>248</v>
      </c>
      <c r="BA10" s="42">
        <v>176</v>
      </c>
      <c r="BB10" s="42">
        <v>224</v>
      </c>
      <c r="BC10" s="42">
        <v>264</v>
      </c>
      <c r="BD10" s="42">
        <v>264</v>
      </c>
      <c r="BE10" s="42">
        <v>168</v>
      </c>
      <c r="BF10" s="42">
        <v>168</v>
      </c>
      <c r="BG10" s="42">
        <v>264</v>
      </c>
      <c r="BH10" s="42">
        <v>264</v>
      </c>
      <c r="BI10" s="42">
        <v>80</v>
      </c>
      <c r="BJ10" s="42">
        <v>144</v>
      </c>
      <c r="BK10" s="42">
        <v>224</v>
      </c>
      <c r="BL10" s="42">
        <v>208</v>
      </c>
      <c r="BM10" s="42">
        <v>208</v>
      </c>
      <c r="BN10" s="42">
        <v>1608</v>
      </c>
      <c r="BO10" s="42">
        <v>392</v>
      </c>
      <c r="BP10" s="42">
        <v>712</v>
      </c>
      <c r="BQ10" s="42">
        <v>968</v>
      </c>
      <c r="BR10" s="42">
        <v>712</v>
      </c>
      <c r="BS10" s="42">
        <v>840</v>
      </c>
      <c r="BT10" s="42">
        <v>840</v>
      </c>
      <c r="BU10" s="42">
        <v>2046</v>
      </c>
      <c r="BV10" s="42">
        <v>2046</v>
      </c>
      <c r="BW10" s="42">
        <v>440</v>
      </c>
      <c r="BX10" s="42">
        <v>440</v>
      </c>
      <c r="BY10" s="42">
        <v>440</v>
      </c>
      <c r="BZ10" s="42">
        <v>344</v>
      </c>
      <c r="CA10" s="42">
        <v>148</v>
      </c>
      <c r="CB10" s="42">
        <v>148</v>
      </c>
      <c r="CC10" s="42">
        <v>148</v>
      </c>
      <c r="CD10" s="42">
        <v>147</v>
      </c>
      <c r="CE10" s="42">
        <v>147</v>
      </c>
      <c r="CF10" s="42">
        <v>216</v>
      </c>
      <c r="CG10" s="42">
        <v>216</v>
      </c>
      <c r="CH10" s="42">
        <v>216</v>
      </c>
      <c r="CI10" s="42">
        <v>136</v>
      </c>
      <c r="CJ10" s="42">
        <v>136</v>
      </c>
      <c r="CK10" s="42">
        <v>136</v>
      </c>
      <c r="CL10" s="42">
        <v>147</v>
      </c>
      <c r="CM10" s="42">
        <v>147</v>
      </c>
      <c r="CN10" s="42">
        <v>128</v>
      </c>
      <c r="CO10" s="42">
        <v>128</v>
      </c>
      <c r="CP10" s="42">
        <v>128</v>
      </c>
      <c r="CQ10" s="42">
        <v>173</v>
      </c>
      <c r="CR10" s="42">
        <v>173</v>
      </c>
      <c r="CS10" s="42">
        <v>431</v>
      </c>
      <c r="CT10" s="42">
        <v>431</v>
      </c>
      <c r="CU10" s="42">
        <v>402</v>
      </c>
      <c r="CV10" s="42">
        <v>402</v>
      </c>
      <c r="CW10" s="42">
        <v>402</v>
      </c>
      <c r="CX10" s="42">
        <v>283</v>
      </c>
      <c r="CY10" s="42">
        <v>283</v>
      </c>
      <c r="CZ10" s="42">
        <v>283</v>
      </c>
      <c r="DA10" s="42">
        <v>344</v>
      </c>
      <c r="DB10" s="42">
        <v>344</v>
      </c>
      <c r="DC10" s="42">
        <v>320</v>
      </c>
      <c r="DD10" s="42">
        <v>496</v>
      </c>
      <c r="DE10" s="42">
        <v>496</v>
      </c>
      <c r="DF10" s="42">
        <v>256</v>
      </c>
      <c r="DG10" s="42">
        <v>256</v>
      </c>
      <c r="DH10" s="42">
        <v>320</v>
      </c>
      <c r="DI10" s="42">
        <v>176</v>
      </c>
      <c r="DJ10" s="42">
        <v>176</v>
      </c>
      <c r="DK10" s="42">
        <v>160</v>
      </c>
      <c r="DL10" s="42">
        <v>224</v>
      </c>
      <c r="DM10" s="42">
        <v>128</v>
      </c>
      <c r="DN10" s="42">
        <f t="shared" si="3"/>
        <v>48</v>
      </c>
      <c r="DO10" s="42">
        <f t="shared" si="3"/>
        <v>48</v>
      </c>
      <c r="DP10" s="42">
        <f t="shared" si="3"/>
        <v>48</v>
      </c>
      <c r="DQ10" s="42">
        <v>120</v>
      </c>
      <c r="DR10" s="42">
        <v>120</v>
      </c>
      <c r="DS10" s="42">
        <v>120</v>
      </c>
      <c r="DT10" s="42">
        <v>198</v>
      </c>
      <c r="DU10" s="42">
        <v>198</v>
      </c>
      <c r="DV10" s="42">
        <v>198</v>
      </c>
      <c r="DW10" s="42">
        <v>128</v>
      </c>
      <c r="DX10" s="42">
        <v>272</v>
      </c>
      <c r="DY10" s="42">
        <v>272</v>
      </c>
      <c r="DZ10" s="42">
        <v>232</v>
      </c>
      <c r="EA10" s="42">
        <v>232</v>
      </c>
      <c r="EB10" s="42">
        <v>232</v>
      </c>
      <c r="EC10" s="42">
        <v>144</v>
      </c>
      <c r="ED10" s="42">
        <v>160</v>
      </c>
      <c r="EE10" s="42">
        <v>136</v>
      </c>
      <c r="EF10" s="42">
        <v>136</v>
      </c>
      <c r="EG10" s="42">
        <v>136</v>
      </c>
      <c r="EH10" s="42">
        <v>224</v>
      </c>
      <c r="EI10" s="42">
        <v>224</v>
      </c>
      <c r="EJ10" s="42">
        <v>224</v>
      </c>
      <c r="EK10" s="42">
        <v>48</v>
      </c>
      <c r="EL10" s="42">
        <v>104</v>
      </c>
      <c r="EM10" s="42">
        <v>104</v>
      </c>
      <c r="EN10" s="42">
        <v>272</v>
      </c>
      <c r="EO10" s="42">
        <v>272</v>
      </c>
      <c r="EP10" s="42">
        <v>272</v>
      </c>
      <c r="EQ10" s="42">
        <v>272</v>
      </c>
      <c r="ER10" s="42">
        <v>272</v>
      </c>
      <c r="ES10" s="42">
        <v>272</v>
      </c>
      <c r="ET10" s="42">
        <v>232</v>
      </c>
      <c r="EU10" s="42">
        <v>328</v>
      </c>
      <c r="EV10" s="42">
        <v>232</v>
      </c>
      <c r="EW10" s="42">
        <v>280</v>
      </c>
      <c r="EX10" s="42">
        <v>280</v>
      </c>
      <c r="EY10" s="42">
        <v>280</v>
      </c>
      <c r="EZ10" s="42">
        <v>88</v>
      </c>
      <c r="FA10" s="42">
        <v>120</v>
      </c>
      <c r="FB10" s="42">
        <v>120</v>
      </c>
      <c r="FC10" s="42">
        <v>120</v>
      </c>
      <c r="FD10" s="42">
        <v>120</v>
      </c>
      <c r="FE10" s="42">
        <v>120</v>
      </c>
      <c r="FF10" s="42">
        <v>120</v>
      </c>
      <c r="FG10" s="42">
        <v>136</v>
      </c>
      <c r="FH10" s="42">
        <v>136</v>
      </c>
      <c r="FI10" s="42">
        <v>216</v>
      </c>
      <c r="FJ10" s="42">
        <v>48</v>
      </c>
      <c r="FK10" s="42">
        <v>64</v>
      </c>
      <c r="FL10" s="42">
        <f t="shared" si="4"/>
        <v>48</v>
      </c>
      <c r="FM10" s="42">
        <v>112</v>
      </c>
      <c r="FN10" s="42">
        <v>160</v>
      </c>
      <c r="FO10" s="42">
        <v>1288</v>
      </c>
      <c r="FP10">
        <v>1288</v>
      </c>
      <c r="FQ10" s="42">
        <v>104</v>
      </c>
      <c r="FR10">
        <v>48</v>
      </c>
      <c r="FS10" s="42">
        <v>1216</v>
      </c>
      <c r="FT10" s="42">
        <v>816</v>
      </c>
      <c r="FU10" s="42">
        <v>728</v>
      </c>
      <c r="FV10" s="42">
        <v>728</v>
      </c>
      <c r="FW10" s="42">
        <v>128</v>
      </c>
      <c r="FX10" s="42">
        <v>272</v>
      </c>
      <c r="FY10" s="42" t="s">
        <v>76</v>
      </c>
      <c r="FZ10" s="42">
        <v>232</v>
      </c>
      <c r="GA10" s="42">
        <v>168</v>
      </c>
      <c r="GB10" s="42">
        <v>168</v>
      </c>
      <c r="GC10" s="42">
        <v>168</v>
      </c>
      <c r="GD10" s="42">
        <v>168</v>
      </c>
      <c r="GE10" s="42" t="s">
        <v>76</v>
      </c>
      <c r="GF10" s="42">
        <v>48</v>
      </c>
      <c r="GG10" s="42">
        <v>144</v>
      </c>
      <c r="GH10" s="42">
        <v>120</v>
      </c>
      <c r="GI10" s="42">
        <v>80</v>
      </c>
      <c r="GJ10" s="42">
        <v>80</v>
      </c>
      <c r="GK10" s="42">
        <v>120</v>
      </c>
      <c r="GL10" s="42">
        <v>104</v>
      </c>
      <c r="GM10" s="42">
        <v>1448</v>
      </c>
      <c r="GN10" s="42">
        <v>640</v>
      </c>
      <c r="GO10" s="42">
        <v>560</v>
      </c>
      <c r="GP10" s="42">
        <v>640</v>
      </c>
      <c r="GQ10" s="42">
        <v>320</v>
      </c>
      <c r="GR10" s="42">
        <v>248</v>
      </c>
      <c r="GS10" s="42">
        <v>320</v>
      </c>
    </row>
    <row r="11" spans="1:201" x14ac:dyDescent="0.35">
      <c r="A11" s="42">
        <v>176</v>
      </c>
      <c r="B11" s="42">
        <v>200</v>
      </c>
      <c r="C11" s="42">
        <v>152</v>
      </c>
      <c r="D11" s="42">
        <v>200</v>
      </c>
      <c r="E11" s="42">
        <v>200</v>
      </c>
      <c r="F11" s="42">
        <v>200</v>
      </c>
      <c r="G11" s="42">
        <v>432</v>
      </c>
      <c r="H11" s="42">
        <v>432</v>
      </c>
      <c r="I11" s="42">
        <v>336</v>
      </c>
      <c r="J11" s="42">
        <v>272</v>
      </c>
      <c r="K11" s="42">
        <v>272</v>
      </c>
      <c r="L11" s="42">
        <v>424</v>
      </c>
      <c r="M11" s="42">
        <v>280</v>
      </c>
      <c r="N11" s="42">
        <v>280</v>
      </c>
      <c r="O11" s="42">
        <v>208</v>
      </c>
      <c r="P11" s="42">
        <v>208</v>
      </c>
      <c r="Q11" s="42">
        <v>144</v>
      </c>
      <c r="R11" s="42">
        <v>112</v>
      </c>
      <c r="S11" s="42">
        <v>128</v>
      </c>
      <c r="T11" s="42">
        <v>152</v>
      </c>
      <c r="U11" s="42">
        <v>152</v>
      </c>
      <c r="V11" s="42">
        <v>80</v>
      </c>
      <c r="W11" s="42">
        <v>104</v>
      </c>
      <c r="X11" s="42">
        <v>104</v>
      </c>
      <c r="Y11" s="42">
        <v>104</v>
      </c>
      <c r="Z11" s="42">
        <v>184</v>
      </c>
      <c r="AA11" s="42">
        <v>184</v>
      </c>
      <c r="AB11" s="42">
        <v>184</v>
      </c>
      <c r="AC11" s="42">
        <v>112</v>
      </c>
      <c r="AD11" s="42">
        <v>112</v>
      </c>
      <c r="AE11" s="42">
        <v>112</v>
      </c>
      <c r="AF11" s="42">
        <v>104</v>
      </c>
      <c r="AG11" s="42">
        <v>128</v>
      </c>
      <c r="AH11" s="42">
        <v>128</v>
      </c>
      <c r="AI11" s="42">
        <v>152</v>
      </c>
      <c r="AJ11" s="42">
        <v>200</v>
      </c>
      <c r="AK11" s="42">
        <v>200</v>
      </c>
      <c r="AL11" s="42">
        <v>1416</v>
      </c>
      <c r="AM11" s="42">
        <v>1352</v>
      </c>
      <c r="AN11" s="42">
        <v>968</v>
      </c>
      <c r="AO11" s="42">
        <v>584</v>
      </c>
      <c r="AP11" s="42">
        <v>584</v>
      </c>
      <c r="AQ11" s="42">
        <v>584</v>
      </c>
      <c r="AR11" s="42">
        <v>584</v>
      </c>
      <c r="AS11" s="42">
        <v>584</v>
      </c>
      <c r="AT11" s="42">
        <v>584</v>
      </c>
      <c r="AU11" s="42">
        <v>464</v>
      </c>
      <c r="AV11" s="42">
        <v>416</v>
      </c>
      <c r="AW11" s="42">
        <v>536</v>
      </c>
      <c r="AX11" s="42">
        <v>248</v>
      </c>
      <c r="AY11" s="42">
        <v>248</v>
      </c>
      <c r="AZ11" s="42">
        <v>320</v>
      </c>
      <c r="BA11" s="42">
        <v>208</v>
      </c>
      <c r="BB11" s="42">
        <v>304</v>
      </c>
      <c r="BC11" s="42">
        <v>344</v>
      </c>
      <c r="BD11" s="42">
        <v>344</v>
      </c>
      <c r="BE11" s="42">
        <v>208</v>
      </c>
      <c r="BF11" s="42">
        <v>208</v>
      </c>
      <c r="BG11" s="42">
        <v>328</v>
      </c>
      <c r="BH11" s="42">
        <v>328</v>
      </c>
      <c r="BI11" s="42">
        <v>104</v>
      </c>
      <c r="BJ11" s="42">
        <v>208</v>
      </c>
      <c r="BK11" s="42">
        <v>304</v>
      </c>
      <c r="BL11" s="42">
        <v>304</v>
      </c>
      <c r="BM11" s="42">
        <v>304</v>
      </c>
      <c r="BN11" s="42">
        <v>1928</v>
      </c>
      <c r="BO11" s="42">
        <v>456</v>
      </c>
      <c r="BP11" s="42">
        <v>840</v>
      </c>
      <c r="BQ11" s="42">
        <v>1096</v>
      </c>
      <c r="BR11" s="42">
        <v>776</v>
      </c>
      <c r="BS11" s="42">
        <v>968</v>
      </c>
      <c r="BT11" s="42">
        <v>968</v>
      </c>
      <c r="BU11" s="42">
        <v>2382</v>
      </c>
      <c r="BV11" s="42">
        <v>2382</v>
      </c>
      <c r="BW11" s="42">
        <v>488</v>
      </c>
      <c r="BX11" s="42">
        <v>488</v>
      </c>
      <c r="BY11" s="42">
        <v>488</v>
      </c>
      <c r="BZ11" s="42">
        <v>440</v>
      </c>
      <c r="CA11" s="42">
        <v>164</v>
      </c>
      <c r="CB11" s="42">
        <v>164</v>
      </c>
      <c r="CC11" s="42">
        <v>164</v>
      </c>
      <c r="CD11" s="42">
        <v>155</v>
      </c>
      <c r="CE11" s="42">
        <v>155</v>
      </c>
      <c r="CF11" s="42">
        <v>248</v>
      </c>
      <c r="CG11" s="42">
        <v>248</v>
      </c>
      <c r="CH11" s="42">
        <v>248</v>
      </c>
      <c r="CI11" s="42">
        <v>184</v>
      </c>
      <c r="CJ11" s="42">
        <v>184</v>
      </c>
      <c r="CK11" s="42">
        <v>184</v>
      </c>
      <c r="CL11" s="42">
        <v>155</v>
      </c>
      <c r="CM11" s="42">
        <v>155</v>
      </c>
      <c r="CN11" s="42">
        <v>144</v>
      </c>
      <c r="CO11" s="42">
        <v>144</v>
      </c>
      <c r="CP11" s="42">
        <v>144</v>
      </c>
      <c r="CQ11" s="42">
        <v>197</v>
      </c>
      <c r="CR11" s="42">
        <v>197</v>
      </c>
      <c r="CS11" s="42">
        <v>495</v>
      </c>
      <c r="CT11" s="42">
        <v>495</v>
      </c>
      <c r="CU11" s="42">
        <v>498</v>
      </c>
      <c r="CV11" s="42">
        <v>498</v>
      </c>
      <c r="CW11" s="42">
        <v>498</v>
      </c>
      <c r="CX11" s="42">
        <v>347</v>
      </c>
      <c r="CY11" s="42">
        <v>347</v>
      </c>
      <c r="CZ11" s="42">
        <v>347</v>
      </c>
      <c r="DA11" s="42">
        <v>416</v>
      </c>
      <c r="DB11" s="42">
        <v>416</v>
      </c>
      <c r="DC11" s="42">
        <v>464</v>
      </c>
      <c r="DD11" s="42">
        <v>592</v>
      </c>
      <c r="DE11" s="42">
        <v>592</v>
      </c>
      <c r="DF11" s="42">
        <v>320</v>
      </c>
      <c r="DG11" s="42">
        <v>320</v>
      </c>
      <c r="DH11" s="42">
        <v>368</v>
      </c>
      <c r="DI11" s="42">
        <v>224</v>
      </c>
      <c r="DJ11" s="42">
        <v>224</v>
      </c>
      <c r="DK11" s="42">
        <v>192</v>
      </c>
      <c r="DL11" s="42">
        <v>256</v>
      </c>
      <c r="DM11" s="42">
        <v>144</v>
      </c>
      <c r="DN11" s="42">
        <f t="shared" si="3"/>
        <v>56</v>
      </c>
      <c r="DO11" s="42">
        <f t="shared" si="3"/>
        <v>56</v>
      </c>
      <c r="DP11" s="42">
        <f t="shared" si="3"/>
        <v>56</v>
      </c>
      <c r="DQ11" s="42">
        <v>144</v>
      </c>
      <c r="DR11" s="42">
        <v>144</v>
      </c>
      <c r="DS11" s="42">
        <v>144</v>
      </c>
      <c r="DT11" s="42">
        <v>214</v>
      </c>
      <c r="DU11" s="42">
        <v>214</v>
      </c>
      <c r="DV11" s="42">
        <v>214</v>
      </c>
      <c r="DW11" s="42">
        <v>152</v>
      </c>
      <c r="DX11" s="42">
        <v>320</v>
      </c>
      <c r="DY11" s="42">
        <v>320</v>
      </c>
      <c r="DZ11" s="42">
        <v>264</v>
      </c>
      <c r="EA11" s="42">
        <v>264</v>
      </c>
      <c r="EB11" s="42">
        <v>264</v>
      </c>
      <c r="EC11" s="42">
        <v>160</v>
      </c>
      <c r="ED11" s="42">
        <v>192</v>
      </c>
      <c r="EE11" s="42">
        <v>152</v>
      </c>
      <c r="EF11" s="42">
        <v>152</v>
      </c>
      <c r="EG11" s="42">
        <v>152</v>
      </c>
      <c r="EH11" s="42">
        <v>272</v>
      </c>
      <c r="EI11" s="42">
        <v>272</v>
      </c>
      <c r="EJ11" s="42">
        <v>272</v>
      </c>
      <c r="EK11" s="42">
        <v>56</v>
      </c>
      <c r="EL11" s="42">
        <v>120</v>
      </c>
      <c r="EM11" s="42">
        <v>120</v>
      </c>
      <c r="EN11" s="42">
        <v>320</v>
      </c>
      <c r="EO11" s="42">
        <v>320</v>
      </c>
      <c r="EP11" s="42">
        <v>320</v>
      </c>
      <c r="EQ11" s="42">
        <v>368</v>
      </c>
      <c r="ER11" s="42">
        <v>368</v>
      </c>
      <c r="ES11" s="42">
        <v>368</v>
      </c>
      <c r="ET11" s="42">
        <v>296</v>
      </c>
      <c r="EU11" s="42">
        <v>392</v>
      </c>
      <c r="EV11" s="42">
        <v>296</v>
      </c>
      <c r="EW11" s="42">
        <v>328</v>
      </c>
      <c r="EX11" s="42">
        <v>328</v>
      </c>
      <c r="EY11" s="42">
        <v>328</v>
      </c>
      <c r="EZ11" s="42">
        <v>104</v>
      </c>
      <c r="FA11" s="42">
        <v>152</v>
      </c>
      <c r="FB11" s="42">
        <v>152</v>
      </c>
      <c r="FC11" s="42">
        <v>152</v>
      </c>
      <c r="FD11" s="42">
        <v>136</v>
      </c>
      <c r="FE11" s="42">
        <v>136</v>
      </c>
      <c r="FF11" s="42">
        <v>136</v>
      </c>
      <c r="FG11" s="42">
        <v>152</v>
      </c>
      <c r="FH11" s="42">
        <v>152</v>
      </c>
      <c r="FI11" s="42">
        <v>248</v>
      </c>
      <c r="FJ11" s="42">
        <v>56</v>
      </c>
      <c r="FK11" s="42">
        <v>72</v>
      </c>
      <c r="FL11" s="42">
        <f t="shared" si="4"/>
        <v>56</v>
      </c>
      <c r="FM11" s="42">
        <v>128</v>
      </c>
      <c r="FN11" s="42">
        <v>192</v>
      </c>
      <c r="FO11" s="42">
        <v>1608</v>
      </c>
      <c r="FP11">
        <v>1608</v>
      </c>
      <c r="FQ11" s="42">
        <v>112</v>
      </c>
      <c r="FR11">
        <v>80</v>
      </c>
      <c r="FS11" s="42">
        <v>1376</v>
      </c>
      <c r="FT11" s="42">
        <v>976</v>
      </c>
      <c r="FU11" s="42">
        <v>888</v>
      </c>
      <c r="FV11" s="42">
        <v>888</v>
      </c>
      <c r="FW11" s="42">
        <v>152</v>
      </c>
      <c r="FX11" s="42">
        <v>344</v>
      </c>
      <c r="FY11" s="42" t="s">
        <v>76</v>
      </c>
      <c r="FZ11" s="42">
        <v>360</v>
      </c>
      <c r="GA11" s="42">
        <v>232</v>
      </c>
      <c r="GB11" s="42">
        <v>232</v>
      </c>
      <c r="GC11" s="42">
        <v>200</v>
      </c>
      <c r="GD11" s="42">
        <v>200</v>
      </c>
      <c r="GE11" s="42" t="s">
        <v>76</v>
      </c>
      <c r="GF11" s="42">
        <v>64</v>
      </c>
      <c r="GG11" s="42">
        <v>216</v>
      </c>
      <c r="GH11" s="42">
        <v>280</v>
      </c>
      <c r="GI11" s="42">
        <v>104</v>
      </c>
      <c r="GJ11" s="42">
        <v>104</v>
      </c>
      <c r="GK11" s="42">
        <v>136</v>
      </c>
      <c r="GL11" s="42">
        <v>120</v>
      </c>
      <c r="GM11" s="42">
        <v>1768</v>
      </c>
      <c r="GN11" s="42">
        <v>720</v>
      </c>
      <c r="GO11" s="42">
        <v>640</v>
      </c>
      <c r="GP11" s="42">
        <v>720</v>
      </c>
      <c r="GQ11" s="42">
        <v>368</v>
      </c>
      <c r="GR11" s="42">
        <v>272</v>
      </c>
      <c r="GS11" s="42">
        <v>368</v>
      </c>
    </row>
    <row r="12" spans="1:201" x14ac:dyDescent="0.35">
      <c r="A12" s="42">
        <v>200</v>
      </c>
      <c r="B12" s="42">
        <v>224</v>
      </c>
      <c r="C12" s="42">
        <v>176</v>
      </c>
      <c r="D12" s="42">
        <v>224</v>
      </c>
      <c r="E12" s="42">
        <v>224</v>
      </c>
      <c r="F12" s="42">
        <v>224</v>
      </c>
      <c r="G12" s="42">
        <v>528</v>
      </c>
      <c r="H12" s="42">
        <v>528</v>
      </c>
      <c r="I12" s="42">
        <v>384</v>
      </c>
      <c r="J12" s="42">
        <v>320</v>
      </c>
      <c r="K12" s="42">
        <v>320</v>
      </c>
      <c r="L12" s="42">
        <v>496</v>
      </c>
      <c r="M12" s="42">
        <v>328</v>
      </c>
      <c r="N12" s="42">
        <v>328</v>
      </c>
      <c r="O12" s="42">
        <v>232</v>
      </c>
      <c r="P12" s="42">
        <v>232</v>
      </c>
      <c r="Q12" s="42">
        <v>160</v>
      </c>
      <c r="R12" s="42">
        <v>128</v>
      </c>
      <c r="S12" s="42">
        <v>144</v>
      </c>
      <c r="T12" s="42">
        <v>176</v>
      </c>
      <c r="U12" s="42">
        <v>176</v>
      </c>
      <c r="V12" s="42">
        <v>88</v>
      </c>
      <c r="W12" s="42">
        <v>120</v>
      </c>
      <c r="X12" s="42">
        <v>120</v>
      </c>
      <c r="Y12" s="42">
        <v>120</v>
      </c>
      <c r="Z12" s="42">
        <v>232</v>
      </c>
      <c r="AA12" s="42">
        <v>232</v>
      </c>
      <c r="AB12" s="42">
        <v>232</v>
      </c>
      <c r="AC12" s="42">
        <v>120</v>
      </c>
      <c r="AD12" s="42">
        <v>120</v>
      </c>
      <c r="AE12" s="42">
        <v>120</v>
      </c>
      <c r="AF12" s="42">
        <v>120</v>
      </c>
      <c r="AG12" s="42">
        <v>152</v>
      </c>
      <c r="AH12" s="42">
        <v>152</v>
      </c>
      <c r="AI12" s="42">
        <v>176</v>
      </c>
      <c r="AJ12" s="42">
        <v>208</v>
      </c>
      <c r="AK12" s="42">
        <v>208</v>
      </c>
      <c r="AL12" s="42">
        <v>1672</v>
      </c>
      <c r="AM12" s="42">
        <v>1608</v>
      </c>
      <c r="AN12" s="42">
        <v>1096</v>
      </c>
      <c r="AO12" s="42">
        <v>656</v>
      </c>
      <c r="AP12" s="42">
        <v>656</v>
      </c>
      <c r="AQ12" s="42">
        <v>656</v>
      </c>
      <c r="AR12" s="42">
        <v>656</v>
      </c>
      <c r="AS12" s="42">
        <v>656</v>
      </c>
      <c r="AT12" s="42">
        <v>656</v>
      </c>
      <c r="AU12" s="42">
        <v>560</v>
      </c>
      <c r="AV12" s="42">
        <v>488</v>
      </c>
      <c r="AW12" s="42">
        <v>608</v>
      </c>
      <c r="AX12" s="42">
        <v>272</v>
      </c>
      <c r="AY12" s="42">
        <v>272</v>
      </c>
      <c r="AZ12" s="42">
        <v>448</v>
      </c>
      <c r="BA12" s="42">
        <v>272</v>
      </c>
      <c r="BB12" s="42">
        <v>464</v>
      </c>
      <c r="BC12" s="42">
        <v>424</v>
      </c>
      <c r="BD12" s="42">
        <v>424</v>
      </c>
      <c r="BE12" s="42">
        <v>248</v>
      </c>
      <c r="BF12" s="42">
        <v>248</v>
      </c>
      <c r="BG12" s="42">
        <v>392</v>
      </c>
      <c r="BH12" s="42">
        <v>392</v>
      </c>
      <c r="BI12" s="42">
        <v>136</v>
      </c>
      <c r="BJ12" s="42">
        <v>240</v>
      </c>
      <c r="BK12" s="42">
        <v>344</v>
      </c>
      <c r="BL12" s="42">
        <v>416</v>
      </c>
      <c r="BM12" s="42">
        <v>416</v>
      </c>
      <c r="BN12" s="42">
        <v>2568</v>
      </c>
      <c r="BO12" s="42">
        <v>584</v>
      </c>
      <c r="BP12" s="42">
        <v>1096</v>
      </c>
      <c r="BQ12" s="42">
        <v>1480</v>
      </c>
      <c r="BR12" s="42">
        <v>1096</v>
      </c>
      <c r="BS12" s="42">
        <v>1160</v>
      </c>
      <c r="BT12" s="42">
        <v>1160</v>
      </c>
      <c r="BU12" s="42">
        <v>2718</v>
      </c>
      <c r="BV12" s="42">
        <v>2718</v>
      </c>
      <c r="BW12" s="42">
        <v>536</v>
      </c>
      <c r="BX12" s="42">
        <v>536</v>
      </c>
      <c r="BY12" s="42">
        <v>536</v>
      </c>
      <c r="BZ12" s="42">
        <v>536</v>
      </c>
      <c r="CA12" s="42">
        <v>180</v>
      </c>
      <c r="CB12" s="42">
        <v>180</v>
      </c>
      <c r="CC12" s="42">
        <v>180</v>
      </c>
      <c r="CD12" s="42">
        <v>163</v>
      </c>
      <c r="CE12" s="42">
        <v>163</v>
      </c>
      <c r="CF12" s="42">
        <v>264</v>
      </c>
      <c r="CG12" s="42">
        <v>264</v>
      </c>
      <c r="CH12" s="42">
        <v>264</v>
      </c>
      <c r="CI12" s="42">
        <v>216</v>
      </c>
      <c r="CJ12" s="42">
        <v>216</v>
      </c>
      <c r="CK12" s="42">
        <v>216</v>
      </c>
      <c r="CL12" s="42">
        <v>163</v>
      </c>
      <c r="CM12" s="42">
        <v>163</v>
      </c>
      <c r="CN12" s="42">
        <v>160</v>
      </c>
      <c r="CO12" s="42">
        <v>160</v>
      </c>
      <c r="CP12" s="42">
        <v>160</v>
      </c>
      <c r="CQ12" s="42">
        <v>221</v>
      </c>
      <c r="CR12" s="42">
        <v>221</v>
      </c>
      <c r="CS12" s="42">
        <v>559</v>
      </c>
      <c r="CT12" s="42">
        <v>559</v>
      </c>
      <c r="CU12" s="42">
        <v>570</v>
      </c>
      <c r="CV12" s="42">
        <v>570</v>
      </c>
      <c r="CW12" s="42">
        <v>570</v>
      </c>
      <c r="CX12" s="42">
        <v>475</v>
      </c>
      <c r="CY12" s="42">
        <v>475</v>
      </c>
      <c r="CZ12" s="42">
        <v>475</v>
      </c>
      <c r="DA12" s="42">
        <v>560</v>
      </c>
      <c r="DB12" s="42">
        <v>488</v>
      </c>
      <c r="DC12" s="42">
        <v>608</v>
      </c>
      <c r="DD12" s="42">
        <v>688</v>
      </c>
      <c r="DE12" s="42">
        <v>688</v>
      </c>
      <c r="DF12" s="42">
        <v>416</v>
      </c>
      <c r="DG12" s="42">
        <v>416</v>
      </c>
      <c r="DH12" s="42">
        <v>464</v>
      </c>
      <c r="DI12" s="42">
        <v>320</v>
      </c>
      <c r="DJ12" s="42">
        <v>320</v>
      </c>
      <c r="DK12" s="42">
        <v>288</v>
      </c>
      <c r="DL12" s="42">
        <v>304</v>
      </c>
      <c r="DM12" s="42">
        <v>176</v>
      </c>
      <c r="DN12" s="42">
        <f t="shared" si="3"/>
        <v>64</v>
      </c>
      <c r="DO12" s="42">
        <f t="shared" si="3"/>
        <v>64</v>
      </c>
      <c r="DP12" s="42">
        <f t="shared" si="3"/>
        <v>64</v>
      </c>
      <c r="DQ12" s="42">
        <v>168</v>
      </c>
      <c r="DR12" s="42">
        <v>168</v>
      </c>
      <c r="DS12" s="42">
        <v>168</v>
      </c>
      <c r="DT12" s="42">
        <v>230</v>
      </c>
      <c r="DU12" s="42">
        <v>230</v>
      </c>
      <c r="DV12" s="42">
        <v>230</v>
      </c>
      <c r="DW12" s="42">
        <v>176</v>
      </c>
      <c r="DX12" s="42">
        <v>344</v>
      </c>
      <c r="DY12" s="42">
        <v>344</v>
      </c>
      <c r="DZ12" s="42">
        <v>296</v>
      </c>
      <c r="EA12" s="42">
        <v>296</v>
      </c>
      <c r="EB12" s="42">
        <v>296</v>
      </c>
      <c r="EC12" s="42">
        <v>176</v>
      </c>
      <c r="ED12" s="42">
        <v>208</v>
      </c>
      <c r="EE12" s="42">
        <v>184</v>
      </c>
      <c r="EF12" s="42">
        <v>184</v>
      </c>
      <c r="EG12" s="42">
        <v>184</v>
      </c>
      <c r="EH12" s="42">
        <v>296</v>
      </c>
      <c r="EI12" s="42">
        <v>296</v>
      </c>
      <c r="EJ12" s="42">
        <v>296</v>
      </c>
      <c r="EK12" s="42">
        <v>64</v>
      </c>
      <c r="EL12" s="42">
        <v>136</v>
      </c>
      <c r="EM12" s="42">
        <v>136</v>
      </c>
      <c r="EN12" s="42">
        <v>368</v>
      </c>
      <c r="EO12" s="42">
        <v>368</v>
      </c>
      <c r="EP12" s="42">
        <v>368</v>
      </c>
      <c r="EQ12" s="42">
        <v>416</v>
      </c>
      <c r="ER12" s="42">
        <v>416</v>
      </c>
      <c r="ES12" s="42">
        <v>416</v>
      </c>
      <c r="ET12" s="42">
        <v>360</v>
      </c>
      <c r="EU12" s="42">
        <v>424</v>
      </c>
      <c r="EV12" s="42">
        <v>360</v>
      </c>
      <c r="EW12" s="42">
        <v>376</v>
      </c>
      <c r="EX12" s="42">
        <v>376</v>
      </c>
      <c r="EY12" s="42">
        <v>376</v>
      </c>
      <c r="EZ12" s="42">
        <v>112</v>
      </c>
      <c r="FA12" s="42">
        <v>168</v>
      </c>
      <c r="FB12" s="42">
        <v>168</v>
      </c>
      <c r="FC12" s="42">
        <v>168</v>
      </c>
      <c r="FD12" s="42">
        <v>152</v>
      </c>
      <c r="FE12" s="42">
        <v>152</v>
      </c>
      <c r="FF12" s="42">
        <v>152</v>
      </c>
      <c r="FG12" s="42">
        <v>168</v>
      </c>
      <c r="FH12" s="42">
        <v>168</v>
      </c>
      <c r="FI12" s="42">
        <v>280</v>
      </c>
      <c r="FJ12" s="42">
        <v>64</v>
      </c>
      <c r="FK12" s="42">
        <v>80</v>
      </c>
      <c r="FL12" s="42">
        <f t="shared" si="4"/>
        <v>64</v>
      </c>
      <c r="FM12" s="42">
        <v>144</v>
      </c>
      <c r="FN12" s="42">
        <v>224</v>
      </c>
      <c r="FO12" s="42">
        <v>1928</v>
      </c>
      <c r="FP12">
        <v>1928</v>
      </c>
      <c r="FQ12" s="42">
        <v>136</v>
      </c>
      <c r="FR12">
        <v>96</v>
      </c>
      <c r="FS12" s="42">
        <v>1536</v>
      </c>
      <c r="FT12" s="42">
        <v>1136</v>
      </c>
      <c r="FU12" s="42">
        <v>1048</v>
      </c>
      <c r="FV12" s="42">
        <v>1048</v>
      </c>
      <c r="FW12" s="42">
        <v>176</v>
      </c>
      <c r="FX12" s="42">
        <v>440</v>
      </c>
      <c r="FY12" s="42" t="s">
        <v>76</v>
      </c>
      <c r="FZ12" s="42">
        <v>384</v>
      </c>
      <c r="GA12" s="42">
        <v>296</v>
      </c>
      <c r="GB12" s="42">
        <v>296</v>
      </c>
      <c r="GC12" s="42">
        <v>216</v>
      </c>
      <c r="GD12" s="42">
        <v>216</v>
      </c>
      <c r="GE12" s="42" t="s">
        <v>76</v>
      </c>
      <c r="GF12" s="42">
        <v>80</v>
      </c>
      <c r="GG12" s="42">
        <v>256</v>
      </c>
      <c r="GH12" s="42">
        <v>304</v>
      </c>
      <c r="GI12" s="42">
        <v>152</v>
      </c>
      <c r="GJ12" s="42">
        <v>152</v>
      </c>
      <c r="GK12" s="42">
        <v>152</v>
      </c>
      <c r="GL12" s="42">
        <v>136</v>
      </c>
      <c r="GM12" s="42">
        <v>2088</v>
      </c>
      <c r="GN12" s="42">
        <v>880</v>
      </c>
      <c r="GO12" s="42">
        <v>720</v>
      </c>
      <c r="GP12" s="42">
        <v>880</v>
      </c>
      <c r="GQ12" s="42">
        <v>392</v>
      </c>
      <c r="GR12" s="42">
        <v>320</v>
      </c>
      <c r="GS12" s="42">
        <v>392</v>
      </c>
    </row>
    <row r="13" spans="1:201" x14ac:dyDescent="0.35">
      <c r="A13" s="42">
        <v>224</v>
      </c>
      <c r="B13" s="42">
        <v>248</v>
      </c>
      <c r="C13" s="42">
        <v>200</v>
      </c>
      <c r="D13" s="42">
        <v>248</v>
      </c>
      <c r="E13" s="42">
        <v>248</v>
      </c>
      <c r="F13" s="42">
        <v>248</v>
      </c>
      <c r="G13" s="42">
        <v>576</v>
      </c>
      <c r="H13" s="42">
        <v>576</v>
      </c>
      <c r="I13" s="42">
        <v>432</v>
      </c>
      <c r="J13" s="42">
        <v>368</v>
      </c>
      <c r="K13" s="42">
        <v>368</v>
      </c>
      <c r="L13" s="42">
        <v>568</v>
      </c>
      <c r="M13" s="42">
        <v>376</v>
      </c>
      <c r="N13" s="42">
        <v>376</v>
      </c>
      <c r="O13" s="42">
        <v>280</v>
      </c>
      <c r="P13" s="42">
        <v>280</v>
      </c>
      <c r="Q13" s="42">
        <v>192</v>
      </c>
      <c r="R13" s="42">
        <v>144</v>
      </c>
      <c r="S13" s="42">
        <v>160</v>
      </c>
      <c r="T13" s="42">
        <v>200</v>
      </c>
      <c r="U13" s="42">
        <v>200</v>
      </c>
      <c r="V13" s="42">
        <v>104</v>
      </c>
      <c r="W13" s="42">
        <v>144</v>
      </c>
      <c r="X13" s="42">
        <v>144</v>
      </c>
      <c r="Y13" s="42">
        <v>144</v>
      </c>
      <c r="Z13" s="42">
        <v>280</v>
      </c>
      <c r="AA13" s="42">
        <v>280</v>
      </c>
      <c r="AB13" s="42">
        <v>280</v>
      </c>
      <c r="AC13" s="42">
        <v>136</v>
      </c>
      <c r="AD13" s="42">
        <v>136</v>
      </c>
      <c r="AE13" s="42">
        <v>136</v>
      </c>
      <c r="AF13" s="42">
        <v>136</v>
      </c>
      <c r="AG13" s="42">
        <v>176</v>
      </c>
      <c r="AH13" s="42">
        <v>176</v>
      </c>
      <c r="AI13" s="42">
        <v>200</v>
      </c>
      <c r="AJ13" s="42">
        <v>216</v>
      </c>
      <c r="AK13" s="42">
        <v>224</v>
      </c>
      <c r="AL13" s="42">
        <v>1928</v>
      </c>
      <c r="AM13" s="42">
        <v>1864</v>
      </c>
      <c r="AN13" s="42">
        <v>1224</v>
      </c>
      <c r="AO13" s="42">
        <v>728</v>
      </c>
      <c r="AP13" s="42">
        <v>728</v>
      </c>
      <c r="AQ13" s="42">
        <v>728</v>
      </c>
      <c r="AR13" s="42">
        <v>728</v>
      </c>
      <c r="AS13" s="42">
        <v>728</v>
      </c>
      <c r="AT13" s="42">
        <v>728</v>
      </c>
      <c r="AU13" s="42">
        <v>656</v>
      </c>
      <c r="AV13" s="42">
        <v>560</v>
      </c>
      <c r="AW13" s="42">
        <v>752</v>
      </c>
      <c r="AX13" s="42">
        <v>344</v>
      </c>
      <c r="AY13" s="42">
        <v>344</v>
      </c>
      <c r="AZ13" s="42">
        <v>480</v>
      </c>
      <c r="BA13" s="42">
        <v>304</v>
      </c>
      <c r="BB13" s="42">
        <v>544</v>
      </c>
      <c r="BC13" s="42">
        <v>504</v>
      </c>
      <c r="BD13" s="42">
        <v>504</v>
      </c>
      <c r="BE13" s="42">
        <v>288</v>
      </c>
      <c r="BF13" s="42">
        <v>288</v>
      </c>
      <c r="BG13" s="42">
        <v>456</v>
      </c>
      <c r="BH13" s="42">
        <v>456</v>
      </c>
      <c r="BI13" s="42">
        <v>176</v>
      </c>
      <c r="BJ13" s="42">
        <v>272</v>
      </c>
      <c r="BK13" s="42">
        <v>432</v>
      </c>
      <c r="BL13" s="42">
        <v>456</v>
      </c>
      <c r="BM13" s="42">
        <v>456</v>
      </c>
      <c r="BN13" s="42">
        <v>3208</v>
      </c>
      <c r="BO13" s="42">
        <v>712</v>
      </c>
      <c r="BP13" s="42">
        <v>1224</v>
      </c>
      <c r="BQ13" s="42">
        <v>1672</v>
      </c>
      <c r="BR13" s="42">
        <v>1672</v>
      </c>
      <c r="BS13" s="42">
        <v>1224</v>
      </c>
      <c r="BT13" s="42">
        <v>1224</v>
      </c>
      <c r="BU13" s="42">
        <v>3054</v>
      </c>
      <c r="BV13" s="42">
        <v>3054</v>
      </c>
      <c r="BW13" s="42">
        <v>584</v>
      </c>
      <c r="BX13" s="42">
        <v>584</v>
      </c>
      <c r="BY13" s="42">
        <v>584</v>
      </c>
      <c r="BZ13" s="42">
        <v>632</v>
      </c>
      <c r="CA13" s="42">
        <v>196</v>
      </c>
      <c r="CB13" s="42">
        <v>196</v>
      </c>
      <c r="CC13" s="42">
        <v>196</v>
      </c>
      <c r="CD13" s="42">
        <v>171</v>
      </c>
      <c r="CE13" s="42">
        <v>171</v>
      </c>
      <c r="CF13" s="42">
        <v>280</v>
      </c>
      <c r="CG13" s="42">
        <v>280</v>
      </c>
      <c r="CH13" s="42">
        <v>280</v>
      </c>
      <c r="CI13" s="42">
        <v>248</v>
      </c>
      <c r="CJ13" s="42">
        <v>248</v>
      </c>
      <c r="CK13" s="42">
        <v>248</v>
      </c>
      <c r="CL13" s="42">
        <v>171</v>
      </c>
      <c r="CM13" s="42">
        <v>171</v>
      </c>
      <c r="CN13" s="42">
        <v>168</v>
      </c>
      <c r="CO13" s="42">
        <v>168</v>
      </c>
      <c r="CP13" s="42">
        <v>168</v>
      </c>
      <c r="CQ13" s="42">
        <v>245</v>
      </c>
      <c r="CR13" s="42">
        <v>245</v>
      </c>
      <c r="CS13" s="42">
        <v>623</v>
      </c>
      <c r="CT13" s="42">
        <v>623</v>
      </c>
      <c r="CU13" s="42">
        <v>618</v>
      </c>
      <c r="CV13" s="42">
        <v>618</v>
      </c>
      <c r="CW13" s="42">
        <v>618</v>
      </c>
      <c r="CX13" s="42">
        <v>507</v>
      </c>
      <c r="CY13" s="42">
        <v>507</v>
      </c>
      <c r="CZ13" s="42">
        <v>507</v>
      </c>
      <c r="DA13" s="42">
        <v>704</v>
      </c>
      <c r="DB13" s="42">
        <v>560</v>
      </c>
      <c r="DC13" s="42">
        <v>752</v>
      </c>
      <c r="DD13" s="42">
        <v>784</v>
      </c>
      <c r="DE13" s="42">
        <v>784</v>
      </c>
      <c r="DF13" s="42">
        <v>480</v>
      </c>
      <c r="DG13" s="42">
        <v>480</v>
      </c>
      <c r="DH13" s="42">
        <v>512</v>
      </c>
      <c r="DI13" s="42">
        <v>368</v>
      </c>
      <c r="DJ13" s="42">
        <v>368</v>
      </c>
      <c r="DK13" s="42">
        <v>336</v>
      </c>
      <c r="DL13" s="42">
        <v>320</v>
      </c>
      <c r="DM13" s="42">
        <v>208</v>
      </c>
      <c r="DN13" s="42">
        <f t="shared" si="3"/>
        <v>72</v>
      </c>
      <c r="DO13" s="42">
        <f t="shared" si="3"/>
        <v>72</v>
      </c>
      <c r="DP13" s="42">
        <f t="shared" si="3"/>
        <v>72</v>
      </c>
      <c r="DQ13" s="42">
        <v>192</v>
      </c>
      <c r="DR13" s="42">
        <v>192</v>
      </c>
      <c r="DS13" s="42">
        <v>192</v>
      </c>
      <c r="DT13" s="42">
        <v>246</v>
      </c>
      <c r="DU13" s="42">
        <v>246</v>
      </c>
      <c r="DV13" s="42">
        <v>246</v>
      </c>
      <c r="DW13" s="42">
        <v>200</v>
      </c>
      <c r="DX13" s="42">
        <v>392</v>
      </c>
      <c r="DY13" s="42">
        <v>392</v>
      </c>
      <c r="DZ13" s="42">
        <v>360</v>
      </c>
      <c r="EA13" s="42">
        <v>360</v>
      </c>
      <c r="EB13" s="42">
        <v>360</v>
      </c>
      <c r="EC13" s="42">
        <v>192</v>
      </c>
      <c r="ED13" s="42">
        <v>224</v>
      </c>
      <c r="EE13" s="42">
        <v>200</v>
      </c>
      <c r="EF13" s="42">
        <v>200</v>
      </c>
      <c r="EG13" s="42">
        <v>200</v>
      </c>
      <c r="EH13" s="42">
        <v>320</v>
      </c>
      <c r="EI13" s="42">
        <v>320</v>
      </c>
      <c r="EJ13" s="42">
        <v>320</v>
      </c>
      <c r="EK13" s="42">
        <v>72</v>
      </c>
      <c r="EL13" s="42">
        <v>152</v>
      </c>
      <c r="EM13" s="42">
        <v>152</v>
      </c>
      <c r="EN13" s="42">
        <v>416</v>
      </c>
      <c r="EO13" s="42">
        <v>416</v>
      </c>
      <c r="EP13" s="42">
        <v>416</v>
      </c>
      <c r="EQ13" s="42">
        <v>464</v>
      </c>
      <c r="ER13" s="42">
        <v>464</v>
      </c>
      <c r="ES13" s="42">
        <v>464</v>
      </c>
      <c r="ET13" s="42">
        <v>456</v>
      </c>
      <c r="EU13" s="42">
        <v>488</v>
      </c>
      <c r="EV13" s="42">
        <v>424</v>
      </c>
      <c r="EW13" s="42">
        <v>424</v>
      </c>
      <c r="EX13" s="42">
        <v>424</v>
      </c>
      <c r="EY13" s="42">
        <v>424</v>
      </c>
      <c r="EZ13" s="42">
        <v>120</v>
      </c>
      <c r="FA13" s="42">
        <v>184</v>
      </c>
      <c r="FB13" s="42">
        <v>184</v>
      </c>
      <c r="FC13" s="42">
        <v>184</v>
      </c>
      <c r="FD13" s="42">
        <v>184</v>
      </c>
      <c r="FE13" s="42">
        <v>184</v>
      </c>
      <c r="FF13" s="42">
        <v>184</v>
      </c>
      <c r="FG13" s="42">
        <v>184</v>
      </c>
      <c r="FH13" s="42">
        <v>184</v>
      </c>
      <c r="FI13" s="42">
        <v>312</v>
      </c>
      <c r="FJ13" s="42">
        <v>96</v>
      </c>
      <c r="FK13" s="42">
        <v>88</v>
      </c>
      <c r="FL13" s="42">
        <f t="shared" si="4"/>
        <v>72</v>
      </c>
      <c r="FM13" s="42">
        <v>160</v>
      </c>
      <c r="FN13" s="42">
        <v>256</v>
      </c>
      <c r="FO13" s="42">
        <v>2248</v>
      </c>
      <c r="FP13">
        <v>2248</v>
      </c>
      <c r="FQ13" s="42">
        <v>144</v>
      </c>
      <c r="FR13">
        <v>104</v>
      </c>
      <c r="FS13" s="42">
        <v>1616</v>
      </c>
      <c r="FT13" s="42">
        <v>1216</v>
      </c>
      <c r="FU13" s="42">
        <v>1128</v>
      </c>
      <c r="FV13" s="42">
        <v>1128</v>
      </c>
      <c r="FW13" s="42">
        <v>200</v>
      </c>
      <c r="FX13" s="42">
        <v>536</v>
      </c>
      <c r="FY13" s="42" t="s">
        <v>76</v>
      </c>
      <c r="FZ13" s="42">
        <v>448</v>
      </c>
      <c r="GA13" s="42">
        <v>360</v>
      </c>
      <c r="GB13" s="42">
        <v>360</v>
      </c>
      <c r="GC13" s="42">
        <v>248</v>
      </c>
      <c r="GD13" s="42">
        <v>248</v>
      </c>
      <c r="GE13" s="42" t="s">
        <v>76</v>
      </c>
      <c r="GF13" s="42">
        <v>96</v>
      </c>
      <c r="GG13" s="42">
        <v>304</v>
      </c>
      <c r="GH13" s="42">
        <v>352</v>
      </c>
      <c r="GI13" s="42">
        <v>200</v>
      </c>
      <c r="GJ13" s="42">
        <v>200</v>
      </c>
      <c r="GK13" s="42">
        <v>168</v>
      </c>
      <c r="GL13" s="42">
        <v>152</v>
      </c>
      <c r="GM13" s="42">
        <v>2408</v>
      </c>
      <c r="GN13" s="42">
        <v>960</v>
      </c>
      <c r="GO13" s="42">
        <v>800</v>
      </c>
      <c r="GP13" s="42">
        <v>960</v>
      </c>
      <c r="GQ13" s="42">
        <v>480</v>
      </c>
      <c r="GR13" s="42">
        <v>368</v>
      </c>
      <c r="GS13" s="42">
        <v>480</v>
      </c>
    </row>
    <row r="14" spans="1:201" x14ac:dyDescent="0.35">
      <c r="A14" s="42">
        <v>256</v>
      </c>
      <c r="B14" s="42">
        <v>272</v>
      </c>
      <c r="C14" s="42">
        <v>224</v>
      </c>
      <c r="D14" s="42">
        <v>272</v>
      </c>
      <c r="E14" s="42">
        <v>272</v>
      </c>
      <c r="F14" s="42">
        <v>272</v>
      </c>
      <c r="G14" s="42">
        <v>672</v>
      </c>
      <c r="H14" s="42">
        <v>672</v>
      </c>
      <c r="I14" s="42">
        <v>464</v>
      </c>
      <c r="J14" s="42">
        <v>432</v>
      </c>
      <c r="K14" s="42">
        <v>432</v>
      </c>
      <c r="L14" s="42">
        <v>592</v>
      </c>
      <c r="M14" s="42">
        <v>424</v>
      </c>
      <c r="N14" s="42">
        <v>424</v>
      </c>
      <c r="O14" s="42">
        <v>304</v>
      </c>
      <c r="P14" s="42">
        <v>304</v>
      </c>
      <c r="Q14" s="42">
        <v>208</v>
      </c>
      <c r="R14" s="42">
        <v>160</v>
      </c>
      <c r="S14" s="42">
        <v>176</v>
      </c>
      <c r="T14" s="42">
        <v>232</v>
      </c>
      <c r="U14" s="42">
        <v>232</v>
      </c>
      <c r="V14" s="42">
        <v>112</v>
      </c>
      <c r="W14" s="42">
        <v>152</v>
      </c>
      <c r="X14" s="42">
        <v>152</v>
      </c>
      <c r="Y14" s="42">
        <v>152</v>
      </c>
      <c r="Z14" s="42">
        <v>296</v>
      </c>
      <c r="AA14" s="42">
        <v>296</v>
      </c>
      <c r="AB14" s="42">
        <v>296</v>
      </c>
      <c r="AC14" s="42">
        <v>152</v>
      </c>
      <c r="AD14" s="42">
        <v>152</v>
      </c>
      <c r="AE14" s="42">
        <v>152</v>
      </c>
      <c r="AF14" s="42">
        <v>152</v>
      </c>
      <c r="AG14" s="42">
        <v>184</v>
      </c>
      <c r="AH14" s="42">
        <v>184</v>
      </c>
      <c r="AI14" s="42">
        <v>208</v>
      </c>
      <c r="AJ14" s="42">
        <v>224</v>
      </c>
      <c r="AK14" s="42">
        <v>240</v>
      </c>
      <c r="AL14" s="42">
        <v>2120</v>
      </c>
      <c r="AM14" s="42">
        <v>2248</v>
      </c>
      <c r="AN14" s="42">
        <v>1416</v>
      </c>
      <c r="AO14" s="42">
        <v>800</v>
      </c>
      <c r="AP14" s="42">
        <v>800</v>
      </c>
      <c r="AQ14" s="42">
        <v>800</v>
      </c>
      <c r="AR14" s="42">
        <v>824</v>
      </c>
      <c r="AS14" s="42">
        <v>824</v>
      </c>
      <c r="AT14" s="42">
        <v>800</v>
      </c>
      <c r="AU14" s="42">
        <v>776</v>
      </c>
      <c r="AV14" s="42">
        <v>632</v>
      </c>
      <c r="AW14" s="42">
        <v>800</v>
      </c>
      <c r="AX14" s="42">
        <v>464</v>
      </c>
      <c r="AY14" s="42">
        <v>464</v>
      </c>
      <c r="AZ14" s="42">
        <v>512</v>
      </c>
      <c r="BA14" s="42">
        <v>368</v>
      </c>
      <c r="BB14" s="42">
        <v>664</v>
      </c>
      <c r="BC14" s="42">
        <v>592</v>
      </c>
      <c r="BD14" s="42">
        <v>592</v>
      </c>
      <c r="BE14" s="42">
        <v>320</v>
      </c>
      <c r="BF14" s="42">
        <v>320</v>
      </c>
      <c r="BG14" s="42">
        <v>520</v>
      </c>
      <c r="BH14" s="42">
        <v>520</v>
      </c>
      <c r="BI14" s="42">
        <v>224</v>
      </c>
      <c r="BJ14" s="42">
        <v>336</v>
      </c>
      <c r="BK14" s="42">
        <v>472</v>
      </c>
      <c r="BL14" s="42">
        <v>520</v>
      </c>
      <c r="BM14" s="42">
        <v>520</v>
      </c>
      <c r="BN14" s="42">
        <v>3848</v>
      </c>
      <c r="BO14" s="42">
        <v>776</v>
      </c>
      <c r="BP14" s="42">
        <v>1416</v>
      </c>
      <c r="BQ14" s="42">
        <v>1736</v>
      </c>
      <c r="BR14" s="42">
        <v>1800</v>
      </c>
      <c r="BS14" s="42">
        <v>1480</v>
      </c>
      <c r="BT14" s="42">
        <v>1480</v>
      </c>
      <c r="BU14" s="42">
        <v>3166</v>
      </c>
      <c r="BV14" s="42">
        <v>3166</v>
      </c>
      <c r="BW14" s="42">
        <v>632</v>
      </c>
      <c r="BX14" s="42">
        <v>632</v>
      </c>
      <c r="BY14" s="42">
        <v>632</v>
      </c>
      <c r="BZ14" s="42">
        <v>680</v>
      </c>
      <c r="CA14" s="42">
        <v>212</v>
      </c>
      <c r="CB14" s="42">
        <v>212</v>
      </c>
      <c r="CC14" s="42">
        <v>212</v>
      </c>
      <c r="CD14" s="42">
        <v>179</v>
      </c>
      <c r="CE14" s="42">
        <v>179</v>
      </c>
      <c r="CF14" s="42">
        <v>296</v>
      </c>
      <c r="CG14" s="42">
        <v>296</v>
      </c>
      <c r="CH14" s="42">
        <v>296</v>
      </c>
      <c r="CI14" s="42">
        <v>280</v>
      </c>
      <c r="CJ14" s="42">
        <v>280</v>
      </c>
      <c r="CK14" s="42">
        <v>280</v>
      </c>
      <c r="CL14" s="42">
        <v>179</v>
      </c>
      <c r="CM14" s="42">
        <v>179</v>
      </c>
      <c r="CN14" s="42">
        <v>184</v>
      </c>
      <c r="CO14" s="42">
        <v>184</v>
      </c>
      <c r="CP14" s="42">
        <v>184</v>
      </c>
      <c r="CQ14" s="42">
        <v>269</v>
      </c>
      <c r="CR14" s="42">
        <v>269</v>
      </c>
      <c r="CS14" s="42">
        <v>687</v>
      </c>
      <c r="CT14" s="42">
        <v>687</v>
      </c>
      <c r="CU14" s="42">
        <v>690</v>
      </c>
      <c r="CV14" s="42">
        <v>690</v>
      </c>
      <c r="CW14" s="42">
        <v>690</v>
      </c>
      <c r="CX14" s="42">
        <v>539</v>
      </c>
      <c r="CY14" s="42">
        <v>539</v>
      </c>
      <c r="CZ14" s="42">
        <v>539</v>
      </c>
      <c r="DA14" s="42">
        <v>824</v>
      </c>
      <c r="DB14" s="42">
        <v>704</v>
      </c>
      <c r="DC14" s="42">
        <v>920</v>
      </c>
      <c r="DD14" s="42">
        <v>816</v>
      </c>
      <c r="DE14" s="42">
        <v>816</v>
      </c>
      <c r="DF14" s="42">
        <v>512</v>
      </c>
      <c r="DG14" s="42">
        <v>512</v>
      </c>
      <c r="DH14" s="42">
        <v>584</v>
      </c>
      <c r="DI14" s="42">
        <v>440</v>
      </c>
      <c r="DJ14" s="42">
        <v>440</v>
      </c>
      <c r="DK14" s="42">
        <v>432</v>
      </c>
      <c r="DL14" s="42">
        <v>352</v>
      </c>
      <c r="DM14" s="42">
        <v>240</v>
      </c>
      <c r="DN14" s="42">
        <f t="shared" si="3"/>
        <v>80</v>
      </c>
      <c r="DO14" s="42">
        <f t="shared" si="3"/>
        <v>80</v>
      </c>
      <c r="DP14" s="42" t="s">
        <v>76</v>
      </c>
      <c r="DQ14" s="42">
        <v>208</v>
      </c>
      <c r="DR14" s="42">
        <v>208</v>
      </c>
      <c r="DS14" s="42">
        <v>208</v>
      </c>
      <c r="DT14" s="42">
        <v>262</v>
      </c>
      <c r="DU14" s="42">
        <v>262</v>
      </c>
      <c r="DV14" s="42">
        <v>262</v>
      </c>
      <c r="DW14" s="42" t="s">
        <v>76</v>
      </c>
      <c r="DX14" s="42">
        <v>416</v>
      </c>
      <c r="DY14" s="42">
        <v>416</v>
      </c>
      <c r="DZ14" s="42">
        <v>392</v>
      </c>
      <c r="EA14" s="42">
        <v>392</v>
      </c>
      <c r="EB14" s="42">
        <v>392</v>
      </c>
      <c r="EC14" s="42">
        <v>208</v>
      </c>
      <c r="ED14" s="42">
        <v>240</v>
      </c>
      <c r="EE14" s="42">
        <v>232</v>
      </c>
      <c r="EF14" s="42">
        <v>232</v>
      </c>
      <c r="EG14" s="42">
        <v>232</v>
      </c>
      <c r="EH14" s="42">
        <v>344</v>
      </c>
      <c r="EI14" s="42">
        <v>344</v>
      </c>
      <c r="EJ14" s="42">
        <v>344</v>
      </c>
      <c r="EK14" s="42">
        <v>80</v>
      </c>
      <c r="EL14" s="42">
        <v>168</v>
      </c>
      <c r="EM14" s="42">
        <v>168</v>
      </c>
      <c r="EN14" s="42">
        <v>464</v>
      </c>
      <c r="EO14" s="42">
        <v>464</v>
      </c>
      <c r="EP14" s="42">
        <v>464</v>
      </c>
      <c r="EQ14" s="42">
        <v>512</v>
      </c>
      <c r="ER14" s="42">
        <v>512</v>
      </c>
      <c r="ES14" s="42">
        <v>512</v>
      </c>
      <c r="ET14" s="42">
        <v>520</v>
      </c>
      <c r="EU14" s="42">
        <v>520</v>
      </c>
      <c r="EV14" s="42">
        <v>520</v>
      </c>
      <c r="EW14" s="42">
        <v>496</v>
      </c>
      <c r="EX14" s="42">
        <v>496</v>
      </c>
      <c r="EY14" s="42">
        <v>496</v>
      </c>
      <c r="EZ14" s="42">
        <v>128</v>
      </c>
      <c r="FA14" s="42">
        <v>200</v>
      </c>
      <c r="FB14" s="42">
        <v>200</v>
      </c>
      <c r="FC14" s="42">
        <v>200</v>
      </c>
      <c r="FD14" s="42">
        <v>216</v>
      </c>
      <c r="FE14" s="42">
        <v>216</v>
      </c>
      <c r="FF14" s="42">
        <v>216</v>
      </c>
      <c r="FG14" s="42">
        <v>200</v>
      </c>
      <c r="FH14" s="42">
        <v>200</v>
      </c>
      <c r="FI14" s="42">
        <v>344</v>
      </c>
      <c r="FJ14" s="42" t="s">
        <v>76</v>
      </c>
      <c r="FK14" s="42">
        <v>96</v>
      </c>
      <c r="FL14" s="42" t="s">
        <v>76</v>
      </c>
      <c r="FM14" s="42">
        <v>176</v>
      </c>
      <c r="FN14" s="42">
        <v>272</v>
      </c>
      <c r="FO14" s="42">
        <v>2728</v>
      </c>
      <c r="FP14">
        <v>2728</v>
      </c>
      <c r="FQ14" s="42">
        <v>152</v>
      </c>
      <c r="FR14">
        <v>112</v>
      </c>
      <c r="FS14" s="42">
        <v>1696</v>
      </c>
      <c r="FT14" s="42">
        <v>1296</v>
      </c>
      <c r="FU14" s="42">
        <v>1368</v>
      </c>
      <c r="FV14" s="42">
        <v>1368</v>
      </c>
      <c r="FW14" s="42">
        <v>224</v>
      </c>
      <c r="FX14" s="42">
        <v>584</v>
      </c>
      <c r="FY14" s="42" t="s">
        <v>76</v>
      </c>
      <c r="FZ14" s="42">
        <v>504</v>
      </c>
      <c r="GA14" s="42">
        <v>384</v>
      </c>
      <c r="GB14" s="42">
        <v>384</v>
      </c>
      <c r="GC14" s="42">
        <v>280</v>
      </c>
      <c r="GD14" s="42">
        <v>280</v>
      </c>
      <c r="GE14" s="42" t="s">
        <v>76</v>
      </c>
      <c r="GF14" s="42">
        <v>104</v>
      </c>
      <c r="GG14" s="42">
        <v>384</v>
      </c>
      <c r="GH14" s="42">
        <v>368</v>
      </c>
      <c r="GI14" s="42">
        <v>224</v>
      </c>
      <c r="GJ14" s="42">
        <v>224</v>
      </c>
      <c r="GK14" s="42">
        <v>192</v>
      </c>
      <c r="GL14" s="42">
        <v>168</v>
      </c>
      <c r="GM14" s="42">
        <v>2568</v>
      </c>
      <c r="GN14" s="42">
        <v>1040</v>
      </c>
      <c r="GO14" s="42">
        <v>880</v>
      </c>
      <c r="GP14" s="42">
        <v>1040</v>
      </c>
      <c r="GQ14" s="42">
        <v>504</v>
      </c>
      <c r="GR14" s="42">
        <v>392</v>
      </c>
      <c r="GS14" s="42">
        <v>520</v>
      </c>
    </row>
    <row r="15" spans="1:201" x14ac:dyDescent="0.35">
      <c r="A15" s="42"/>
      <c r="C15" s="42"/>
      <c r="D15" s="42"/>
      <c r="E15" s="42"/>
      <c r="F15" s="42"/>
      <c r="J15" s="42"/>
      <c r="K15" s="42"/>
      <c r="L15" s="42"/>
      <c r="R15" s="42"/>
      <c r="S15" s="42"/>
      <c r="T15" s="42"/>
      <c r="U15" s="42"/>
      <c r="V15" s="42"/>
      <c r="W15" s="42"/>
      <c r="X15" s="42"/>
      <c r="Y15" s="42"/>
      <c r="Z15" s="42"/>
      <c r="AA15" s="42"/>
      <c r="AB15" s="42"/>
      <c r="AC15" s="42"/>
      <c r="AD15" s="42"/>
      <c r="AE15" s="42"/>
      <c r="AF15" s="42"/>
      <c r="AG15" s="42"/>
      <c r="AH15" s="42"/>
      <c r="AI15" s="42"/>
      <c r="AJ15" s="42"/>
      <c r="AL15" s="42"/>
      <c r="AM15" s="42"/>
      <c r="AN15" s="42"/>
      <c r="AO15" s="42"/>
      <c r="AP15" s="42"/>
      <c r="AQ15" s="42"/>
      <c r="AR15" s="42"/>
      <c r="AS15" s="42"/>
      <c r="AT15" s="42"/>
      <c r="AU15" s="42"/>
      <c r="AV15" s="42"/>
      <c r="AW15" s="42"/>
      <c r="AX15" s="42"/>
      <c r="AY15" s="42"/>
      <c r="AZ15" s="42"/>
      <c r="BA15" s="42"/>
      <c r="BC15" s="42"/>
      <c r="BD15" s="42"/>
      <c r="BE15" s="42"/>
      <c r="BF15" s="42"/>
      <c r="BG15" s="42"/>
      <c r="BH15" s="42"/>
      <c r="BI15" s="42"/>
      <c r="BJ15" s="42"/>
      <c r="BK15" s="42"/>
      <c r="BL15" s="42"/>
      <c r="BM15" s="42"/>
      <c r="BN15" s="42"/>
      <c r="BO15" s="42"/>
      <c r="BP15" s="42"/>
      <c r="BS15" s="42"/>
      <c r="BT15" s="42"/>
      <c r="BW15" s="42"/>
      <c r="BX15" s="42"/>
      <c r="CS15" s="42"/>
      <c r="CT15" s="42"/>
      <c r="DA15" s="42"/>
      <c r="DB15" s="42"/>
      <c r="DC15" s="42"/>
      <c r="DD15" s="42"/>
      <c r="DE15" s="42"/>
      <c r="DF15" s="42"/>
      <c r="DG15" s="42"/>
      <c r="DH15" s="42"/>
      <c r="DI15" s="42"/>
      <c r="DJ15" s="42"/>
      <c r="DK15" s="42"/>
      <c r="DL15" s="42"/>
      <c r="DM15" s="42"/>
      <c r="DN15" s="42"/>
      <c r="DO15" s="42"/>
      <c r="DP15" s="42"/>
      <c r="DW15" s="42"/>
      <c r="DZ15" s="42"/>
      <c r="EA15" s="42"/>
      <c r="EB15" s="42"/>
      <c r="EC15" s="42"/>
      <c r="EE15" s="42"/>
      <c r="EF15" s="42"/>
      <c r="EG15" s="42"/>
      <c r="EH15" s="42"/>
      <c r="EI15" s="42"/>
      <c r="EJ15" s="42"/>
      <c r="EK15" s="42"/>
      <c r="EL15" s="42"/>
      <c r="EM15" s="42"/>
      <c r="EN15" s="42"/>
      <c r="EQ15" s="42"/>
      <c r="ER15" s="42"/>
      <c r="ES15" s="42"/>
      <c r="ET15" s="42"/>
      <c r="EW15" s="42"/>
      <c r="EX15" s="42"/>
      <c r="EY15" s="42"/>
      <c r="FA15" s="42"/>
      <c r="FB15" s="42"/>
      <c r="FC15" s="42"/>
      <c r="FD15" s="42"/>
      <c r="FE15" s="42"/>
      <c r="FF15" s="42"/>
      <c r="FJ15" s="42"/>
      <c r="FL15" s="42"/>
      <c r="FM15" s="42"/>
      <c r="FP15" s="8"/>
      <c r="FU15" s="42"/>
      <c r="FV15" s="42"/>
      <c r="FW15" s="42"/>
      <c r="FY15" s="42"/>
      <c r="FZ15" s="42"/>
      <c r="GA15" s="42"/>
      <c r="GB15" s="42"/>
      <c r="GC15" s="42"/>
      <c r="GD15" s="42"/>
      <c r="GE15" s="42"/>
      <c r="GF15" s="42"/>
      <c r="GG15" s="42"/>
      <c r="GH15" s="42"/>
      <c r="GI15" s="42"/>
      <c r="GJ15" s="42"/>
      <c r="GK15" s="42"/>
      <c r="GL15" s="42"/>
      <c r="GN15" s="42"/>
      <c r="GO15" s="42"/>
      <c r="GP15" s="42"/>
      <c r="GQ15" s="42"/>
      <c r="GR15" s="42"/>
      <c r="GS15" s="42"/>
    </row>
    <row r="16" spans="1:201" x14ac:dyDescent="0.35">
      <c r="A16" s="42"/>
      <c r="C16" s="42"/>
      <c r="D16" s="42"/>
      <c r="E16" s="42"/>
      <c r="F16" s="42"/>
      <c r="J16" s="42"/>
      <c r="K16" s="42"/>
      <c r="L16" s="42"/>
      <c r="R16" s="42"/>
      <c r="S16" s="42"/>
      <c r="T16" s="42"/>
      <c r="U16" s="42"/>
      <c r="V16" s="42"/>
      <c r="W16" s="42"/>
      <c r="X16" s="42"/>
      <c r="Y16" s="42"/>
      <c r="Z16" s="42"/>
      <c r="AA16" s="42"/>
      <c r="AB16" s="42"/>
      <c r="AC16" s="42"/>
      <c r="AD16" s="42"/>
      <c r="AE16" s="42"/>
      <c r="AF16" s="42"/>
      <c r="AG16" s="42"/>
      <c r="AH16" s="42"/>
      <c r="AI16" s="42"/>
      <c r="AJ16" s="42"/>
      <c r="AL16" s="42"/>
      <c r="AM16" s="42"/>
      <c r="AN16" s="42"/>
      <c r="AO16" s="42"/>
      <c r="AP16" s="42"/>
      <c r="AQ16" s="42"/>
      <c r="AR16" s="42"/>
      <c r="AS16" s="42"/>
      <c r="AT16" s="42"/>
      <c r="AU16" s="42"/>
      <c r="AV16" s="42"/>
      <c r="AW16" s="42"/>
      <c r="AX16" s="42"/>
      <c r="AY16" s="42"/>
      <c r="AZ16" s="42"/>
      <c r="BA16" s="42"/>
      <c r="BC16" s="42"/>
      <c r="BD16" s="42"/>
      <c r="BE16" s="42"/>
      <c r="BF16" s="42"/>
      <c r="BG16" s="42"/>
      <c r="BH16" s="42"/>
      <c r="BJ16" s="42"/>
      <c r="BK16" s="42"/>
      <c r="BL16" s="42"/>
      <c r="BM16" s="42"/>
      <c r="BN16" s="42"/>
      <c r="BO16" s="42"/>
      <c r="BP16" s="42"/>
      <c r="BS16" s="42"/>
      <c r="BT16" s="42"/>
      <c r="BW16" s="42"/>
      <c r="BX16" s="42"/>
      <c r="DA16" s="42"/>
      <c r="DB16" s="42"/>
      <c r="DC16" s="42"/>
      <c r="DF16" s="42"/>
      <c r="DG16" s="42"/>
      <c r="DH16" s="42"/>
      <c r="DI16" s="42"/>
      <c r="DJ16" s="42"/>
      <c r="DK16" s="42"/>
      <c r="DL16" s="42"/>
      <c r="DM16" s="42"/>
      <c r="DN16" s="42"/>
      <c r="DO16" s="42"/>
      <c r="DP16" s="42"/>
      <c r="DW16" s="42"/>
      <c r="DZ16" s="42"/>
      <c r="EA16" s="42"/>
      <c r="EB16" s="42"/>
      <c r="EE16" s="42"/>
      <c r="EF16" s="42"/>
      <c r="EG16" s="42"/>
      <c r="EH16" s="42"/>
      <c r="EI16" s="42"/>
      <c r="EJ16" s="42"/>
      <c r="EK16" s="42"/>
      <c r="EL16" s="42"/>
      <c r="EM16" s="42"/>
      <c r="EQ16" s="42"/>
      <c r="ER16" s="42"/>
      <c r="ES16" s="42"/>
      <c r="ET16" s="42"/>
      <c r="EU16" s="42"/>
      <c r="EV16" s="42"/>
      <c r="EW16" s="42"/>
      <c r="EX16" s="42"/>
      <c r="EY16" s="42"/>
      <c r="FA16" s="42"/>
      <c r="FB16" s="42"/>
      <c r="FC16" s="42"/>
      <c r="FD16" s="42"/>
      <c r="FE16" s="42"/>
      <c r="FF16" s="42"/>
      <c r="FL16" s="42"/>
      <c r="FM16" s="42"/>
      <c r="FP16" s="8"/>
      <c r="FU16" s="42"/>
      <c r="FV16" s="42"/>
      <c r="FW16" s="42"/>
      <c r="FY16" s="42"/>
      <c r="FZ16" s="42"/>
      <c r="GA16" s="42"/>
      <c r="GB16" s="42"/>
      <c r="GC16" s="42"/>
      <c r="GE16" s="42"/>
      <c r="GG16" s="42"/>
      <c r="GH16" s="42"/>
      <c r="GI16" s="42"/>
      <c r="GJ16" s="42"/>
      <c r="GK16" s="42"/>
      <c r="GL16" s="42"/>
      <c r="GN16" s="42"/>
      <c r="GO16" s="42"/>
      <c r="GP16" s="42"/>
      <c r="GQ16" s="42"/>
      <c r="GR16" s="42"/>
      <c r="GS16" s="42"/>
    </row>
    <row r="17" spans="1:201" x14ac:dyDescent="0.35">
      <c r="A17" s="42"/>
      <c r="C17" s="42"/>
      <c r="D17" s="42"/>
      <c r="E17" s="42"/>
      <c r="F17" s="42"/>
      <c r="J17" s="42"/>
      <c r="K17" s="42"/>
      <c r="R17" s="42"/>
      <c r="V17" s="42"/>
      <c r="W17" s="42"/>
      <c r="X17" s="42"/>
      <c r="Y17" s="42"/>
      <c r="AC17" s="42"/>
      <c r="AD17" s="42"/>
      <c r="AE17" s="42"/>
      <c r="AF17" s="42"/>
      <c r="AG17" s="42"/>
      <c r="AH17" s="42"/>
      <c r="AI17" s="42"/>
      <c r="AL17" s="42"/>
      <c r="AM17" s="42"/>
      <c r="AN17" s="42"/>
      <c r="AO17" s="42"/>
      <c r="AP17" s="42"/>
      <c r="AQ17" s="42"/>
      <c r="AR17" s="42"/>
      <c r="AS17" s="42"/>
      <c r="AT17" s="42"/>
      <c r="AU17" s="42"/>
      <c r="AV17" s="42"/>
      <c r="AX17" s="42"/>
      <c r="AY17" s="42"/>
      <c r="AZ17" s="42"/>
      <c r="BA17" s="42"/>
      <c r="BC17" s="42"/>
      <c r="BD17" s="42"/>
      <c r="BE17" s="42"/>
      <c r="BF17" s="42"/>
      <c r="BG17" s="42"/>
      <c r="BH17" s="42"/>
      <c r="BJ17" s="42"/>
      <c r="BK17" s="42"/>
      <c r="BL17" s="42"/>
      <c r="BM17" s="42"/>
      <c r="BO17" s="42"/>
      <c r="BP17" s="42"/>
      <c r="BS17" s="42"/>
      <c r="BT17" s="42"/>
      <c r="BW17" s="42"/>
      <c r="BX17" s="42"/>
      <c r="DA17" s="42"/>
      <c r="DB17" s="42"/>
      <c r="DC17" s="42"/>
      <c r="DF17" s="42"/>
      <c r="DG17" s="42"/>
      <c r="DH17" s="42"/>
      <c r="DI17" s="42"/>
      <c r="DJ17" s="42"/>
      <c r="DK17" s="42"/>
      <c r="DL17" s="42"/>
      <c r="DM17" s="42"/>
      <c r="DO17" s="42"/>
      <c r="DP17" s="42"/>
      <c r="DW17" s="42"/>
      <c r="DZ17" s="42"/>
      <c r="EA17" s="42"/>
      <c r="EB17" s="42"/>
      <c r="EE17" s="42"/>
      <c r="EF17" s="42"/>
      <c r="EG17" s="42"/>
      <c r="EH17" s="42"/>
      <c r="EI17" s="42"/>
      <c r="EJ17" s="42"/>
      <c r="EK17" s="42"/>
      <c r="EL17" s="42"/>
      <c r="EM17" s="42"/>
      <c r="EQ17" s="42"/>
      <c r="ER17" s="42"/>
      <c r="ES17" s="42"/>
      <c r="ET17" s="42"/>
      <c r="EU17" s="42"/>
      <c r="EV17" s="42"/>
      <c r="EW17" s="42"/>
      <c r="EX17" s="42"/>
      <c r="EY17" s="42"/>
      <c r="FA17" s="42"/>
      <c r="FB17" s="42"/>
      <c r="FC17" s="42"/>
      <c r="FD17" s="42"/>
      <c r="FE17" s="42"/>
      <c r="FF17" s="42"/>
      <c r="FM17" s="42"/>
      <c r="FP17" s="8"/>
      <c r="FU17" s="42"/>
      <c r="FV17" s="42"/>
      <c r="FW17" s="42"/>
      <c r="FY17" s="42"/>
      <c r="FZ17" s="42"/>
      <c r="GA17" s="42"/>
      <c r="GB17" s="42"/>
      <c r="GC17" s="42"/>
      <c r="GE17" s="42"/>
      <c r="GG17" s="42"/>
      <c r="GH17" s="42"/>
      <c r="GI17" s="42"/>
      <c r="GJ17" s="42"/>
      <c r="GK17" s="42"/>
      <c r="GL17" s="42"/>
      <c r="GN17" s="42"/>
      <c r="GO17" s="42"/>
      <c r="GP17" s="42"/>
      <c r="GQ17" s="42"/>
      <c r="GR17" s="42"/>
      <c r="GS17" s="42"/>
    </row>
    <row r="18" spans="1:201" x14ac:dyDescent="0.35">
      <c r="A18" s="42"/>
      <c r="C18" s="42"/>
      <c r="D18" s="42"/>
      <c r="E18" s="42"/>
      <c r="F18" s="42"/>
      <c r="J18" s="42"/>
      <c r="K18" s="42"/>
      <c r="V18" s="42"/>
      <c r="W18" s="42"/>
      <c r="X18" s="42"/>
      <c r="Y18" s="42"/>
      <c r="AF18" s="42"/>
      <c r="AI18" s="42"/>
      <c r="AL18" s="42"/>
      <c r="AM18" s="42"/>
      <c r="AN18" s="42"/>
      <c r="AO18" s="42"/>
      <c r="AP18" s="42"/>
      <c r="AQ18" s="42"/>
      <c r="AR18" s="42"/>
      <c r="AS18" s="42"/>
      <c r="AT18" s="42"/>
      <c r="AV18" s="42"/>
      <c r="AX18" s="42"/>
      <c r="AY18" s="42"/>
      <c r="AZ18" s="42"/>
      <c r="BA18" s="42"/>
      <c r="BC18" s="42"/>
      <c r="BD18" s="42"/>
      <c r="BG18" s="42"/>
      <c r="BH18" s="42"/>
      <c r="BJ18" s="42"/>
      <c r="BK18" s="42"/>
      <c r="BO18" s="42"/>
      <c r="BP18" s="42"/>
      <c r="BW18" s="42"/>
      <c r="BX18" s="42"/>
      <c r="DA18" s="42"/>
      <c r="DB18" s="42"/>
      <c r="DC18" s="42"/>
      <c r="DF18" s="42"/>
      <c r="DG18" s="42"/>
      <c r="DH18" s="42"/>
      <c r="DI18" s="42"/>
      <c r="DJ18" s="42"/>
      <c r="DL18" s="42"/>
      <c r="DM18" s="42"/>
      <c r="DO18" s="42"/>
      <c r="DP18" s="42"/>
      <c r="DW18" s="42"/>
      <c r="EE18" s="42"/>
      <c r="EF18" s="42"/>
      <c r="EG18" s="42"/>
      <c r="EH18" s="42"/>
      <c r="EI18" s="42"/>
      <c r="EJ18" s="42"/>
      <c r="EK18" s="42"/>
      <c r="EL18" s="42"/>
      <c r="EM18" s="42"/>
      <c r="EQ18" s="42"/>
      <c r="ER18" s="42"/>
      <c r="ES18" s="42"/>
      <c r="ET18" s="42"/>
      <c r="EU18" s="42"/>
      <c r="EV18" s="42"/>
      <c r="EW18" s="42"/>
      <c r="FA18" s="42"/>
      <c r="FB18" s="42"/>
      <c r="FC18" s="42"/>
      <c r="FD18" s="42"/>
      <c r="FE18" s="42"/>
      <c r="FF18" s="42"/>
      <c r="FM18" s="42"/>
      <c r="FU18" s="42"/>
      <c r="FV18" s="42"/>
      <c r="FW18" s="42"/>
      <c r="FY18" s="42"/>
      <c r="FZ18" s="42"/>
      <c r="GA18" s="42"/>
      <c r="GB18" s="42"/>
      <c r="GC18" s="42"/>
      <c r="GE18" s="42"/>
      <c r="GG18" s="42"/>
      <c r="GH18" s="42"/>
      <c r="GI18" s="42"/>
      <c r="GJ18" s="42"/>
      <c r="GK18" s="42"/>
      <c r="GL18" s="42"/>
      <c r="GN18" s="42"/>
      <c r="GO18" s="42"/>
      <c r="GP18" s="42"/>
      <c r="GQ18" s="42"/>
      <c r="GR18" s="42"/>
      <c r="GS18" s="42"/>
    </row>
    <row r="19" spans="1:201" x14ac:dyDescent="0.35">
      <c r="C19" s="42"/>
      <c r="D19" s="42"/>
      <c r="E19" s="42"/>
      <c r="F19" s="42"/>
      <c r="J19" s="42"/>
      <c r="K19" s="42"/>
      <c r="V19" s="42"/>
      <c r="W19" s="42"/>
      <c r="X19" s="42"/>
      <c r="Y19" s="42"/>
      <c r="AF19" s="42"/>
      <c r="AL19" s="42"/>
      <c r="AM19" s="42"/>
      <c r="AN19" s="42"/>
      <c r="AR19" s="42"/>
      <c r="AS19" s="42"/>
      <c r="AT19" s="42"/>
      <c r="AV19" s="42"/>
      <c r="AX19" s="42"/>
      <c r="AY19" s="42"/>
      <c r="AZ19" s="42"/>
      <c r="BA19" s="42"/>
      <c r="BC19" s="42"/>
      <c r="BD19" s="42"/>
      <c r="BG19" s="42"/>
      <c r="BH19" s="42"/>
      <c r="BJ19" s="42"/>
      <c r="BK19" s="42"/>
      <c r="BO19" s="42"/>
      <c r="BP19" s="42"/>
      <c r="BW19" s="42"/>
      <c r="BX19" s="42"/>
      <c r="DA19" s="42"/>
      <c r="DB19" s="42"/>
      <c r="DF19" s="42"/>
      <c r="DG19" s="42"/>
      <c r="DH19" s="42"/>
      <c r="DI19" s="42"/>
      <c r="DJ19" s="42"/>
      <c r="DL19" s="42"/>
      <c r="DM19" s="42"/>
      <c r="DO19" s="42"/>
      <c r="DP19" s="42"/>
      <c r="DW19" s="42"/>
      <c r="EE19" s="42"/>
      <c r="EF19" s="42"/>
      <c r="EG19" s="42"/>
      <c r="EH19" s="42"/>
      <c r="EI19" s="42"/>
      <c r="EJ19" s="42"/>
      <c r="EK19" s="42"/>
      <c r="EL19" s="42"/>
      <c r="EM19" s="42"/>
      <c r="EQ19" s="42"/>
      <c r="ER19" s="42"/>
      <c r="ES19" s="42"/>
      <c r="ET19" s="42"/>
      <c r="EU19" s="42"/>
      <c r="EV19" s="42"/>
      <c r="EW19" s="42"/>
      <c r="FA19" s="42"/>
      <c r="FB19" s="42"/>
      <c r="FC19" s="42"/>
      <c r="FD19" s="42"/>
      <c r="FM19" s="42"/>
      <c r="FU19" s="42"/>
      <c r="FV19" s="42"/>
      <c r="FW19" s="42"/>
      <c r="FY19" s="42"/>
      <c r="FZ19" s="42"/>
      <c r="GA19" s="42"/>
      <c r="GB19" s="42"/>
      <c r="GC19" s="42"/>
      <c r="GH19" s="42"/>
      <c r="GI19" s="42"/>
      <c r="GJ19" s="42"/>
      <c r="GK19" s="42"/>
      <c r="GL19" s="42"/>
      <c r="GN19" s="42"/>
      <c r="GO19" s="42"/>
      <c r="GP19" s="42"/>
      <c r="GQ19" s="42"/>
      <c r="GR19" s="42"/>
      <c r="GS19" s="42"/>
    </row>
    <row r="20" spans="1:201" x14ac:dyDescent="0.35">
      <c r="C20" s="42"/>
      <c r="D20" s="42"/>
      <c r="E20" s="42"/>
      <c r="F20" s="42"/>
      <c r="V20" s="42"/>
      <c r="Y20" s="42"/>
      <c r="AF20" s="42"/>
      <c r="AL20" s="42"/>
      <c r="AM20" s="42"/>
      <c r="AN20" s="42"/>
      <c r="AR20" s="42"/>
      <c r="AS20" s="42"/>
      <c r="AT20" s="42"/>
      <c r="AV20" s="42"/>
      <c r="AZ20" s="42"/>
      <c r="BA20" s="42"/>
      <c r="BC20" s="42"/>
      <c r="BD20" s="42"/>
      <c r="BG20" s="42"/>
      <c r="BH20" s="42"/>
      <c r="BJ20" s="42"/>
      <c r="BK20" s="42"/>
      <c r="BO20" s="42"/>
      <c r="BW20" s="42"/>
      <c r="BX20" s="42"/>
      <c r="DA20" s="42"/>
      <c r="DB20" s="42"/>
      <c r="DH20" s="42"/>
      <c r="DI20" s="42"/>
      <c r="DJ20" s="42"/>
      <c r="DL20" s="42"/>
      <c r="DM20" s="42"/>
      <c r="DO20" s="42"/>
      <c r="DP20" s="42"/>
      <c r="DW20" s="42"/>
      <c r="EE20" s="42"/>
      <c r="EF20" s="42"/>
      <c r="EG20" s="42"/>
      <c r="EH20" s="42"/>
      <c r="EI20" s="42"/>
      <c r="EJ20" s="42"/>
      <c r="EK20" s="42"/>
      <c r="EL20" s="42"/>
      <c r="EM20" s="42"/>
      <c r="EQ20" s="42"/>
      <c r="ER20" s="42"/>
      <c r="ES20" s="42"/>
      <c r="ET20" s="42"/>
      <c r="EU20" s="42"/>
      <c r="EV20" s="42"/>
      <c r="EW20" s="42"/>
      <c r="FA20" s="42"/>
      <c r="FB20" s="42"/>
      <c r="FC20" s="42"/>
      <c r="FD20" s="42"/>
      <c r="FM20" s="42"/>
      <c r="FU20" s="42"/>
      <c r="FV20" s="42"/>
      <c r="FW20" s="42"/>
      <c r="FY20" s="42"/>
      <c r="FZ20" s="42"/>
      <c r="GA20" s="42"/>
      <c r="GB20" s="42"/>
      <c r="GC20" s="42"/>
      <c r="GH20" s="42"/>
      <c r="GI20" s="42"/>
      <c r="GJ20" s="42"/>
      <c r="GK20" s="42"/>
      <c r="GL20" s="42"/>
      <c r="GN20" s="42"/>
      <c r="GO20" s="42"/>
      <c r="GP20" s="42"/>
      <c r="GQ20" s="42"/>
      <c r="GR20" s="42"/>
      <c r="GS20" s="42"/>
    </row>
    <row r="21" spans="1:201" x14ac:dyDescent="0.35">
      <c r="C21" s="42"/>
      <c r="D21" s="42"/>
      <c r="E21" s="42"/>
      <c r="F21" s="42"/>
      <c r="V21" s="42"/>
      <c r="Y21" s="42"/>
      <c r="AF21" s="42"/>
      <c r="AL21" s="42"/>
      <c r="AM21" s="42"/>
      <c r="AN21" s="42"/>
      <c r="AR21" s="42"/>
      <c r="AS21" s="42"/>
      <c r="AT21" s="42"/>
      <c r="AV21" s="42"/>
      <c r="AZ21" s="42"/>
      <c r="BA21" s="42"/>
      <c r="BC21" s="42"/>
      <c r="BD21" s="42"/>
      <c r="BG21" s="42"/>
      <c r="BH21" s="42"/>
      <c r="BJ21" s="42"/>
      <c r="BK21" s="42"/>
      <c r="BO21" s="42"/>
      <c r="BW21" s="42"/>
      <c r="BX21" s="42"/>
      <c r="DA21" s="42"/>
      <c r="DB21" s="42"/>
      <c r="DL21" s="42"/>
      <c r="DM21" s="42"/>
      <c r="DO21" s="42"/>
      <c r="DP21" s="42"/>
      <c r="DW21" s="42"/>
      <c r="EE21" s="42"/>
      <c r="EF21" s="42"/>
      <c r="EG21" s="42"/>
      <c r="EH21" s="42"/>
      <c r="EI21" s="42"/>
      <c r="EJ21" s="42"/>
      <c r="EK21" s="42"/>
      <c r="EL21" s="42"/>
      <c r="EM21" s="42"/>
      <c r="EN21" s="42"/>
      <c r="EQ21" s="42"/>
      <c r="ER21" s="42"/>
      <c r="ES21" s="42"/>
      <c r="ET21" s="42"/>
      <c r="EU21" s="42"/>
      <c r="EV21" s="42"/>
      <c r="EW21" s="42"/>
      <c r="FA21" s="42"/>
      <c r="FB21" s="42"/>
      <c r="FC21" s="42"/>
      <c r="FD21" s="42"/>
      <c r="FM21" s="42"/>
      <c r="FW21" s="42"/>
      <c r="FY21" s="42"/>
      <c r="FZ21" s="42"/>
      <c r="GA21" s="42"/>
      <c r="GB21" s="42"/>
      <c r="GC21" s="42"/>
      <c r="GH21" s="42"/>
      <c r="GI21" s="42"/>
      <c r="GJ21" s="42"/>
      <c r="GK21" s="42"/>
      <c r="GL21" s="42"/>
      <c r="GN21" s="42"/>
      <c r="GO21" s="42"/>
      <c r="GP21" s="42"/>
      <c r="GQ21" s="42"/>
      <c r="GR21" s="42"/>
      <c r="GS21" s="42"/>
    </row>
    <row r="22" spans="1:201" x14ac:dyDescent="0.35">
      <c r="C22" s="42"/>
      <c r="V22" s="42"/>
      <c r="AL22" s="42"/>
      <c r="AM22" s="42"/>
      <c r="AN22" s="42"/>
      <c r="AR22" s="42"/>
      <c r="AS22" s="42"/>
      <c r="AT22" s="42"/>
      <c r="AV22" s="42"/>
      <c r="AZ22" s="42"/>
      <c r="BA22" s="42"/>
      <c r="BC22" s="42"/>
      <c r="BD22" s="42"/>
      <c r="BG22" s="42"/>
      <c r="BH22" s="42"/>
      <c r="BJ22" s="42"/>
      <c r="BK22" s="42"/>
      <c r="BO22" s="42"/>
      <c r="BW22" s="42"/>
      <c r="BX22" s="42"/>
      <c r="DA22" s="42"/>
      <c r="DB22" s="42"/>
      <c r="DL22" s="42"/>
      <c r="DM22" s="42"/>
      <c r="DP22" s="42"/>
      <c r="DW22" s="42"/>
      <c r="EC22" s="42"/>
      <c r="EE22" s="42"/>
      <c r="EF22" s="42"/>
      <c r="EG22" s="42"/>
      <c r="EH22" s="42"/>
      <c r="EI22" s="42"/>
      <c r="EJ22" s="42"/>
      <c r="EK22" s="42"/>
      <c r="EL22" s="42"/>
      <c r="EM22" s="42"/>
      <c r="EN22" s="42"/>
      <c r="EQ22" s="42"/>
      <c r="ER22" s="42"/>
      <c r="ES22" s="42"/>
      <c r="ET22" s="42"/>
      <c r="EU22" s="42"/>
      <c r="EV22" s="42"/>
      <c r="FA22" s="42"/>
      <c r="FB22" s="42"/>
      <c r="FC22" s="42"/>
      <c r="FD22" s="42"/>
      <c r="FM22" s="42"/>
      <c r="FW22" s="42"/>
      <c r="FY22" s="42"/>
      <c r="FZ22" s="42"/>
      <c r="GA22" s="42"/>
      <c r="GB22" s="42"/>
      <c r="GC22" s="42"/>
      <c r="GH22" s="42"/>
      <c r="GI22" s="42"/>
      <c r="GJ22" s="42"/>
      <c r="GK22" s="42"/>
      <c r="GL22" s="42"/>
      <c r="GN22" s="42"/>
      <c r="GO22" s="42"/>
      <c r="GP22" s="42"/>
      <c r="GQ22" s="42"/>
      <c r="GR22" s="42"/>
      <c r="GS22" s="42"/>
    </row>
    <row r="23" spans="1:201" x14ac:dyDescent="0.35">
      <c r="V23" s="42"/>
      <c r="AL23" s="42"/>
      <c r="AM23" s="42"/>
      <c r="AN23" s="42"/>
      <c r="AT23" s="42"/>
      <c r="AV23" s="42"/>
      <c r="AZ23" s="42"/>
      <c r="BA23" s="42"/>
      <c r="BC23" s="42"/>
      <c r="BD23" s="42"/>
      <c r="BG23" s="42"/>
      <c r="BH23" s="42"/>
      <c r="BJ23" s="42"/>
      <c r="BK23" s="42"/>
      <c r="BO23" s="42"/>
      <c r="BW23" s="42"/>
      <c r="BX23" s="42"/>
      <c r="DB23" s="42"/>
      <c r="DM23" s="42"/>
      <c r="DP23" s="42"/>
      <c r="DW23" s="42"/>
      <c r="EC23" s="42"/>
      <c r="EE23" s="42"/>
      <c r="EF23" s="42"/>
      <c r="EG23" s="42"/>
      <c r="EH23" s="42"/>
      <c r="EI23" s="42"/>
      <c r="EJ23" s="42"/>
      <c r="EK23" s="42"/>
      <c r="EL23" s="42"/>
      <c r="EM23" s="42"/>
      <c r="EN23" s="42"/>
      <c r="EQ23" s="42"/>
      <c r="ER23" s="42"/>
      <c r="ES23" s="42"/>
      <c r="ET23" s="42"/>
      <c r="EU23" s="42"/>
      <c r="EV23" s="42"/>
      <c r="FA23" s="42"/>
      <c r="FB23" s="42"/>
      <c r="FC23" s="42"/>
      <c r="FM23" s="42"/>
      <c r="FW23" s="42"/>
      <c r="FY23" s="42"/>
      <c r="FZ23" s="42"/>
      <c r="GA23" s="42"/>
      <c r="GB23" s="42"/>
      <c r="GC23" s="42"/>
      <c r="GH23" s="42"/>
      <c r="GI23" s="42"/>
      <c r="GJ23" s="42"/>
      <c r="GK23" s="42"/>
      <c r="GL23" s="42"/>
      <c r="GN23" s="42"/>
      <c r="GO23" s="42"/>
      <c r="GP23" s="42"/>
      <c r="GQ23" s="42"/>
      <c r="GR23" s="42"/>
      <c r="GS23" s="42"/>
    </row>
    <row r="24" spans="1:201" x14ac:dyDescent="0.35">
      <c r="V24" s="42"/>
      <c r="AL24" s="42"/>
      <c r="AM24" s="42"/>
      <c r="AN24" s="42"/>
      <c r="AZ24" s="42"/>
      <c r="BA24" s="42"/>
      <c r="BG24" s="42"/>
      <c r="BH24" s="42"/>
      <c r="BJ24" s="42"/>
      <c r="BK24" s="42"/>
      <c r="BO24" s="42"/>
      <c r="DB24" s="42"/>
      <c r="DM24" s="42"/>
      <c r="DP24" s="42"/>
      <c r="EC24" s="42"/>
      <c r="EE24" s="42"/>
      <c r="EF24" s="42"/>
      <c r="EG24" s="42"/>
      <c r="EH24" s="42"/>
      <c r="EK24" s="42"/>
      <c r="EL24" s="42"/>
      <c r="EM24" s="42"/>
      <c r="EN24" s="42"/>
      <c r="EQ24" s="42"/>
      <c r="ER24" s="42"/>
      <c r="ES24" s="42"/>
      <c r="ET24" s="42"/>
      <c r="EU24" s="42"/>
      <c r="EV24" s="42"/>
      <c r="FA24" s="42"/>
      <c r="FB24" s="42"/>
      <c r="FC24" s="42"/>
      <c r="FM24" s="42"/>
      <c r="FW24" s="42"/>
      <c r="FY24" s="42"/>
      <c r="FZ24" s="42"/>
      <c r="GA24" s="42"/>
      <c r="GB24" s="42"/>
      <c r="GC24" s="42"/>
      <c r="GH24" s="42"/>
      <c r="GI24" s="42"/>
      <c r="GJ24" s="42"/>
      <c r="GK24" s="42"/>
      <c r="GL24" s="42"/>
      <c r="GN24" s="42"/>
      <c r="GO24" s="42"/>
      <c r="GP24" s="42"/>
      <c r="GQ24" s="42"/>
      <c r="GR24" s="42"/>
      <c r="GS24" s="42"/>
    </row>
    <row r="25" spans="1:201" x14ac:dyDescent="0.35">
      <c r="V25" s="42"/>
      <c r="AL25" s="42"/>
      <c r="AM25" s="42"/>
      <c r="AN25" s="42"/>
      <c r="AZ25" s="42"/>
      <c r="BA25" s="42"/>
      <c r="BG25" s="42"/>
      <c r="BH25" s="42"/>
      <c r="BJ25" s="42"/>
      <c r="BK25" s="42"/>
      <c r="BO25" s="42"/>
      <c r="DB25" s="42"/>
      <c r="DM25" s="42"/>
      <c r="DP25" s="42"/>
      <c r="EC25" s="42"/>
      <c r="EH25" s="42"/>
      <c r="EK25" s="42"/>
      <c r="EL25" s="42"/>
      <c r="EM25" s="42"/>
      <c r="EN25" s="42"/>
      <c r="ET25" s="42"/>
      <c r="EU25" s="42"/>
      <c r="EV25" s="42"/>
      <c r="FA25" s="42"/>
      <c r="FB25" s="42"/>
      <c r="FC25" s="42"/>
      <c r="FM25" s="42"/>
      <c r="FW25" s="42"/>
      <c r="FY25" s="42"/>
      <c r="FZ25" s="42"/>
      <c r="GA25" s="42"/>
      <c r="GB25" s="42"/>
      <c r="GC25" s="42"/>
      <c r="GI25" s="42"/>
      <c r="GJ25" s="42"/>
      <c r="GK25" s="42"/>
      <c r="GL25" s="42"/>
      <c r="GO25" s="42"/>
      <c r="GQ25" s="42"/>
      <c r="GR25" s="42"/>
      <c r="GS25" s="42"/>
    </row>
    <row r="26" spans="1:201" x14ac:dyDescent="0.35">
      <c r="V26" s="42"/>
      <c r="AL26" s="42"/>
      <c r="AM26" s="42"/>
      <c r="AN26" s="42"/>
      <c r="AZ26" s="42"/>
      <c r="BA26" s="42"/>
      <c r="BJ26" s="42"/>
      <c r="BO26" s="42"/>
      <c r="DB26" s="42"/>
      <c r="DM26" s="42"/>
      <c r="DP26" s="42"/>
      <c r="EH26" s="42"/>
      <c r="EK26" s="42"/>
      <c r="EL26" s="42"/>
      <c r="EM26" s="42"/>
      <c r="EN26" s="42"/>
      <c r="FA26" s="42"/>
      <c r="FB26" s="42"/>
      <c r="FC26" s="42"/>
      <c r="FM26" s="42"/>
      <c r="FW26" s="42"/>
      <c r="FY26" s="42"/>
      <c r="FZ26" s="42"/>
      <c r="GA26" s="42"/>
      <c r="GB26" s="42"/>
      <c r="GC26" s="42"/>
      <c r="GI26" s="42"/>
      <c r="GJ26" s="42"/>
      <c r="GK26" s="42"/>
      <c r="GL26" s="42"/>
      <c r="GO26" s="42"/>
      <c r="GQ26" s="42"/>
      <c r="GR26" s="42"/>
      <c r="GS26" s="42"/>
    </row>
    <row r="27" spans="1:201" x14ac:dyDescent="0.35">
      <c r="V27" s="42"/>
      <c r="AL27" s="42"/>
      <c r="AN27" s="42"/>
      <c r="AZ27" s="42"/>
      <c r="BA27" s="42"/>
      <c r="BJ27" s="42"/>
      <c r="BO27" s="42"/>
      <c r="DB27" s="42"/>
      <c r="DM27" s="42"/>
      <c r="DP27" s="42"/>
      <c r="EH27" s="42"/>
      <c r="EK27" s="42"/>
      <c r="EL27" s="42"/>
      <c r="EM27" s="42"/>
      <c r="EN27" s="42"/>
      <c r="FM27" s="42"/>
      <c r="FW27" s="42"/>
      <c r="FY27" s="42"/>
      <c r="FZ27" s="42"/>
      <c r="GA27" s="42"/>
      <c r="GB27" s="42"/>
      <c r="GC27" s="42"/>
      <c r="GI27" s="42"/>
      <c r="GJ27" s="42"/>
      <c r="GK27" s="42"/>
      <c r="GL27" s="42"/>
      <c r="GQ27" s="42"/>
      <c r="GR27" s="42"/>
      <c r="GS27" s="42"/>
    </row>
    <row r="28" spans="1:201" x14ac:dyDescent="0.35">
      <c r="V28" s="42"/>
      <c r="AL28" s="42"/>
      <c r="AN28" s="42"/>
      <c r="AZ28" s="42"/>
      <c r="BA28" s="42"/>
      <c r="BJ28" s="42"/>
      <c r="BO28" s="42"/>
      <c r="DM28" s="42"/>
      <c r="DP28" s="42"/>
      <c r="EK28" s="42"/>
      <c r="EL28" s="42"/>
      <c r="EM28" s="42"/>
      <c r="EN28" s="42"/>
      <c r="FW28" s="42"/>
      <c r="FY28" s="42"/>
      <c r="FZ28" s="42"/>
      <c r="GA28" s="42"/>
      <c r="GB28" s="42"/>
      <c r="GC28" s="42"/>
      <c r="GI28" s="42"/>
      <c r="GJ28" s="42"/>
      <c r="GK28" s="42"/>
      <c r="GL28" s="42"/>
      <c r="GQ28" s="42"/>
      <c r="GR28" s="42"/>
      <c r="GS28" s="42"/>
    </row>
    <row r="29" spans="1:201" x14ac:dyDescent="0.35">
      <c r="V29" s="42"/>
      <c r="AN29" s="42"/>
      <c r="AZ29" s="42"/>
      <c r="BA29" s="42"/>
      <c r="BJ29" s="42"/>
      <c r="BO29" s="42"/>
      <c r="DM29" s="42"/>
      <c r="EK29" s="42"/>
      <c r="EL29" s="42"/>
      <c r="EM29" s="42"/>
      <c r="EN29" s="42"/>
      <c r="EP29" s="42"/>
      <c r="FW29" s="42"/>
      <c r="FY29" s="42"/>
      <c r="FZ29" s="42"/>
      <c r="GA29" s="42"/>
      <c r="GB29" s="42"/>
      <c r="GC29" s="42"/>
      <c r="GI29" s="42"/>
      <c r="GJ29" s="42"/>
      <c r="GK29" s="42"/>
      <c r="GL29" s="42"/>
      <c r="GQ29" s="42"/>
      <c r="GR29" s="42"/>
      <c r="GS29" s="42"/>
    </row>
    <row r="30" spans="1:201" x14ac:dyDescent="0.35">
      <c r="V30" s="42"/>
      <c r="AN30" s="42"/>
      <c r="AZ30" s="42"/>
      <c r="BA30" s="42"/>
      <c r="BJ30" s="42"/>
      <c r="EK30" s="42"/>
      <c r="EL30" s="42"/>
      <c r="EM30" s="42"/>
      <c r="EN30" s="42"/>
      <c r="EP30" s="42"/>
      <c r="FW30" s="42"/>
      <c r="FY30" s="42"/>
      <c r="FZ30" s="42"/>
      <c r="GA30" s="42"/>
      <c r="GB30" s="42"/>
      <c r="GC30" s="42"/>
      <c r="GI30" s="42"/>
      <c r="GJ30" s="42"/>
      <c r="GK30" s="42"/>
      <c r="GL30" s="42"/>
      <c r="GQ30" s="42"/>
      <c r="GR30" s="42"/>
      <c r="GS30" s="42"/>
    </row>
    <row r="31" spans="1:201" x14ac:dyDescent="0.35">
      <c r="V31" s="42"/>
      <c r="AN31" s="42"/>
      <c r="AZ31" s="42"/>
      <c r="BA31" s="42"/>
      <c r="BJ31" s="42"/>
      <c r="EK31" s="42"/>
      <c r="EL31" s="42"/>
      <c r="EM31" s="42"/>
      <c r="EN31" s="42"/>
      <c r="EP31" s="42"/>
      <c r="FY31" s="42"/>
      <c r="FZ31" s="42"/>
      <c r="GA31" s="42"/>
      <c r="GB31" s="42"/>
      <c r="GC31" s="42"/>
      <c r="GI31" s="42"/>
      <c r="GJ31" s="42"/>
      <c r="GK31" s="42"/>
      <c r="GL31" s="42"/>
      <c r="GQ31" s="42"/>
      <c r="GR31" s="42"/>
      <c r="GS31" s="42"/>
    </row>
    <row r="32" spans="1:201" x14ac:dyDescent="0.35">
      <c r="AN32" s="42"/>
      <c r="AZ32" s="42"/>
      <c r="BA32" s="42"/>
      <c r="BJ32" s="42"/>
      <c r="EK32" s="42"/>
      <c r="FY32" s="42"/>
      <c r="FZ32" s="42"/>
      <c r="GA32" s="42"/>
      <c r="GB32" s="42"/>
      <c r="GI32" s="42"/>
      <c r="GJ32" s="42"/>
      <c r="GK32" s="42"/>
      <c r="GL32" s="42"/>
      <c r="GQ32" s="42"/>
      <c r="GR32" s="42"/>
      <c r="GS32" s="42"/>
    </row>
    <row r="33" spans="40:201" x14ac:dyDescent="0.35">
      <c r="AN33" s="42"/>
      <c r="AZ33" s="42"/>
      <c r="BA33" s="42"/>
      <c r="BJ33" s="42"/>
      <c r="EK33" s="42"/>
      <c r="FY33" s="42"/>
      <c r="FZ33" s="42"/>
      <c r="GA33" s="42"/>
      <c r="GB33" s="42"/>
      <c r="GI33" s="42"/>
      <c r="GJ33" s="42"/>
      <c r="GK33" s="42"/>
      <c r="GL33" s="42"/>
      <c r="GQ33" s="42"/>
      <c r="GR33" s="42"/>
      <c r="GS33" s="42"/>
    </row>
    <row r="34" spans="40:201" x14ac:dyDescent="0.35">
      <c r="AN34" s="42"/>
      <c r="BA34" s="42"/>
      <c r="BJ34" s="42"/>
      <c r="EK34" s="42"/>
      <c r="FY34" s="42"/>
      <c r="FZ34" s="42"/>
      <c r="GA34" s="42"/>
      <c r="GB34" s="42"/>
      <c r="GI34" s="42"/>
      <c r="GJ34" s="42"/>
      <c r="GK34" s="42"/>
      <c r="GL34" s="42"/>
      <c r="GQ34" s="42"/>
      <c r="GR34" s="42"/>
      <c r="GS34" s="42"/>
    </row>
    <row r="35" spans="40:201" x14ac:dyDescent="0.35">
      <c r="AN35" s="42"/>
      <c r="BA35" s="42"/>
      <c r="BJ35" s="42"/>
      <c r="EK35" s="42"/>
      <c r="FY35" s="42"/>
      <c r="FZ35" s="42"/>
      <c r="GA35" s="42"/>
      <c r="GB35" s="42"/>
      <c r="GI35" s="42"/>
      <c r="GJ35" s="42"/>
      <c r="GK35" s="42"/>
      <c r="GL35" s="42"/>
      <c r="GQ35" s="42"/>
      <c r="GR35" s="42"/>
      <c r="GS35" s="42"/>
    </row>
    <row r="36" spans="40:201" x14ac:dyDescent="0.35">
      <c r="AN36" s="42"/>
      <c r="BA36" s="42"/>
      <c r="BJ36" s="42"/>
      <c r="EK36" s="42"/>
      <c r="FY36" s="42"/>
      <c r="FZ36" s="42"/>
      <c r="GA36" s="42"/>
      <c r="GB36" s="42"/>
      <c r="GK36" s="42"/>
      <c r="GL36" s="42"/>
      <c r="GQ36" s="42"/>
      <c r="GR36" s="42"/>
      <c r="GS36" s="42"/>
    </row>
    <row r="37" spans="40:201" x14ac:dyDescent="0.35">
      <c r="AN37" s="42"/>
      <c r="BA37" s="42"/>
      <c r="EK37" s="42"/>
      <c r="FY37" s="42"/>
      <c r="GA37" s="42"/>
      <c r="GB37" s="42"/>
      <c r="GK37" s="42"/>
      <c r="GL37" s="42"/>
      <c r="GQ37" s="42"/>
      <c r="GR37" s="42"/>
      <c r="GS37" s="42"/>
    </row>
    <row r="38" spans="40:201" x14ac:dyDescent="0.35">
      <c r="AN38" s="42"/>
      <c r="BA38" s="42"/>
      <c r="EK38" s="42"/>
      <c r="FY38" s="42"/>
      <c r="GA38" s="42"/>
      <c r="GB38" s="42"/>
      <c r="GK38" s="42"/>
      <c r="GL38" s="42"/>
      <c r="GQ38" s="42"/>
      <c r="GR38" s="42"/>
      <c r="GS38" s="42"/>
    </row>
    <row r="39" spans="40:201" x14ac:dyDescent="0.35">
      <c r="AN39" s="42"/>
      <c r="BA39" s="42"/>
      <c r="EK39" s="42"/>
      <c r="FY39" s="42"/>
      <c r="GA39" s="42"/>
      <c r="GB39" s="42"/>
      <c r="GK39" s="42"/>
      <c r="GL39" s="42"/>
      <c r="GQ39" s="42"/>
      <c r="GR39" s="42"/>
      <c r="GS39" s="42"/>
    </row>
    <row r="40" spans="40:201" x14ac:dyDescent="0.35">
      <c r="BA40" s="42"/>
      <c r="EK40" s="42"/>
      <c r="FY40" s="42"/>
      <c r="GA40" s="42"/>
      <c r="GB40" s="42"/>
      <c r="GK40" s="42"/>
      <c r="GL40" s="42"/>
      <c r="GQ40" s="42"/>
      <c r="GR40" s="42"/>
      <c r="GS40" s="42"/>
    </row>
    <row r="41" spans="40:201" x14ac:dyDescent="0.35">
      <c r="BA41" s="42"/>
      <c r="EK41" s="42"/>
      <c r="FY41" s="42"/>
      <c r="GB41" s="42"/>
      <c r="GK41" s="42"/>
      <c r="GL41" s="42"/>
      <c r="GQ41" s="42"/>
      <c r="GR41" s="42"/>
      <c r="GS41" s="42"/>
    </row>
    <row r="42" spans="40:201" x14ac:dyDescent="0.35">
      <c r="BA42" s="42"/>
      <c r="EK42" s="42"/>
      <c r="FY42" s="42"/>
      <c r="GB42" s="42"/>
      <c r="GK42" s="42"/>
      <c r="GL42" s="42"/>
      <c r="GQ42" s="42"/>
      <c r="GR42" s="42"/>
      <c r="GS42" s="42"/>
    </row>
    <row r="43" spans="40:201" x14ac:dyDescent="0.35">
      <c r="BA43" s="42"/>
      <c r="FY43" s="42"/>
      <c r="GB43" s="42"/>
      <c r="GK43" s="42"/>
      <c r="GL43" s="42"/>
      <c r="GQ43" s="42"/>
      <c r="GR43" s="42"/>
      <c r="GS43" s="42"/>
    </row>
    <row r="44" spans="40:201" x14ac:dyDescent="0.35">
      <c r="BA44" s="42"/>
      <c r="FY44" s="42"/>
      <c r="GB44" s="42"/>
      <c r="GK44" s="42"/>
      <c r="GL44" s="42"/>
      <c r="GQ44" s="42"/>
      <c r="GR44" s="42"/>
      <c r="GS44" s="42"/>
    </row>
    <row r="45" spans="40:201" x14ac:dyDescent="0.35">
      <c r="BA45" s="42"/>
      <c r="FY45" s="42"/>
      <c r="GB45" s="42"/>
      <c r="GK45" s="42"/>
      <c r="GL45" s="42"/>
      <c r="GQ45" s="42"/>
      <c r="GR45" s="42"/>
      <c r="GS45" s="42"/>
    </row>
    <row r="46" spans="40:201" x14ac:dyDescent="0.35">
      <c r="BA46" s="42"/>
      <c r="FY46" s="42"/>
      <c r="GB46" s="42"/>
      <c r="GK46" s="42"/>
      <c r="GL46" s="42"/>
      <c r="GQ46" s="42"/>
      <c r="GR46" s="42"/>
      <c r="GS46" s="42"/>
    </row>
    <row r="47" spans="40:201" x14ac:dyDescent="0.35">
      <c r="BA47" s="42"/>
      <c r="FY47" s="42"/>
      <c r="GB47" s="42"/>
      <c r="GK47" s="42"/>
      <c r="GL47" s="42"/>
      <c r="GQ47" s="42"/>
      <c r="GR47" s="42"/>
      <c r="GS47" s="42"/>
    </row>
    <row r="48" spans="40:201" x14ac:dyDescent="0.35">
      <c r="BA48" s="42"/>
      <c r="FY48" s="42"/>
      <c r="GB48" s="42"/>
      <c r="GK48" s="42"/>
      <c r="GL48" s="42"/>
      <c r="GQ48" s="42"/>
      <c r="GR48" s="42"/>
      <c r="GS48" s="42"/>
    </row>
    <row r="49" spans="53:201" x14ac:dyDescent="0.35">
      <c r="BA49" s="42"/>
      <c r="FY49" s="42"/>
      <c r="GB49" s="42"/>
      <c r="GK49" s="42"/>
      <c r="GL49" s="42"/>
      <c r="GQ49" s="42"/>
      <c r="GR49" s="42"/>
      <c r="GS49" s="42"/>
    </row>
    <row r="50" spans="53:201" x14ac:dyDescent="0.35">
      <c r="BA50" s="42"/>
      <c r="FY50" s="42"/>
      <c r="GB50" s="42"/>
      <c r="GK50" s="42"/>
      <c r="GL50" s="42"/>
      <c r="GQ50" s="42"/>
      <c r="GR50" s="42"/>
      <c r="GS50" s="42"/>
    </row>
    <row r="51" spans="53:201" x14ac:dyDescent="0.35">
      <c r="FY51" s="42"/>
      <c r="GB51" s="42"/>
      <c r="GK51" s="42"/>
      <c r="GL51" s="42"/>
      <c r="GQ51" s="42"/>
      <c r="GR51" s="42"/>
      <c r="GS51" s="42"/>
    </row>
    <row r="52" spans="53:201" x14ac:dyDescent="0.35">
      <c r="FY52" s="42"/>
      <c r="GB52" s="42"/>
      <c r="GK52" s="42"/>
      <c r="GL52" s="42"/>
      <c r="GQ52" s="42"/>
      <c r="GR52" s="42"/>
      <c r="GS52" s="42"/>
    </row>
    <row r="53" spans="53:201" x14ac:dyDescent="0.35">
      <c r="FY53" s="42"/>
      <c r="GB53" s="42"/>
      <c r="GK53" s="42"/>
      <c r="GL53" s="42"/>
      <c r="GQ53" s="42"/>
      <c r="GR53" s="42"/>
      <c r="GS53" s="42"/>
    </row>
    <row r="54" spans="53:201" x14ac:dyDescent="0.35">
      <c r="FY54" s="42"/>
      <c r="GB54" s="42"/>
      <c r="GK54" s="42"/>
      <c r="GL54" s="42"/>
      <c r="GQ54" s="42"/>
      <c r="GR54" s="42"/>
      <c r="GS54" s="42"/>
    </row>
    <row r="55" spans="53:201" x14ac:dyDescent="0.35">
      <c r="FY55" s="42"/>
      <c r="GB55" s="42"/>
      <c r="GK55" s="42"/>
      <c r="GL55" s="42"/>
      <c r="GQ55" s="42"/>
      <c r="GR55" s="42"/>
      <c r="GS55" s="42"/>
    </row>
    <row r="56" spans="53:201" x14ac:dyDescent="0.35">
      <c r="FY56" s="42"/>
      <c r="GB56" s="42"/>
      <c r="GK56" s="42"/>
      <c r="GL56" s="42"/>
      <c r="GQ56" s="42"/>
      <c r="GR56" s="42"/>
      <c r="GS56" s="42"/>
    </row>
    <row r="57" spans="53:201" x14ac:dyDescent="0.35">
      <c r="FY57" s="42"/>
      <c r="GB57" s="42"/>
      <c r="GK57" s="42"/>
      <c r="GL57" s="42"/>
      <c r="GQ57" s="42"/>
      <c r="GR57" s="42"/>
      <c r="GS57" s="42"/>
    </row>
    <row r="58" spans="53:201" x14ac:dyDescent="0.35">
      <c r="FY58" s="42"/>
      <c r="GB58" s="42"/>
      <c r="GK58" s="42"/>
      <c r="GL58" s="42"/>
      <c r="GQ58" s="42"/>
      <c r="GR58" s="42"/>
      <c r="GS58" s="42"/>
    </row>
    <row r="59" spans="53:201" x14ac:dyDescent="0.35">
      <c r="FY59" s="42"/>
      <c r="GB59" s="42"/>
      <c r="GK59" s="42"/>
      <c r="GL59" s="42"/>
      <c r="GQ59" s="42"/>
      <c r="GR59" s="42"/>
      <c r="GS59" s="42"/>
    </row>
    <row r="60" spans="53:201" x14ac:dyDescent="0.35">
      <c r="FY60" s="42"/>
      <c r="GB60" s="42"/>
      <c r="GK60" s="42"/>
      <c r="GL60" s="42"/>
      <c r="GQ60" s="42"/>
      <c r="GR60" s="42"/>
      <c r="GS60" s="42"/>
    </row>
    <row r="61" spans="53:201" x14ac:dyDescent="0.35">
      <c r="FY61" s="42"/>
      <c r="GB61" s="42"/>
      <c r="GK61" s="42"/>
      <c r="GL61" s="42"/>
      <c r="GQ61" s="42"/>
      <c r="GR61" s="42"/>
      <c r="GS61" s="42"/>
    </row>
    <row r="62" spans="53:201" x14ac:dyDescent="0.35">
      <c r="FY62" s="42"/>
      <c r="GB62" s="42"/>
      <c r="GK62" s="42"/>
      <c r="GL62" s="42"/>
      <c r="GQ62" s="42"/>
      <c r="GR62" s="42"/>
      <c r="GS62" s="42"/>
    </row>
    <row r="63" spans="53:201" x14ac:dyDescent="0.35">
      <c r="FY63" s="42"/>
      <c r="GB63" s="42"/>
      <c r="GK63" s="42"/>
      <c r="GL63" s="42"/>
      <c r="GQ63" s="42"/>
      <c r="GR63" s="42"/>
      <c r="GS63" s="42"/>
    </row>
    <row r="64" spans="53:201" x14ac:dyDescent="0.35">
      <c r="FY64" s="42"/>
      <c r="GB64" s="42"/>
      <c r="GK64" s="42"/>
      <c r="GL64" s="42"/>
      <c r="GQ64" s="42"/>
      <c r="GR64" s="42"/>
      <c r="GS64" s="42"/>
    </row>
    <row r="65" spans="181:201" x14ac:dyDescent="0.35">
      <c r="FY65" s="42"/>
      <c r="GB65" s="42"/>
      <c r="GQ65" s="42"/>
      <c r="GR65" s="42"/>
      <c r="GS65" s="42"/>
    </row>
    <row r="66" spans="181:201" x14ac:dyDescent="0.35">
      <c r="FY66" s="42"/>
      <c r="GB66" s="42"/>
      <c r="GQ66" s="42"/>
      <c r="GR66" s="42"/>
      <c r="GS66" s="42"/>
    </row>
    <row r="67" spans="181:201" x14ac:dyDescent="0.35">
      <c r="FY67" s="42"/>
      <c r="GB67" s="42"/>
      <c r="GQ67" s="42"/>
      <c r="GR67" s="42"/>
      <c r="GS67" s="42"/>
    </row>
    <row r="68" spans="181:201" x14ac:dyDescent="0.35">
      <c r="FY68" s="42"/>
      <c r="GQ68" s="42"/>
      <c r="GR68" s="42"/>
      <c r="GS68" s="42"/>
    </row>
    <row r="69" spans="181:201" x14ac:dyDescent="0.35">
      <c r="FY69" s="42"/>
      <c r="GQ69" s="42"/>
      <c r="GR69" s="42"/>
      <c r="GS69" s="42"/>
    </row>
    <row r="70" spans="181:201" x14ac:dyDescent="0.35">
      <c r="FY70" s="42"/>
      <c r="GQ70" s="42"/>
      <c r="GR70" s="42"/>
      <c r="GS70" s="42"/>
    </row>
    <row r="71" spans="181:201" x14ac:dyDescent="0.35">
      <c r="FY71" s="42"/>
      <c r="GQ71" s="42"/>
      <c r="GR71" s="42"/>
      <c r="GS71" s="42"/>
    </row>
    <row r="72" spans="181:201" x14ac:dyDescent="0.35">
      <c r="FY72" s="42"/>
      <c r="GQ72" s="42"/>
      <c r="GR72" s="42"/>
      <c r="GS72" s="42"/>
    </row>
    <row r="73" spans="181:201" x14ac:dyDescent="0.35">
      <c r="FY73" s="42"/>
      <c r="GQ73" s="42"/>
      <c r="GR73" s="42"/>
      <c r="GS73" s="42"/>
    </row>
    <row r="74" spans="181:201" x14ac:dyDescent="0.35">
      <c r="FY74" s="42"/>
      <c r="GQ74" s="42"/>
      <c r="GR74" s="42"/>
      <c r="GS74" s="42"/>
    </row>
    <row r="75" spans="181:201" x14ac:dyDescent="0.35">
      <c r="FY75" s="42"/>
      <c r="GQ75" s="42"/>
      <c r="GR75" s="42"/>
      <c r="GS75" s="42"/>
    </row>
    <row r="76" spans="181:201" x14ac:dyDescent="0.35">
      <c r="FY76" s="42"/>
      <c r="GQ76" s="42"/>
      <c r="GR76" s="42"/>
      <c r="GS76" s="42"/>
    </row>
    <row r="77" spans="181:201" x14ac:dyDescent="0.35">
      <c r="FY77" s="42"/>
      <c r="GQ77" s="42"/>
      <c r="GR77" s="42"/>
      <c r="GS77" s="42"/>
    </row>
    <row r="78" spans="181:201" x14ac:dyDescent="0.35">
      <c r="FY78" s="42"/>
      <c r="GQ78" s="42"/>
      <c r="GR78" s="42"/>
      <c r="GS78" s="42"/>
    </row>
    <row r="79" spans="181:201" x14ac:dyDescent="0.35">
      <c r="FY79" s="42"/>
      <c r="GQ79" s="42"/>
      <c r="GR79" s="42"/>
      <c r="GS79" s="42"/>
    </row>
    <row r="80" spans="181:201" x14ac:dyDescent="0.35">
      <c r="FY80" s="42"/>
      <c r="GQ80" s="42"/>
      <c r="GR80" s="42"/>
      <c r="GS80" s="42"/>
    </row>
    <row r="81" spans="181:201" x14ac:dyDescent="0.35">
      <c r="FY81" s="42"/>
      <c r="GQ81" s="42"/>
      <c r="GR81" s="42"/>
      <c r="GS81" s="42"/>
    </row>
    <row r="82" spans="181:201" x14ac:dyDescent="0.35">
      <c r="FY82" s="42"/>
      <c r="GQ82" s="42"/>
      <c r="GR82" s="42"/>
      <c r="GS82" s="42"/>
    </row>
    <row r="83" spans="181:201" x14ac:dyDescent="0.35">
      <c r="FY83" s="42"/>
      <c r="GQ83" s="42"/>
      <c r="GR83" s="42"/>
      <c r="GS83" s="42"/>
    </row>
    <row r="84" spans="181:201" x14ac:dyDescent="0.35">
      <c r="FY84" s="42"/>
      <c r="GQ84" s="42"/>
      <c r="GR84" s="42"/>
      <c r="GS84" s="42"/>
    </row>
    <row r="85" spans="181:201" x14ac:dyDescent="0.35">
      <c r="FY85" s="42"/>
      <c r="GQ85" s="42"/>
      <c r="GR85" s="42"/>
      <c r="GS85" s="42"/>
    </row>
    <row r="86" spans="181:201" x14ac:dyDescent="0.35">
      <c r="FY86" s="42"/>
      <c r="GQ86" s="42"/>
      <c r="GR86" s="42"/>
      <c r="GS86" s="42"/>
    </row>
    <row r="87" spans="181:201" x14ac:dyDescent="0.35">
      <c r="FY87" s="42"/>
      <c r="GQ87" s="42"/>
      <c r="GR87" s="42"/>
    </row>
    <row r="88" spans="181:201" x14ac:dyDescent="0.35">
      <c r="GQ88" s="42"/>
      <c r="GR88" s="42"/>
    </row>
    <row r="89" spans="181:201" x14ac:dyDescent="0.35">
      <c r="GQ89" s="42"/>
      <c r="GR89" s="42"/>
    </row>
    <row r="90" spans="181:201" x14ac:dyDescent="0.35">
      <c r="GQ90" s="42"/>
      <c r="GR90" s="42"/>
    </row>
    <row r="91" spans="181:201" x14ac:dyDescent="0.35">
      <c r="GR91" s="42"/>
    </row>
    <row r="92" spans="181:201" x14ac:dyDescent="0.35">
      <c r="GR92" s="42"/>
    </row>
    <row r="93" spans="181:201" x14ac:dyDescent="0.35">
      <c r="GR93" s="42"/>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S33"/>
  <sheetViews>
    <sheetView zoomScaleNormal="100" workbookViewId="0">
      <selection activeCell="FY1" sqref="FY1:FY1048576"/>
    </sheetView>
  </sheetViews>
  <sheetFormatPr defaultRowHeight="14.5" x14ac:dyDescent="0.35"/>
  <cols>
    <col min="75" max="75" width="12.453125" bestFit="1" customWidth="1"/>
    <col min="124" max="124" width="11.6328125" bestFit="1" customWidth="1"/>
    <col min="132" max="132" width="12.453125" bestFit="1" customWidth="1"/>
    <col min="137" max="137" width="11.6328125" bestFit="1" customWidth="1"/>
    <col min="147" max="147" width="12.453125" bestFit="1" customWidth="1"/>
    <col min="157" max="157" width="11.6328125" bestFit="1" customWidth="1"/>
    <col min="165" max="165" width="11.6328125" bestFit="1" customWidth="1"/>
  </cols>
  <sheetData>
    <row r="1" spans="1:201" x14ac:dyDescent="0.35">
      <c r="A1" s="5" t="s">
        <v>518</v>
      </c>
    </row>
    <row r="2" spans="1:201" s="42" customFormat="1" x14ac:dyDescent="0.35"/>
    <row r="3" spans="1:201" s="1" customFormat="1" ht="87" x14ac:dyDescent="0.35">
      <c r="A3" s="1" t="str">
        <f>'Formulation Name Data'!A160&amp;"_T1"</f>
        <v>D502W_CL_C8G3_DGBE_0.2_0.19_0.5_T1</v>
      </c>
      <c r="B3" s="1" t="str">
        <f>'Formulation Name Data'!A160&amp;"_T2"</f>
        <v>D502W_CL_C8G3_DGBE_0.2_0.19_0.5_T2</v>
      </c>
      <c r="C3" s="1" t="str">
        <f>'Formulation Name Data'!A160&amp;"_T3"</f>
        <v>D502W_CL_C8G3_DGBE_0.2_0.19_0.5_T3</v>
      </c>
      <c r="D3" s="1" t="str">
        <f>'Formulation Name Data'!A56&amp;"_T1"</f>
        <v>G215_0.5_T1</v>
      </c>
      <c r="E3" s="1" t="str">
        <f>'Formulation Name Data'!A56&amp;"_T2"</f>
        <v>G215_0.5_T2</v>
      </c>
      <c r="F3" s="1" t="str">
        <f>'Formulation Name Data'!A56&amp;"_T3"</f>
        <v>G215_0.5_T3</v>
      </c>
      <c r="G3" s="1" t="str">
        <f>'Formulation Name Data'!A33&amp;"_T1"</f>
        <v>D502W_G215_DGBE_0.075_0.05_0.5_T1</v>
      </c>
      <c r="H3" s="1" t="str">
        <f>'Formulation Name Data'!A33&amp;"_T2"</f>
        <v>D502W_G215_DGBE_0.075_0.05_0.5_T2</v>
      </c>
      <c r="I3" s="1" t="str">
        <f>'Formulation Name Data'!A33&amp;"_T3"</f>
        <v>D502W_G215_DGBE_0.075_0.05_0.5_T3</v>
      </c>
      <c r="J3" s="1" t="str">
        <f>'Formulation Name Data'!A98&amp;"_T1"</f>
        <v>ComSor1830503_T1</v>
      </c>
      <c r="K3" s="1" t="str">
        <f>'Formulation Name Data'!A98&amp;"_T2"</f>
        <v>ComSor1830503_T2</v>
      </c>
      <c r="L3" s="1" t="str">
        <f>'Formulation Name Data'!A99&amp;"_T1"</f>
        <v>ComSor_26990-95B_T1</v>
      </c>
      <c r="M3" s="1" t="str">
        <f>'Formulation Name Data'!A100&amp;"_T1"</f>
        <v>ComSor_26990-95C_T1</v>
      </c>
      <c r="N3" s="1" t="str">
        <f>'Formulation Name Data'!A100&amp;"_T2"</f>
        <v>ComSor_26990-95C_T2</v>
      </c>
      <c r="O3" s="1" t="str">
        <f>'Formulation Name Data'!A101&amp;"_T1"</f>
        <v>ComSor_26990-95D_T1</v>
      </c>
      <c r="P3" s="1" t="str">
        <f>'Formulation Name Data'!A101&amp;"_T2"</f>
        <v>ComSor_26990-95D_T2</v>
      </c>
      <c r="Q3" s="1" t="str">
        <f>'Formulation Name Data'!A102&amp;"_T1"</f>
        <v>D502W_C8SG2_DGBE_0.2_0.19_0.5_T1</v>
      </c>
      <c r="R3" s="1" t="str">
        <f>'Formulation Name Data'!A102&amp;"_T2"</f>
        <v>D502W_C8SG2_DGBE_0.2_0.19_0.5_T2</v>
      </c>
      <c r="S3" s="1" t="str">
        <f>'Formulation Name Data'!A102&amp;"_T3"</f>
        <v>D502W_C8SG2_DGBE_0.2_0.19_0.5_T3</v>
      </c>
      <c r="T3" s="1" t="str">
        <f>'Formulation Name Data'!A103&amp;"_T1"</f>
        <v>D502W_Cymal_DGBE_0.2_0.19_0.5_T1</v>
      </c>
      <c r="U3" s="1" t="str">
        <f>'Formulation Name Data'!A103&amp;"_T2"</f>
        <v>D502W_Cymal_DGBE_0.2_0.19_0.5_T2</v>
      </c>
      <c r="V3" s="1" t="str">
        <f>'Formulation Name Data'!A103&amp;"_T3"</f>
        <v>D502W_Cymal_DGBE_0.2_0.19_0.5_T3</v>
      </c>
      <c r="W3" s="1" t="str">
        <f>'Formulation Name Data'!A104&amp;"_T1"</f>
        <v>D502W_iC8G2_DGBE_0.2_0.19_0.5_T1</v>
      </c>
      <c r="X3" s="1" t="str">
        <f>'Formulation Name Data'!A104&amp;"_T2"</f>
        <v>D502W_iC8G2_DGBE_0.2_0.19_0.5_T2</v>
      </c>
      <c r="Y3" s="1" t="str">
        <f>'Formulation Name Data'!A104&amp;"_T3"</f>
        <v>D502W_iC8G2_DGBE_0.2_0.19_0.5_T3</v>
      </c>
      <c r="Z3" s="1" t="str">
        <f>'Formulation Name Data'!A105&amp;"_T1"</f>
        <v>D502W_C6G2_DGBE_0.2_0.19_0.5_T1</v>
      </c>
      <c r="AA3" s="1" t="str">
        <f>'Formulation Name Data'!A105&amp;"_T2"</f>
        <v>D502W_C6G2_DGBE_0.2_0.19_0.5_T2</v>
      </c>
      <c r="AB3" s="1" t="str">
        <f>'Formulation Name Data'!A105&amp;"_T3"</f>
        <v>D502W_C6G2_DGBE_0.2_0.19_0.5_T3</v>
      </c>
      <c r="AC3" s="1" t="str">
        <f>'Formulation Name Data'!A106&amp;"_T1"</f>
        <v>D502W_C9G2_DGBE_0.2_0.19_0.5_T1</v>
      </c>
      <c r="AD3" s="1" t="str">
        <f>'Formulation Name Data'!A106&amp;"_T2"</f>
        <v>D502W_C9G2_DGBE_0.2_0.19_0.5_T2</v>
      </c>
      <c r="AE3" s="1" t="str">
        <f>'Formulation Name Data'!A106&amp;"_T3"</f>
        <v>D502W_C9G2_DGBE_0.2_0.19_0.5_T3</v>
      </c>
      <c r="AF3" s="1" t="str">
        <f>'Formulation Name Data'!A107&amp;"_T1"</f>
        <v>D502W_C6G1_DGBE_0.2_0.19_0.5_T1</v>
      </c>
      <c r="AG3" s="1" t="str">
        <f>'Formulation Name Data'!A107&amp;"_T2"</f>
        <v>D502W_C6G1_DGBE_0.2_0.19_0.5_T2</v>
      </c>
      <c r="AH3" s="1" t="str">
        <f>'Formulation Name Data'!A107&amp;"_T3"</f>
        <v>D502W_C6G1_DGBE_0.2_0.19_0.5_T3</v>
      </c>
      <c r="AI3" s="1" t="str">
        <f>'Formulation Name Data'!A108&amp;"_T1"</f>
        <v>D502W_C7G1_DGBE_0.2_0.19_0.5_T1</v>
      </c>
      <c r="AJ3" s="1" t="str">
        <f>'Formulation Name Data'!A108&amp;"_T2"</f>
        <v>D502W_C7G1_DGBE_0.2_0.19_0.5_T2</v>
      </c>
      <c r="AK3" s="1" t="str">
        <f>'Formulation Name Data'!A108&amp;"_T3"</f>
        <v>D502W_C7G1_DGBE_0.2_0.19_0.5_T3</v>
      </c>
      <c r="AL3" s="1" t="str">
        <f>'Formulation Name Data'!A44&amp;"_T1"</f>
        <v>Cap_0.5_T1</v>
      </c>
      <c r="AM3" s="1" t="str">
        <f>'Formulation Name Data'!A44&amp;"_T2"</f>
        <v>Cap_0.5_T2</v>
      </c>
      <c r="AN3" s="1" t="str">
        <f>'Formulation Name Data'!A44&amp;"_T3"</f>
        <v>Cap_0.5_T3</v>
      </c>
      <c r="AO3" s="1" t="str">
        <f>'Formulation Name Data'!A41&amp;"_T1"</f>
        <v>G225_0.5_T1</v>
      </c>
      <c r="AP3" s="1" t="str">
        <f>'Formulation Name Data'!A41&amp;"_T2"</f>
        <v>G225_0.5_T2</v>
      </c>
      <c r="AQ3" s="1" t="str">
        <f>'Formulation Name Data'!A41&amp;"_T3"</f>
        <v>G225_0.5_T3</v>
      </c>
      <c r="AR3" s="1" t="str">
        <f>'Formulation Name Data'!A38&amp;"_T1"</f>
        <v>D502W_G225_0.2_0.3_T1</v>
      </c>
      <c r="AS3" s="1" t="str">
        <f>'Formulation Name Data'!A38&amp;"_T2"</f>
        <v>D502W_G225_0.2_0.3_T2</v>
      </c>
      <c r="AT3" s="1" t="str">
        <f>'Formulation Name Data'!A38&amp;"_T3"</f>
        <v>D502W_G225_0.2_0.3_T3</v>
      </c>
      <c r="AU3" s="1" t="str">
        <f>'Formulation Name Data'!A37&amp;"_T5"</f>
        <v>D502W_G225_DGBE_0.2_0.3_0.5_T5</v>
      </c>
      <c r="AV3" s="1" t="str">
        <f>'Formulation Name Data'!A37&amp;"_T6"</f>
        <v>D502W_G225_DGBE_0.2_0.3_0.5_T6</v>
      </c>
      <c r="AW3" s="1" t="str">
        <f>'Formulation Name Data'!A37&amp;"_T7"</f>
        <v>D502W_G225_DGBE_0.2_0.3_0.5_T7</v>
      </c>
      <c r="AX3" s="1" t="str">
        <f>'Formulation Name Data'!A109&amp;"_T1"</f>
        <v>G225_DGBE_0.3_0.5_T1</v>
      </c>
      <c r="AY3" s="1" t="str">
        <f>'Formulation Name Data'!A109&amp;"_T2"</f>
        <v>G225_DGBE_0.3_0.5_T2</v>
      </c>
      <c r="AZ3" s="1" t="str">
        <f>'Formulation Name Data'!A64&amp;"_T1"</f>
        <v>Avio®F3 Green KHC_T1</v>
      </c>
      <c r="BA3" s="1" t="str">
        <f>'Formulation Name Data'!A64&amp;"_T2"</f>
        <v>Avio®F3 Green KHC_T2</v>
      </c>
      <c r="BB3" s="1" t="str">
        <f>'Formulation Name Data'!A64&amp;"_T3"</f>
        <v>Avio®F3 Green KHC_T3</v>
      </c>
      <c r="BC3" s="1" t="str">
        <f>'Formulation Name Data'!A65&amp;"_T1"</f>
        <v>JetFoam 3%_T1</v>
      </c>
      <c r="BD3" s="1" t="str">
        <f>'Formulation Name Data'!A65&amp;"_T2"</f>
        <v>JetFoam 3%_T2</v>
      </c>
      <c r="BE3" s="1" t="str">
        <f>'Formulation Name Data'!A110&amp;"_T1"</f>
        <v>ComSor_EXP-21-CH1035-B_T1</v>
      </c>
      <c r="BF3" s="1" t="str">
        <f>'Formulation Name Data'!A110&amp;"_T2"</f>
        <v>ComSor_EXP-21-CH1035-B_T2</v>
      </c>
      <c r="BG3" s="1" t="str">
        <f>'Formulation Name Data'!A117&amp;"_T1"</f>
        <v>ComSor_EXP-21-CH1035-A_T1</v>
      </c>
      <c r="BH3" s="1" t="str">
        <f>'Formulation Name Data'!A117&amp;"_T2"</f>
        <v>ComSor_EXP-21-CH1035-A_T2</v>
      </c>
      <c r="BI3" s="1" t="str">
        <f>'Formulation Name Data'!A118&amp;"_T1"</f>
        <v>ComSor_EXP-21-CH1035-C_T1</v>
      </c>
      <c r="BJ3" s="1" t="str">
        <f>'Formulation Name Data'!A63&amp;"_T1"</f>
        <v>ComSor_EXP-21-1_T1</v>
      </c>
      <c r="BK3" s="1" t="str">
        <f>'Formulation Name Data'!A63&amp;"_T2"</f>
        <v>ComSor_EXP-21-1_T2</v>
      </c>
      <c r="BL3" s="1" t="str">
        <f>'Formulation Name Data'!A62&amp;"_T1"</f>
        <v>ComSor_EXP-21-2_T1</v>
      </c>
      <c r="BM3" s="1" t="str">
        <f>'Formulation Name Data'!A62&amp;"_T2"</f>
        <v>ComSor_EXP-21-2_T2</v>
      </c>
      <c r="BN3" s="1" t="str">
        <f>'Formulation Name Data'!A68&amp;"_T1"</f>
        <v>ComSor_EXP-21-3_T1</v>
      </c>
      <c r="BO3" s="1" t="str">
        <f>'Formulation Name Data'!A69&amp;"_T1"</f>
        <v>ComSor_EXP-21-5_T1</v>
      </c>
      <c r="BP3" s="1" t="str">
        <f>'Formulation Name Data'!A69&amp;"_T2"</f>
        <v>ComSor_EXP-21-5_T2</v>
      </c>
      <c r="BQ3" s="1" t="str">
        <f>'Formulation Name Data'!A70&amp;"_T1"</f>
        <v>ComSor_EXP-21-6_T1</v>
      </c>
      <c r="BR3" s="1" t="str">
        <f>'Formulation Name Data'!A70&amp;"_T2"</f>
        <v>ComSor_EXP-21-6_T2</v>
      </c>
      <c r="BS3" s="1" t="str">
        <f>'Formulation Name Data'!A71&amp;"_T1"</f>
        <v>ComSor_EXP-21-7_T1</v>
      </c>
      <c r="BT3" s="1" t="str">
        <f>'Formulation Name Data'!A71&amp;"_T2"</f>
        <v>ComSor_EXP-21-7_T2</v>
      </c>
      <c r="BU3" s="1" t="str">
        <f>'Formulation Name Data'!A8&amp;"_T1"</f>
        <v>Cap_G215_DGBE_0.3_0.2_0.5_T1</v>
      </c>
      <c r="BV3" s="1" t="str">
        <f>'Formulation Name Data'!A8&amp;"_T2"</f>
        <v>Cap_G215_DGBE_0.3_0.2_0.5_T2</v>
      </c>
      <c r="BW3" s="1" t="str">
        <f>'Formulation Name Data'!A37&amp;"_T1"</f>
        <v>D502W_G225_DGBE_0.2_0.3_0.5_T1</v>
      </c>
      <c r="BX3" s="1" t="str">
        <f>'Formulation Name Data'!A37&amp;"_T2"</f>
        <v>D502W_G225_DGBE_0.2_0.3_0.5_T2</v>
      </c>
      <c r="BY3" s="1" t="str">
        <f>'Formulation Name Data'!A37&amp;"_T3"</f>
        <v>D502W_G225_DGBE_0.2_0.3_0.5_T3</v>
      </c>
      <c r="BZ3" s="1" t="str">
        <f>'Formulation Name Data'!A37&amp;"_T4"</f>
        <v>D502W_G225_DGBE_0.2_0.3_0.5_T4</v>
      </c>
      <c r="CA3" s="1" t="str">
        <f>'Formulation Name Data'!A54&amp;"_T1"</f>
        <v>D502W_0.5_T1</v>
      </c>
      <c r="CB3" s="1" t="str">
        <f>'Formulation Name Data'!A54&amp;"_T2"</f>
        <v>D502W_0.5_T2</v>
      </c>
      <c r="CC3" s="1" t="str">
        <f>'Formulation Name Data'!A54&amp;"_T3"</f>
        <v>D502W_0.5_T3</v>
      </c>
      <c r="CD3" s="1" t="str">
        <f>'Formulation Name Data'!A55&amp;"_T1"</f>
        <v>D193_0.5_T1</v>
      </c>
      <c r="CE3" s="1" t="str">
        <f>'Formulation Name Data'!A55&amp;"_T2"</f>
        <v>D193_0.5_T2</v>
      </c>
      <c r="CF3" s="1" t="str">
        <f>'Formulation Name Data'!A42&amp;"_T1"</f>
        <v>D501W_0.5_T1</v>
      </c>
      <c r="CG3" s="1" t="str">
        <f>'Formulation Name Data'!A42&amp;"_T2"</f>
        <v>D501W_0.5_T2</v>
      </c>
      <c r="CH3" s="1" t="str">
        <f>'Formulation Name Data'!A42&amp;"_T3"</f>
        <v>D501W_0.5_T3</v>
      </c>
      <c r="CI3" s="1" t="str">
        <f>'Formulation Name Data'!A52&amp;"_T1"</f>
        <v>L77_0.5_T1</v>
      </c>
      <c r="CJ3" s="1" t="str">
        <f>'Formulation Name Data'!A52&amp;"_T2"</f>
        <v>L77_0.5_T2</v>
      </c>
      <c r="CK3" s="1" t="str">
        <f>'Formulation Name Data'!A52&amp;"_T3"</f>
        <v>L77_0.5_T3</v>
      </c>
      <c r="CL3" s="1" t="str">
        <f>'Formulation Name Data'!A43&amp;"_T2"</f>
        <v>D67_0.5_T2</v>
      </c>
      <c r="CM3" s="1" t="str">
        <f>'Formulation Name Data'!A43&amp;"_T3"</f>
        <v>D67_0.5_T3</v>
      </c>
      <c r="CN3" s="1" t="str">
        <f>'Formulation Name Data'!A53&amp;"_T1"</f>
        <v>Gel6185_0.5_T1</v>
      </c>
      <c r="CO3" s="1" t="str">
        <f>'Formulation Name Data'!A53&amp;"_T2"</f>
        <v>Gel6185_0.5_T2</v>
      </c>
      <c r="CP3" s="1" t="str">
        <f>'Formulation Name Data'!A53&amp;"_T3"</f>
        <v>Gel6185_0.5_T3</v>
      </c>
      <c r="CQ3" s="1" t="str">
        <f>'Formulation Name Data'!A32&amp;"_T1"</f>
        <v>D501W_G215_DGBE_0.04_0.027_0.5_T1</v>
      </c>
      <c r="CR3" s="1" t="str">
        <f>'Formulation Name Data'!A32&amp;"_T2"</f>
        <v>D501W_G215_DGBE_0.04_0.027_0.5_T2</v>
      </c>
      <c r="CS3" s="1" t="str">
        <f>'Formulation Name Data'!A35&amp;"_T1"</f>
        <v>L77_G215_DGBE_0.11_0.08_0.5_T1</v>
      </c>
      <c r="CT3" s="1" t="str">
        <f>'Formulation Name Data'!A35&amp;"_T2"</f>
        <v>L77_G215_DGBE_0.11_0.08_0.5_T2</v>
      </c>
      <c r="CU3" s="1" t="str">
        <f>'Formulation Name Data'!A36&amp;"_T1"</f>
        <v>D67_G215_DGBE_0.06_0.04_0.5_T1</v>
      </c>
      <c r="CV3" s="1" t="str">
        <f>'Formulation Name Data'!A36&amp;"_T2"</f>
        <v>D67_G215_DGBE_0.06_0.04_0.5_T2</v>
      </c>
      <c r="CW3" s="1" t="str">
        <f>'Formulation Name Data'!A36&amp;"_T3"</f>
        <v>D67_G215_DGBE_0.06_0.04_0.5_T3</v>
      </c>
      <c r="CX3" s="1" t="str">
        <f>'Formulation Name Data'!A45&amp;"_T1"</f>
        <v>Gel6185_G215_DGBE_0.06_0.04_0.5_T1</v>
      </c>
      <c r="CY3" s="1" t="str">
        <f>'Formulation Name Data'!A45&amp;"_T2"</f>
        <v>Gel6185_G215_DGBE_0.06_0.04_0.5_T2</v>
      </c>
      <c r="CZ3" s="1" t="str">
        <f>'Formulation Name Data'!A45&amp;"_T3"</f>
        <v>Gel6185_G215_DGBE_0.06_0.04_0.5_T3</v>
      </c>
      <c r="DA3" s="12" t="str">
        <f>'Formulation Name Data'!A120&amp;"_T1"</f>
        <v>NRL_N10477-03_G225_DGBE_0.2_0.3_0.5_T1</v>
      </c>
      <c r="DB3" s="12" t="str">
        <f>'Formulation Name Data'!A120&amp;"_T2"</f>
        <v>NRL_N10477-03_G225_DGBE_0.2_0.3_0.5_T2</v>
      </c>
      <c r="DC3" s="12" t="str">
        <f>'Formulation Name Data'!A120&amp;"_T3"</f>
        <v>NRL_N10477-03_G225_DGBE_0.2_0.3_0.5_T3</v>
      </c>
      <c r="DD3" s="12" t="str">
        <f>'Formulation Name Data'!A121&amp;"_T1"</f>
        <v>NRL_N10477-01_G225_DGBE_0.2_0.3_0.5_T1</v>
      </c>
      <c r="DE3" s="12" t="str">
        <f>'Formulation Name Data'!A121&amp;"_T2"</f>
        <v>NRL_N10477-01_G225_DGBE_0.2_0.3_0.5_T2</v>
      </c>
      <c r="DF3" s="12" t="str">
        <f>'Formulation Name Data'!A75&amp;"_T1"</f>
        <v>D193_G215_DGBE_0.3_0.2_0.5_T1</v>
      </c>
      <c r="DG3" s="12" t="str">
        <f>'Formulation Name Data'!A75&amp;"_T2"</f>
        <v>D193_G215_DGBE_0.3_0.2_0.5_T2</v>
      </c>
      <c r="DH3" s="12" t="str">
        <f>'Formulation Name Data'!A92&amp;"_T1"</f>
        <v>NRL_N10477-09_G225_DGBE_0.2_0.3_0.5_T1</v>
      </c>
      <c r="DI3" s="12" t="str">
        <f>'Formulation Name Data'!A92&amp;"_T2"</f>
        <v>NRL_N10477-09_G225_DGBE_0.2_0.3_0.5_T2</v>
      </c>
      <c r="DJ3" s="12" t="str">
        <f>'Formulation Name Data'!A92&amp;"_T3"</f>
        <v>NRL_N10477-09_G225_DGBE_0.2_0.3_0.5_T3</v>
      </c>
      <c r="DK3" s="12" t="str">
        <f>'Formulation Name Data'!A93&amp;"_T1"</f>
        <v>TrX100_G215_DGBE_0.06_0.04_0.5_T1</v>
      </c>
      <c r="DL3" s="12" t="str">
        <f>'Formulation Name Data'!A93&amp;"_T2"</f>
        <v>TrX100_G215_DGBE_0.06_0.04_0.5_T2</v>
      </c>
      <c r="DM3" s="12" t="str">
        <f>'Formulation Name Data'!A93&amp;"_T3"</f>
        <v>TrX100_G215_DGBE_0.06_0.04_0.5_T3</v>
      </c>
      <c r="DN3" s="12" t="str">
        <f>'Formulation Name Data'!A21&amp;"_T1"</f>
        <v>TrX45_G215_DGBE_0.022_0.015_0.5_T1</v>
      </c>
      <c r="DO3" s="12" t="str">
        <f>'Formulation Name Data'!A21&amp;"_T2"</f>
        <v>TrX45_G215_DGBE_0.022_0.015_0.5_T2</v>
      </c>
      <c r="DP3" s="12" t="str">
        <f>'Formulation Name Data'!A21&amp;"_T3"</f>
        <v>TrX45_G215_DGBE_0.022_0.015_0.5_T3</v>
      </c>
      <c r="DQ3" s="12" t="str">
        <f>'Formulation Name Data'!A22&amp;"_T1"</f>
        <v>TrX114_G215_DGBE_0.04_0.027_0.5_T1</v>
      </c>
      <c r="DR3" s="12" t="str">
        <f>'Formulation Name Data'!A22&amp;"_T2"</f>
        <v>TrX114_G215_DGBE_0.04_0.027_0.5_T2</v>
      </c>
      <c r="DS3" s="12" t="str">
        <f>'Formulation Name Data'!A22&amp;"_T3"</f>
        <v>TrX114_G215_DGBE_0.04_0.027_0.5_T3</v>
      </c>
      <c r="DT3" s="12" t="str">
        <f>'Formulation Name Data'!A20&amp;"_T1"</f>
        <v>T15-S-7_G215_DGBE_0.03_0.02_0.5_T1</v>
      </c>
      <c r="DU3" s="12" t="str">
        <f>'Formulation Name Data'!A20&amp;"_T2"</f>
        <v>T15-S-7_G215_DGBE_0.03_0.02_0.5_T2</v>
      </c>
      <c r="DV3" s="12" t="str">
        <f>'Formulation Name Data'!A20&amp;"_T3"</f>
        <v>T15-S-7_G215_DGBE_0.03_0.02_0.5_T3</v>
      </c>
      <c r="DW3" s="12" t="str">
        <f>'Formulation Name Data'!A114&amp;"_T1"</f>
        <v>T15-S-9_G215_DGBE_0.03_0.02_0.5_T1</v>
      </c>
      <c r="DX3" s="12" t="str">
        <f>'Formulation Name Data'!A114&amp;"_T2"</f>
        <v>T15-S-9_G215_DGBE_0.03_0.02_0.5_T2</v>
      </c>
      <c r="DY3" s="12" t="str">
        <f>'Formulation Name Data'!A114&amp;"_T3"</f>
        <v>T15-S-9_G215_DGBE_0.03_0.02_0.5_T3</v>
      </c>
      <c r="DZ3" s="12" t="str">
        <f>'Formulation Name Data'!A115&amp;"_T1"</f>
        <v>T15-S-12_G215_DGBE_0.03_0.02_0.5_T1</v>
      </c>
      <c r="EA3" s="12" t="str">
        <f>'Formulation Name Data'!A115&amp;"_T2"</f>
        <v>T15-S-12_G215_DGBE_0.03_0.02_0.5_T2</v>
      </c>
      <c r="EB3" s="12" t="str">
        <f>'Formulation Name Data'!A115&amp;"_T3"</f>
        <v>T15-S-12_G215_DGBE_0.03_0.02_0.5_T3</v>
      </c>
      <c r="EC3" s="12" t="str">
        <f>'Formulation Name Data'!A95&amp;"_T2"</f>
        <v>SDS_G215_DGBE_0.22_0.15_0.5_T2</v>
      </c>
      <c r="ED3" s="12" t="str">
        <f>'Formulation Name Data'!A95&amp;"_T3"</f>
        <v>SDS_G215_DGBE_0.22_0.15_0.5_T3</v>
      </c>
      <c r="EE3" s="12" t="str">
        <f>'Formulation Name Data'!A28&amp;"_T1"</f>
        <v>Mys_G215_DGBE_0.068_0.045_0.5_T1</v>
      </c>
      <c r="EF3" s="12" t="str">
        <f>'Formulation Name Data'!A28&amp;"_T2"</f>
        <v>Mys_G215_DGBE_0.068_0.045_0.5_T2</v>
      </c>
      <c r="EG3" s="12" t="str">
        <f>'Formulation Name Data'!A28&amp;"_T3"</f>
        <v>Mys_G215_DGBE_0.068_0.045_0.5_T3</v>
      </c>
      <c r="EH3" s="12" t="str">
        <f>'Formulation Name Data'!A94&amp;"_T1"</f>
        <v>Gel6492.6_G215_DGBE_0.06_0.04_0.5_T1</v>
      </c>
      <c r="EI3" s="12" t="str">
        <f>'Formulation Name Data'!A94&amp;"_T2"</f>
        <v>Gel6492.6_G215_DGBE_0.06_0.04_0.5_T2</v>
      </c>
      <c r="EJ3" s="12" t="str">
        <f>'Formulation Name Data'!A94&amp;"_T3"</f>
        <v>Gel6492.6_G215_DGBE_0.06_0.04_0.5_T3</v>
      </c>
      <c r="EK3" s="12" t="str">
        <f>'Formulation Name Data'!A96&amp;"_T1"</f>
        <v>NRL_N10477-12_G225_DGBE_0.2_0.3_0.5_T1</v>
      </c>
      <c r="EL3" s="12" t="str">
        <f>'Formulation Name Data'!A96&amp;"_T2"</f>
        <v>NRL_N10477-12_G225_DGBE_0.2_0.3_0.5_T2</v>
      </c>
      <c r="EM3" s="12" t="str">
        <f>'Formulation Name Data'!A96&amp;"_T3"</f>
        <v>NRL_N10477-12_G225_DGBE_0.2_0.3_0.5_T3</v>
      </c>
      <c r="EN3" s="12" t="str">
        <f>'Formulation Name Data'!A97&amp;"_T1"</f>
        <v>NRL_N10477-07_G225_DGBE_0.2_0.3_0.5_T1</v>
      </c>
      <c r="EO3" s="12" t="str">
        <f>'Formulation Name Data'!A97&amp;"_T2"</f>
        <v>NRL_N10477-07_G225_DGBE_0.2_0.3_0.5_T2</v>
      </c>
      <c r="EP3" s="12" t="str">
        <f>'Formulation Name Data'!A97&amp;"_T3"</f>
        <v>NRL_N10477-07_G225_DGBE_0.2_0.3_0.5_T3</v>
      </c>
      <c r="EQ3" s="12" t="str">
        <f>'Formulation Name Data'!A39&amp;"_T1"</f>
        <v>NRL_N10358-176_G225_DGBE_0.2_0.3_0.5_T1</v>
      </c>
      <c r="ER3" s="12" t="str">
        <f>'Formulation Name Data'!A39&amp;"_T2"</f>
        <v>NRL_N10358-176_G225_DGBE_0.2_0.3_0.5_T2</v>
      </c>
      <c r="ES3" s="12" t="str">
        <f>'Formulation Name Data'!A39&amp;"_T3"</f>
        <v>NRL_N10358-176_G225_DGBE_0.2_0.3_0.5_T3</v>
      </c>
      <c r="ET3" s="12" t="str">
        <f>'Formulation Name Data'!A116&amp;"_T1"</f>
        <v>NRL_N10477-05_G215_DGBE_0.2_0.3_0.5_T1</v>
      </c>
      <c r="EU3" s="12" t="str">
        <f>'Formulation Name Data'!A116&amp;"_T2"</f>
        <v>NRL_N10477-05_G215_DGBE_0.2_0.3_0.5_T2</v>
      </c>
      <c r="EV3" s="12" t="str">
        <f>'Formulation Name Data'!A116&amp;"_T3"</f>
        <v>NRL_N10477-05_G215_DGBE_0.2_0.3_0.5_T3</v>
      </c>
      <c r="EW3" s="12" t="str">
        <f>'Formulation Name Data'!A40&amp;"_T1"</f>
        <v>NRL_N10358-174_G225_DGBE_0.2_0.3_0.5_T1</v>
      </c>
      <c r="EX3" s="12" t="str">
        <f>'Formulation Name Data'!A40&amp;"_T2"</f>
        <v>NRL_N10358-174_G225_DGBE_0.2_0.3_0.5_T2</v>
      </c>
      <c r="EY3" s="12" t="str">
        <f>'Formulation Name Data'!A40&amp;"_T3"</f>
        <v>NRL_N10358-174_G225_DGBE_0.2_0.3_0.5_T3</v>
      </c>
      <c r="EZ3" s="12" t="str">
        <f>'Formulation Name Data'!A46&amp;"_T1"</f>
        <v>ComSor181360_G225_DGBE_0.2_0.3_0.5_T1</v>
      </c>
      <c r="FA3" s="12" t="str">
        <f>'Formulation Name Data'!A48&amp;"_T1"</f>
        <v>D502W_C8G2_DGBE_0.2_0.19_0.5_T1</v>
      </c>
      <c r="FB3" s="12" t="str">
        <f>'Formulation Name Data'!A48&amp;"_T2"</f>
        <v>D502W_C8G2_DGBE_0.2_0.19_0.5_T2</v>
      </c>
      <c r="FC3" s="12" t="str">
        <f>'Formulation Name Data'!A48&amp;"_T3"</f>
        <v>D502W_C8G2_DGBE_0.2_0.19_0.5_T3</v>
      </c>
      <c r="FD3" s="12" t="str">
        <f>'Formulation Name Data'!A51&amp;"_T1"</f>
        <v>D502W_C8G1_DGBE_0.2_0.19_0.5_T1</v>
      </c>
      <c r="FE3" s="12" t="str">
        <f>'Formulation Name Data'!A51&amp;"_T2"</f>
        <v>D502W_C8G1_DGBE_0.2_0.19_0.5_T2</v>
      </c>
      <c r="FF3" s="12" t="str">
        <f>'Formulation Name Data'!A51&amp;"_T3"</f>
        <v>D502W_C8G1_DGBE_0.2_0.19_0.5_T3</v>
      </c>
      <c r="FG3" s="12" t="str">
        <f>'Formulation Name Data'!A49&amp;"_T1"</f>
        <v>D502W_C10G2_DGBE_0.2_0.19_0.5_T1</v>
      </c>
      <c r="FH3" s="12" t="str">
        <f>'Formulation Name Data'!A49&amp;"_T2"</f>
        <v>D502W_C10G2_DGBE_0.2_0.19_0.5_T2</v>
      </c>
      <c r="FI3" s="12" t="str">
        <f>'Formulation Name Data'!A50&amp;"_T3"</f>
        <v>D502W_C12G2_DGBE_0.2_0.19_0.5_T3</v>
      </c>
      <c r="FJ3" s="12" t="str">
        <f>'Formulation Name Data'!A187&amp;"_T1"</f>
        <v>NRL_N10478-240_G225_DGBE_#_0.3_0.5_T1</v>
      </c>
      <c r="FK3" s="12" t="str">
        <f>'Formulation Name Data'!A187&amp;"_T2"</f>
        <v>NRL_N10478-240_G225_DGBE_#_0.3_0.5_T2</v>
      </c>
      <c r="FL3" s="12" t="str">
        <f>'Formulation Name Data'!A188&amp;"_T1"</f>
        <v>CL_MD2102-90_G225_DGBE_0.2_0.3_0.5_T1</v>
      </c>
      <c r="FM3" s="12" t="str">
        <f>'Formulation Name Data'!A189&amp;"_T1"</f>
        <v>CL_MD2102-112_G225_DGBE_0.05_0.3_0.5_T1</v>
      </c>
      <c r="FN3" s="12" t="str">
        <f>'Formulation Name Data'!A189&amp;"_T2"</f>
        <v>CL_MD2102-112_G225_DGBE_0.05_0.3_0.5_T2</v>
      </c>
      <c r="FO3" s="12" t="str">
        <f>'Formulation Name Data'!A191&amp;"_T1"</f>
        <v>ComSor_EXP-21-CH1070-1_3_T1</v>
      </c>
      <c r="FP3" s="12" t="str">
        <f>'Formulation Name Data'!A191&amp;"_T2"</f>
        <v>ComSor_EXP-21-CH1070-1_3_T2</v>
      </c>
      <c r="FQ3" s="12" t="str">
        <f>'Formulation Name Data'!A190&amp;"_T1"</f>
        <v>CL_MD2102-118_G225_DGBE_0.2_0.3_0.5_T1</v>
      </c>
      <c r="FR3" s="12" t="str">
        <f>'Formulation Name Data'!A190&amp;"_T2"</f>
        <v>CL_MD2102-118_G225_DGBE_0.2_0.3_0.5_T2</v>
      </c>
      <c r="FS3" s="12" t="str">
        <f>'Formulation Name Data'!A192&amp;"_T1"</f>
        <v>ComSor_EXP-21-CH1070-2_3_T1</v>
      </c>
      <c r="FT3" s="12" t="str">
        <f>'Formulation Name Data'!A192&amp;"_T2"</f>
        <v>ComSor_EXP-21-CH1070-2_3_T2</v>
      </c>
      <c r="FU3" s="12" t="str">
        <f>'Formulation Name Data'!A193&amp;"_T1"</f>
        <v>ComSor_EXP-21-CH1070-4_1_T1</v>
      </c>
      <c r="FV3" s="12" t="str">
        <f>'Formulation Name Data'!A193&amp;"_T2"</f>
        <v>ComSor_EXP-21-CH1070-4_1_T2</v>
      </c>
      <c r="FW3" s="12" t="str">
        <f>'Formulation Name Data'!A182&amp;"_T1"</f>
        <v>NRL_LBII43_G225_DGBE_0.2_0.3_0.5_T1</v>
      </c>
      <c r="FX3" s="12" t="str">
        <f>'Formulation Name Data'!A182&amp;"_T2"</f>
        <v>NRL_LBII43_G225_DGBE_0.2_0.3_0.5_T2</v>
      </c>
      <c r="FY3" s="1" t="str">
        <f>'Formulation Name Data'!A185&amp;"_T1"</f>
        <v>NRL_N10478-227_G225_DGBE_0.063_0.3_0.5_T1</v>
      </c>
      <c r="FZ3" s="1" t="str">
        <f>'Formulation Name Data'!A72&amp;"_T1"</f>
        <v>D502W_DGBE_0.1_0.5_T1</v>
      </c>
      <c r="GA3" s="1" t="str">
        <f>'Formulation Name Data'!A72&amp;"_T2"</f>
        <v>D502W_DGBE_0.1_0.5_T2</v>
      </c>
      <c r="GB3" s="1" t="str">
        <f>'Formulation Name Data'!A72&amp;"_T3"</f>
        <v>D502W_DGBE_0.1_0.5_T3</v>
      </c>
      <c r="GC3" s="1" t="str">
        <f>'Formulation Name Data'!A183&amp;"_T1"</f>
        <v>NRL_CB_DTBTS_SB_G225_DGBE_0.02_0.3_0.5_T1</v>
      </c>
      <c r="GD3" s="1" t="str">
        <f>'Formulation Name Data'!A183&amp;"_T2"</f>
        <v>NRL_CB_DTBTS_SB_G225_DGBE_0.02_0.3_0.5_T2</v>
      </c>
      <c r="GE3" s="1" t="str">
        <f>'Formulation Name Data'!A184&amp;"_T1"</f>
        <v>NRL_CB-1-123_G225_DGBE_0.2_0.3_0.5_T1</v>
      </c>
      <c r="GF3" s="1" t="str">
        <f>'Formulation Name Data'!A138&amp;"_T1"</f>
        <v>CL_MD2086-97_G225_DGBE_0.34_0.56_0.5_T1</v>
      </c>
      <c r="GG3" s="1" t="str">
        <f>'Formulation Name Data'!A67&amp;"_T1"</f>
        <v>FomtecEnviroUSP 3%_T1</v>
      </c>
      <c r="GH3" s="1" t="str">
        <f>'Formulation Name Data'!A67&amp;"_T2"</f>
        <v>FomtecEnviroUSP 3%_T2</v>
      </c>
      <c r="GI3" s="1" t="str">
        <f>'Formulation Name Data'!A66&amp;"_T1"</f>
        <v>Solberg® Rehealing RF3 3%_T1</v>
      </c>
      <c r="GJ3" s="1" t="str">
        <f>'Formulation Name Data'!A66&amp;"_T2"</f>
        <v>Solberg® Rehealing RF3 3%_T2</v>
      </c>
      <c r="GK3" s="1" t="str">
        <f>'Formulation Name Data'!A197&amp;"_T1"</f>
        <v>NRL_CB-1-192_G225_DGBE_0.14_0.21_0.5_T1</v>
      </c>
      <c r="GL3" s="1" t="str">
        <f>'Formulation Name Data'!A197&amp;"_T2"</f>
        <v>NRL_CB-1-192_G225_DGBE_0.14_0.21_0.5_T2</v>
      </c>
      <c r="GM3" s="1" t="str">
        <f>'Formulation Name Data'!A166&amp;"_T1"</f>
        <v>ComSor_EXP-22-CH1050_T1</v>
      </c>
      <c r="GN3" s="1" t="str">
        <f>'Formulation Name Data'!A111&amp;"_T1"</f>
        <v>G225_DGBE_0.5_0.5_T1</v>
      </c>
      <c r="GO3" s="1" t="str">
        <f>'Formulation Name Data'!A111&amp;"_T2"</f>
        <v>G225_DGBE_0.5_0.5_T2</v>
      </c>
      <c r="GP3" s="1" t="str">
        <f>'Formulation Name Data'!A111&amp;"_T3"</f>
        <v>G225_DGBE_0.5_0.5_T3</v>
      </c>
      <c r="GQ3" s="1" t="str">
        <f>'Formulation Name Data'!A112&amp;"_T1"</f>
        <v>G600_DGBE_0.5_0.5_T1</v>
      </c>
      <c r="GR3" s="1" t="str">
        <f>'Formulation Name Data'!A112&amp;"_T2"</f>
        <v>G600_DGBE_0.5_0.5_T2</v>
      </c>
      <c r="GS3" s="1" t="str">
        <f>'Formulation Name Data'!A112&amp;"_T3"</f>
        <v>G600_DGBE_0.5_0.5_T3</v>
      </c>
    </row>
    <row r="4" spans="1:201" x14ac:dyDescent="0.35">
      <c r="A4" s="42">
        <v>2.6859504132231404E-10</v>
      </c>
      <c r="B4" s="42">
        <v>3.2231404958677685E-10</v>
      </c>
      <c r="C4" s="42">
        <v>1.7680047225501773E-10</v>
      </c>
      <c r="D4" s="42">
        <v>4.4273907910271551E-11</v>
      </c>
      <c r="E4" s="42">
        <v>2.6711924439197165E-11</v>
      </c>
      <c r="F4" s="42">
        <v>3.0401416765053128E-11</v>
      </c>
      <c r="G4" s="42">
        <v>9.0909090909090897E-11</v>
      </c>
      <c r="H4" s="42">
        <v>1.605667060212515E-10</v>
      </c>
      <c r="I4" s="42">
        <v>7.4527744982290422E-11</v>
      </c>
      <c r="J4" s="42">
        <v>8.6629279811097979E-11</v>
      </c>
      <c r="K4" s="42">
        <v>2.2771546635182997E-10</v>
      </c>
      <c r="L4" s="42">
        <v>2.2358323494687131E-10</v>
      </c>
      <c r="M4" s="42">
        <v>2.576741440377804E-10</v>
      </c>
      <c r="N4" s="42">
        <v>2.3657024793388431E-10</v>
      </c>
      <c r="O4" s="42">
        <v>1.9569067296340022E-10</v>
      </c>
      <c r="P4" s="42">
        <v>1.6602715466351829E-10</v>
      </c>
      <c r="Q4" s="42">
        <v>1.7443919716646988E-10</v>
      </c>
      <c r="R4" s="42">
        <v>1.638134592680047E-10</v>
      </c>
      <c r="S4" s="42">
        <v>1.7311097992916176E-10</v>
      </c>
      <c r="T4" s="42">
        <v>1.7739079102715465E-10</v>
      </c>
      <c r="U4" s="42">
        <v>2.2240259740259741E-10</v>
      </c>
      <c r="V4" s="42">
        <v>3.9167650531286895E-10</v>
      </c>
      <c r="W4" s="42">
        <v>2.4321133412042503E-10</v>
      </c>
      <c r="X4" s="42">
        <v>4.7136953955135772E-10</v>
      </c>
      <c r="Y4" s="42">
        <v>1.8285123966942147E-10</v>
      </c>
      <c r="Z4" s="42">
        <v>2.0469303423848876E-10</v>
      </c>
      <c r="AA4" s="42">
        <v>1.9451003541912633E-10</v>
      </c>
      <c r="AB4" s="42">
        <v>1.9406729634002363E-10</v>
      </c>
      <c r="AC4" s="42">
        <v>4.5749704840613929E-10</v>
      </c>
      <c r="AD4" s="42">
        <v>5.4604486422668247E-11</v>
      </c>
      <c r="AE4" s="42">
        <v>1.7089728453364816E-10</v>
      </c>
      <c r="AF4" s="42">
        <v>1.1983471074380164E-10</v>
      </c>
      <c r="AG4" s="42">
        <v>1.770956316410862E-10</v>
      </c>
      <c r="AH4" s="42">
        <v>7.305194805194805E-11</v>
      </c>
      <c r="AI4" s="42">
        <v>2.6933293978748526E-10</v>
      </c>
      <c r="AJ4" s="42">
        <v>4.9749114521841801E-10</v>
      </c>
      <c r="AK4" s="42">
        <v>2.2682998819362455E-10</v>
      </c>
      <c r="AL4" s="42">
        <v>1.2131050767414404E-10</v>
      </c>
      <c r="AM4" s="42">
        <v>3.3102125147579686E-10</v>
      </c>
      <c r="AN4" s="42">
        <v>4.1809327036599763E-10</v>
      </c>
      <c r="AO4" s="42">
        <v>1.1511216056670603E-11</v>
      </c>
      <c r="AP4" s="42">
        <v>1.3592089728453367E-10</v>
      </c>
      <c r="AQ4" s="42">
        <v>4.3683589138134582E-11</v>
      </c>
      <c r="AR4" s="42">
        <v>7.8217237308146392E-11</v>
      </c>
      <c r="AS4" s="42">
        <v>1.2131050767414404E-10</v>
      </c>
      <c r="AT4" s="42">
        <v>5.7556080283353011E-11</v>
      </c>
      <c r="AU4" s="42">
        <v>0</v>
      </c>
      <c r="AV4" s="42">
        <v>6.9067296340023606E-11</v>
      </c>
      <c r="AW4" s="42">
        <v>9.8583234946871298E-11</v>
      </c>
      <c r="AX4" s="42">
        <v>9.577922077922079E-11</v>
      </c>
      <c r="AY4" s="42">
        <v>8.1759149940968124E-11</v>
      </c>
      <c r="AZ4" s="42">
        <v>8.0430932703659976E-11</v>
      </c>
      <c r="BA4" s="42">
        <v>1.0168240850059032E-10</v>
      </c>
      <c r="BB4" s="42">
        <v>8.0873671782762701E-11</v>
      </c>
      <c r="BC4" s="42">
        <v>1.3414994096812277E-10</v>
      </c>
      <c r="BD4" s="42">
        <v>3.2615112160566706E-11</v>
      </c>
      <c r="BE4" s="42">
        <v>2.902400629673357E-11</v>
      </c>
      <c r="BF4" s="42">
        <v>3.5542109405745775E-11</v>
      </c>
      <c r="BG4" s="42">
        <v>1.253197560015742E-10</v>
      </c>
      <c r="BH4" s="42">
        <v>1.4880952380952384E-10</v>
      </c>
      <c r="BI4" s="42">
        <v>2.9948347107438011E-10</v>
      </c>
      <c r="BJ4" s="42">
        <v>0</v>
      </c>
      <c r="BK4" s="42">
        <v>1.3282172373081462E-10</v>
      </c>
      <c r="BL4" s="42">
        <v>7.9102715466351828E-11</v>
      </c>
      <c r="BM4" s="42">
        <v>1.5702479338842973E-10</v>
      </c>
      <c r="BN4" s="42">
        <v>3.6009445100354195E-11</v>
      </c>
      <c r="BO4" s="42">
        <v>0</v>
      </c>
      <c r="BP4" s="42">
        <v>3.2762691853600943E-11</v>
      </c>
      <c r="BQ4" s="42">
        <v>1.5097402597402599E-10</v>
      </c>
      <c r="BR4" s="42">
        <v>4.7225501770956315E-11</v>
      </c>
      <c r="BS4" s="42">
        <v>3.5271546635183002E-11</v>
      </c>
      <c r="BT4" s="42">
        <v>1.4211924439197166E-10</v>
      </c>
      <c r="BU4" s="42">
        <v>7.452966063552073E-11</v>
      </c>
      <c r="BV4" s="42">
        <v>7.452966063552073E-11</v>
      </c>
      <c r="BW4">
        <v>0</v>
      </c>
      <c r="BX4">
        <v>6.9067296340023606E-11</v>
      </c>
      <c r="BY4">
        <v>9.8583234946871298E-11</v>
      </c>
      <c r="BZ4">
        <v>6.9952774498229042E-11</v>
      </c>
      <c r="CA4" s="23">
        <v>1.3502599999999999E-10</v>
      </c>
      <c r="CB4" s="23">
        <v>2.8193400000000001E-10</v>
      </c>
      <c r="CC4" s="23">
        <v>1.02484E-10</v>
      </c>
      <c r="CD4" s="23">
        <v>2.0699400000000001E-10</v>
      </c>
      <c r="CE4" s="23">
        <v>1.5919500000000001E-10</v>
      </c>
      <c r="CF4" s="23">
        <v>4.9419399999999998E-11</v>
      </c>
      <c r="CG4" s="23">
        <v>8.6146399999999997E-11</v>
      </c>
      <c r="CH4" s="23">
        <v>8.5606299999999999E-11</v>
      </c>
      <c r="CI4" s="23">
        <v>2.5249800000000001E-11</v>
      </c>
      <c r="CJ4" s="23">
        <v>1.5001399999999999E-10</v>
      </c>
      <c r="CK4" s="23">
        <v>2.9570599999999998E-11</v>
      </c>
      <c r="CL4" s="23">
        <v>1.2381900000000001E-10</v>
      </c>
      <c r="CM4" s="23">
        <v>0</v>
      </c>
      <c r="CN4" s="23">
        <v>7.8314899999999997E-11</v>
      </c>
      <c r="CO4" s="23">
        <v>1.14772E-10</v>
      </c>
      <c r="CP4" s="23">
        <v>2.9435599999999997E-11</v>
      </c>
      <c r="CQ4" s="23">
        <v>2.7745E-11</v>
      </c>
      <c r="CR4" s="23">
        <v>6.6853600000000004E-11</v>
      </c>
      <c r="CS4" s="23">
        <v>5.3128699999999998E-12</v>
      </c>
      <c r="CT4" s="23">
        <v>1.0330599999999999E-10</v>
      </c>
      <c r="CU4" s="23">
        <v>0</v>
      </c>
      <c r="CV4" s="23">
        <v>2.02184E-11</v>
      </c>
      <c r="CW4" s="23">
        <v>3.3353E-11</v>
      </c>
      <c r="CX4" s="23">
        <v>3.0253800000000002E-11</v>
      </c>
      <c r="CY4" s="23">
        <v>5.5047199999999999E-11</v>
      </c>
      <c r="CZ4" s="23">
        <v>9.5188899999999995E-11</v>
      </c>
      <c r="DA4" s="42">
        <v>1.2750885478158205E-10</v>
      </c>
      <c r="DB4" s="42">
        <v>1.0035419126328217E-10</v>
      </c>
      <c r="DC4" s="42">
        <v>3.0401416765053128E-11</v>
      </c>
      <c r="DD4" s="42">
        <v>5.1800472255017701E-11</v>
      </c>
      <c r="DE4" s="42">
        <v>1.5835301062573788E-10</v>
      </c>
      <c r="DF4" s="23">
        <v>2.4513000000000001E-10</v>
      </c>
      <c r="DG4" s="23">
        <v>2.4542500000000001E-10</v>
      </c>
      <c r="DH4" s="42">
        <v>3.4090909090909098E-11</v>
      </c>
      <c r="DI4" s="42">
        <v>7.5855962219598583E-11</v>
      </c>
      <c r="DJ4" s="42">
        <v>2.995867768595041E-11</v>
      </c>
      <c r="DK4" s="42">
        <v>7.6298701298701295E-11</v>
      </c>
      <c r="DL4" s="42">
        <v>1.0935655253837072E-10</v>
      </c>
      <c r="DM4" s="42">
        <v>1.0123966942148761E-10</v>
      </c>
      <c r="DN4" s="42">
        <v>6.3311688311688315E-11</v>
      </c>
      <c r="DO4">
        <v>5.6965761511216056E-11</v>
      </c>
      <c r="DP4">
        <v>4.9881936245572611E-11</v>
      </c>
      <c r="DQ4">
        <v>9.577922077922079E-11</v>
      </c>
      <c r="DR4">
        <v>1.2072018890200709E-10</v>
      </c>
      <c r="DS4">
        <v>2.5088547815820543E-11</v>
      </c>
      <c r="DT4">
        <v>4.7373081463990552E-11</v>
      </c>
      <c r="DU4" s="42">
        <v>1.2868949232585595E-10</v>
      </c>
      <c r="DV4" s="42">
        <v>3.5566706021251477E-11</v>
      </c>
      <c r="DW4" s="42">
        <v>6.5230224321133412E-11</v>
      </c>
      <c r="DX4" s="42">
        <v>7.7036599763872481E-11</v>
      </c>
      <c r="DY4" s="42">
        <v>5.4899645808736715E-11</v>
      </c>
      <c r="DZ4" s="42">
        <v>1.1422668240850059E-10</v>
      </c>
      <c r="EA4" s="42">
        <v>3.6747343565525387E-11</v>
      </c>
      <c r="EB4" s="42">
        <v>0</v>
      </c>
      <c r="EC4" s="42">
        <v>2.0425029515938606E-10</v>
      </c>
      <c r="ED4" s="42">
        <v>1.5554899645808733E-10</v>
      </c>
      <c r="EE4" s="42">
        <v>2.0808736717827624E-11</v>
      </c>
      <c r="EF4">
        <v>5.9622195985832346E-11</v>
      </c>
      <c r="EG4" s="42">
        <v>6.9805194805194805E-11</v>
      </c>
      <c r="EH4" s="42">
        <v>2.0365997638724909E-11</v>
      </c>
      <c r="EI4" s="42">
        <v>1.3016528925619835E-10</v>
      </c>
      <c r="EJ4" s="42">
        <v>5.7113341204250293E-11</v>
      </c>
      <c r="EK4" s="42">
        <v>3.1759149940968126E-10</v>
      </c>
      <c r="EL4" s="42">
        <v>1.4979338842975204E-10</v>
      </c>
      <c r="EM4" s="42">
        <v>9.4303423848878392E-11</v>
      </c>
      <c r="EN4" s="42">
        <v>6.9214876033057856E-11</v>
      </c>
      <c r="EO4" s="42">
        <v>5.6818181818181819E-11</v>
      </c>
      <c r="EP4" s="42">
        <v>2.7007083825265646E-11</v>
      </c>
      <c r="EQ4" s="42">
        <v>0</v>
      </c>
      <c r="ER4">
        <v>3.1729634002361276E-11</v>
      </c>
      <c r="ES4" s="42">
        <v>5.6375442739079101E-11</v>
      </c>
      <c r="ET4" s="42">
        <v>7.9250295159386052E-11</v>
      </c>
      <c r="EU4" s="42">
        <v>1.2942739079102712E-10</v>
      </c>
      <c r="EV4" s="42">
        <v>9.9321133412042497E-11</v>
      </c>
      <c r="EW4" s="42">
        <v>1.1407910271546635E-10</v>
      </c>
      <c r="EX4" s="42">
        <v>1.8934474616292798E-10</v>
      </c>
      <c r="EY4" s="42">
        <v>1.1953955135773317E-10</v>
      </c>
      <c r="EZ4" s="42">
        <v>1.1481700118063754E-10</v>
      </c>
      <c r="FA4" s="42">
        <v>7.9250295159386052E-11</v>
      </c>
      <c r="FB4" s="42">
        <v>3.9831759149940961E-10</v>
      </c>
      <c r="FC4" s="42">
        <v>2.3184769775678864E-10</v>
      </c>
      <c r="FD4">
        <v>1.3547815820543094E-10</v>
      </c>
      <c r="FE4" s="42">
        <v>8.5714285714285708E-10</v>
      </c>
      <c r="FF4" s="42">
        <v>2.5339433293978748E-10</v>
      </c>
      <c r="FG4" s="42">
        <v>2.3878394332939783E-10</v>
      </c>
      <c r="FH4" s="42">
        <v>1.6706021251475797E-10</v>
      </c>
      <c r="FI4" s="42">
        <v>4.8406139315230219E-11</v>
      </c>
      <c r="FJ4">
        <v>3.7485242030696573E-11</v>
      </c>
      <c r="FK4">
        <v>8.5596221959858318E-11</v>
      </c>
      <c r="FL4" s="8">
        <v>2.8482880755608028E-11</v>
      </c>
      <c r="FM4" s="8">
        <v>0</v>
      </c>
      <c r="FN4">
        <v>5.165289256198347E-11</v>
      </c>
      <c r="FO4">
        <v>0</v>
      </c>
      <c r="FP4" s="8">
        <v>2.420306965761511E-11</v>
      </c>
      <c r="FQ4" s="8">
        <v>2.1103896103896102E-11</v>
      </c>
      <c r="FR4" s="8">
        <v>9.8878394332939785E-11</v>
      </c>
      <c r="FS4" s="42">
        <v>1.3474025974025977E-10</v>
      </c>
      <c r="FT4" s="42">
        <v>2.5073789846517119E-10</v>
      </c>
      <c r="FU4" s="42">
        <v>1.1747343565525384E-10</v>
      </c>
      <c r="FV4" s="42">
        <v>1.0537190082644626E-10</v>
      </c>
      <c r="FW4" s="42">
        <v>5.5637544273907902E-11</v>
      </c>
      <c r="FX4" s="42">
        <v>3.6894923258559618E-11</v>
      </c>
      <c r="FY4" s="42">
        <v>0</v>
      </c>
      <c r="FZ4" s="42">
        <v>1.7211470274366394E-10</v>
      </c>
      <c r="GA4" s="42">
        <v>4.7291754518734614E-11</v>
      </c>
      <c r="GB4" s="42">
        <v>-1.7279679535691493E-11</v>
      </c>
      <c r="GC4" s="42">
        <v>1.0625737898465171E-11</v>
      </c>
      <c r="GD4" s="42">
        <v>1.5348288075560801E-11</v>
      </c>
      <c r="GE4">
        <v>0</v>
      </c>
      <c r="GF4" s="42">
        <v>7.9988193624557252E-11</v>
      </c>
      <c r="GG4" s="42">
        <v>1.4610389610389613E-10</v>
      </c>
      <c r="GH4" s="42">
        <v>2.0513577331759146E-11</v>
      </c>
      <c r="GI4" s="42">
        <v>8.1082743014561213E-10</v>
      </c>
      <c r="GJ4" s="42">
        <v>2.3021694214876033E-9</v>
      </c>
      <c r="GK4" s="42">
        <v>0</v>
      </c>
      <c r="GL4" s="42">
        <v>1.1525974025974025E-10</v>
      </c>
      <c r="GM4" s="42">
        <v>1.6233766233766234E-11</v>
      </c>
      <c r="GN4" s="42">
        <v>1.0458753403181693E-10</v>
      </c>
      <c r="GO4" s="42">
        <v>0</v>
      </c>
      <c r="GP4" s="42">
        <v>5.7523143717499304E-11</v>
      </c>
      <c r="GQ4" s="42">
        <v>0</v>
      </c>
      <c r="GR4" s="42">
        <v>2.5919519303537237E-11</v>
      </c>
      <c r="GS4" s="42">
        <v>3.5014087480216969E-11</v>
      </c>
    </row>
    <row r="5" spans="1:201" x14ac:dyDescent="0.35">
      <c r="A5" s="42">
        <v>8.2497048406139308E-10</v>
      </c>
      <c r="B5" s="42">
        <v>5.659681227863046E-10</v>
      </c>
      <c r="C5" s="42">
        <v>4.7830578512396689E-10</v>
      </c>
      <c r="D5" s="42">
        <v>1.2500000000000001E-10</v>
      </c>
      <c r="E5" s="42">
        <v>1.2249114521841796E-10</v>
      </c>
      <c r="F5" s="42">
        <v>7.0247933884297504E-11</v>
      </c>
      <c r="G5" s="42">
        <v>9.0761511216056673E-11</v>
      </c>
      <c r="H5" s="42">
        <v>1.6425619834710745E-10</v>
      </c>
      <c r="I5" s="42">
        <v>1.1791617473435654E-10</v>
      </c>
      <c r="J5" s="42">
        <v>2.8689492325855966E-10</v>
      </c>
      <c r="K5" s="42">
        <v>5.0649350649350652E-10</v>
      </c>
      <c r="L5" s="42">
        <v>4.7653482880755609E-10</v>
      </c>
      <c r="M5" s="42">
        <v>6.7842384887839428E-10</v>
      </c>
      <c r="N5" s="42">
        <v>5.498819362455726E-10</v>
      </c>
      <c r="O5" s="42">
        <v>4.688606847697757E-10</v>
      </c>
      <c r="P5" s="42">
        <v>5.4663518299881936E-10</v>
      </c>
      <c r="Q5" s="42">
        <v>6.6794569067296332E-10</v>
      </c>
      <c r="R5" s="42">
        <v>5.188902007083825E-10</v>
      </c>
      <c r="S5" s="42">
        <v>5.4324085005903189E-10</v>
      </c>
      <c r="T5" s="42">
        <v>3.9123376623376627E-10</v>
      </c>
      <c r="U5" s="42">
        <v>7.7405548996458094E-10</v>
      </c>
      <c r="V5" s="42">
        <v>1.4979338842975204E-9</v>
      </c>
      <c r="W5" s="42">
        <v>7.2476387249114516E-10</v>
      </c>
      <c r="X5" s="42">
        <v>1.4715171192443919E-9</v>
      </c>
      <c r="Y5" s="42">
        <v>6.0832349468713112E-10</v>
      </c>
      <c r="Z5" s="42">
        <v>5.3394332939787472E-10</v>
      </c>
      <c r="AA5" s="42">
        <v>4.5469303423848872E-10</v>
      </c>
      <c r="AB5" s="42">
        <v>5.4634002361275091E-10</v>
      </c>
      <c r="AC5" s="42">
        <v>1.4515938606847697E-9</v>
      </c>
      <c r="AD5" s="42">
        <v>1.5540141676505311E-10</v>
      </c>
      <c r="AE5" s="42">
        <v>6.689787485242031E-10</v>
      </c>
      <c r="AF5" s="42">
        <v>4.0392561983471075E-10</v>
      </c>
      <c r="AG5" s="42">
        <v>4.4362455726092081E-10</v>
      </c>
      <c r="AH5" s="42">
        <v>3.3456316410861871E-10</v>
      </c>
      <c r="AI5" s="42">
        <v>7.7626918536009451E-10</v>
      </c>
      <c r="AJ5" s="42">
        <v>1.6353305785123966E-9</v>
      </c>
      <c r="AK5" s="42">
        <v>7.0410271546635189E-10</v>
      </c>
      <c r="AL5" s="42">
        <v>2.7656434474616287E-10</v>
      </c>
      <c r="AM5" s="42">
        <v>5.0619834710743797E-10</v>
      </c>
      <c r="AN5" s="42">
        <v>4.9616292798110979E-10</v>
      </c>
      <c r="AO5" s="42">
        <v>7.0100354191263279E-11</v>
      </c>
      <c r="AP5" s="42">
        <v>2.3642266824085004E-10</v>
      </c>
      <c r="AQ5" s="42">
        <v>6.8181818181818195E-11</v>
      </c>
      <c r="AR5" s="42">
        <v>7.5560802833530109E-11</v>
      </c>
      <c r="AS5" s="42">
        <v>2.1384297520661154E-10</v>
      </c>
      <c r="AT5" s="42">
        <v>1.9997048406139317E-10</v>
      </c>
      <c r="AU5" s="42">
        <v>3.0401416765053128E-11</v>
      </c>
      <c r="AV5" s="42">
        <v>1.1806375442739079E-10</v>
      </c>
      <c r="AW5" s="42">
        <v>1.0876623376623377E-10</v>
      </c>
      <c r="AX5" s="42">
        <v>2.9353600944510032E-10</v>
      </c>
      <c r="AY5" s="42">
        <v>1.2322904368358911E-10</v>
      </c>
      <c r="AZ5" s="42">
        <v>6.0950413223140494E-11</v>
      </c>
      <c r="BA5" s="42">
        <v>1.6794569067296342E-10</v>
      </c>
      <c r="BB5" s="42">
        <v>1.8137544273907907E-10</v>
      </c>
      <c r="BC5" s="42">
        <v>0</v>
      </c>
      <c r="BD5" s="42">
        <v>1.1452184179456906E-10</v>
      </c>
      <c r="BE5" s="42">
        <v>5.1037977174340826E-11</v>
      </c>
      <c r="BF5" s="42">
        <v>4.9316214088941364E-11</v>
      </c>
      <c r="BG5" s="42">
        <v>3.7103994490358135E-10</v>
      </c>
      <c r="BH5" s="42">
        <v>3.445985832349469E-10</v>
      </c>
      <c r="BI5" s="42">
        <v>9.1456611570247935E-10</v>
      </c>
      <c r="BJ5" s="42">
        <v>3.3353010625737892E-11</v>
      </c>
      <c r="BK5" s="42">
        <v>1.0448642266824085E-10</v>
      </c>
      <c r="BL5" s="42">
        <v>1.5008854781582052E-10</v>
      </c>
      <c r="BM5" s="42">
        <v>2.2195985832349466E-10</v>
      </c>
      <c r="BN5" s="42">
        <v>2.2284533648170013E-11</v>
      </c>
      <c r="BO5" s="42">
        <v>2.8040141676505308E-12</v>
      </c>
      <c r="BP5" s="42">
        <v>7.1723730814639915E-11</v>
      </c>
      <c r="BQ5" s="42">
        <v>1.5171192443919717E-10</v>
      </c>
      <c r="BR5" s="42">
        <v>5.8736717827626922E-11</v>
      </c>
      <c r="BS5" s="42">
        <v>9.7845336481700112E-11</v>
      </c>
      <c r="BT5" s="42">
        <v>1.2116292798110981E-10</v>
      </c>
      <c r="BU5" s="42">
        <v>3.071248537222072E-10</v>
      </c>
      <c r="BV5" s="42">
        <v>3.071248537222072E-10</v>
      </c>
      <c r="BW5">
        <v>3.0401416765053128E-11</v>
      </c>
      <c r="BX5">
        <v>1.1806375442739079E-10</v>
      </c>
      <c r="BY5">
        <v>1.0876623376623377E-10</v>
      </c>
      <c r="BZ5">
        <v>1.5510625737898466E-10</v>
      </c>
      <c r="CA5" s="23">
        <v>5.0540100000000004E-10</v>
      </c>
      <c r="CB5" s="23">
        <v>7.3548499999999997E-10</v>
      </c>
      <c r="CC5" s="23">
        <v>3.00567E-10</v>
      </c>
      <c r="CD5" s="23">
        <v>7.4628699999999999E-10</v>
      </c>
      <c r="CE5" s="23">
        <v>1.22792E-9</v>
      </c>
      <c r="CF5" s="23">
        <v>1.17175E-9</v>
      </c>
      <c r="CG5" s="23">
        <v>1.14164E-9</v>
      </c>
      <c r="CH5" s="23">
        <v>9.7582999999999993E-10</v>
      </c>
      <c r="CI5" s="23">
        <v>1.4299200000000001E-10</v>
      </c>
      <c r="CJ5" s="23">
        <v>3.81177E-10</v>
      </c>
      <c r="CK5" s="23">
        <v>1.1801200000000001E-10</v>
      </c>
      <c r="CL5" s="23">
        <v>5.6464000000000003E-10</v>
      </c>
      <c r="CM5" s="23">
        <v>2.09563E-10</v>
      </c>
      <c r="CN5" s="23">
        <v>1.24089E-10</v>
      </c>
      <c r="CO5" s="23">
        <v>4.4585500000000001E-10</v>
      </c>
      <c r="CP5" s="23">
        <v>1.83905E-10</v>
      </c>
      <c r="CQ5" s="23">
        <v>4.2798099999999999E-11</v>
      </c>
      <c r="CR5" s="23">
        <v>1.1319399999999999E-10</v>
      </c>
      <c r="CS5" s="23">
        <v>1.2381900000000001E-10</v>
      </c>
      <c r="CT5" s="23">
        <v>1.6632199999999999E-10</v>
      </c>
      <c r="CU5" s="23">
        <v>2.4055499999999999E-11</v>
      </c>
      <c r="CV5" s="23">
        <v>4.2798099999999999E-11</v>
      </c>
      <c r="CW5" s="23">
        <v>6.9657600000000006E-11</v>
      </c>
      <c r="CX5" s="23">
        <v>3.2467500000000003E-11</v>
      </c>
      <c r="CY5" s="23">
        <v>1.27066E-10</v>
      </c>
      <c r="CZ5" s="23">
        <v>9.5779199999999995E-11</v>
      </c>
      <c r="DA5" s="42">
        <v>1.12012987012987E-10</v>
      </c>
      <c r="DB5" s="42">
        <v>2.1989374262101536E-10</v>
      </c>
      <c r="DC5" s="42">
        <v>7.8069657615112155E-11</v>
      </c>
      <c r="DD5" s="42">
        <v>2.0646399055489963E-10</v>
      </c>
      <c r="DE5" s="42">
        <v>2.2063164108618654E-10</v>
      </c>
      <c r="DF5" s="23">
        <v>1.3809000000000001E-9</v>
      </c>
      <c r="DG5" s="23">
        <v>1.06243E-9</v>
      </c>
      <c r="DH5" s="42">
        <v>3.1446280991735539E-9</v>
      </c>
      <c r="DI5" s="42">
        <v>1.5909090909090911E-10</v>
      </c>
      <c r="DJ5" s="42">
        <v>7.6889020070838244E-11</v>
      </c>
      <c r="DK5" s="42">
        <v>8.2939787485242022E-11</v>
      </c>
      <c r="DL5" s="42">
        <v>8.1611570247933887E-11</v>
      </c>
      <c r="DM5" s="42">
        <v>1.3385478158205429E-10</v>
      </c>
      <c r="DN5" s="42">
        <v>5.9031877213695397E-11</v>
      </c>
      <c r="DO5">
        <v>8.6334120425029504E-11</v>
      </c>
      <c r="DP5">
        <v>7.969303423848879E-11</v>
      </c>
      <c r="DQ5">
        <v>1.1511216056670602E-10</v>
      </c>
      <c r="DR5">
        <v>1.5112160566706022E-10</v>
      </c>
      <c r="DS5" s="42">
        <v>1.3872491145218416E-11</v>
      </c>
      <c r="DT5">
        <v>1.4285714285714285E-10</v>
      </c>
      <c r="DU5" s="42">
        <v>1.5761511216056668E-10</v>
      </c>
      <c r="DV5" s="42">
        <v>7.7774498229043667E-11</v>
      </c>
      <c r="DW5" s="42">
        <v>1.790141676505313E-10</v>
      </c>
      <c r="DX5" s="42">
        <v>1.0906139315230223E-10</v>
      </c>
      <c r="DY5" s="42">
        <v>7.8659976387249116E-11</v>
      </c>
      <c r="DZ5" s="42">
        <v>2.2889610389610387E-10</v>
      </c>
      <c r="EA5" s="42">
        <v>1.1171782762691853E-10</v>
      </c>
      <c r="EB5" s="42">
        <v>5.5637544273907902E-11</v>
      </c>
      <c r="EC5" s="42">
        <v>4.3314639905549001E-10</v>
      </c>
      <c r="ED5" s="42">
        <v>3.0194805194805199E-10</v>
      </c>
      <c r="EE5" s="42">
        <v>5.726092089728453E-11</v>
      </c>
      <c r="EF5">
        <v>6.6115702479338848E-11</v>
      </c>
      <c r="EG5" s="42">
        <v>1.3577331759149939E-10</v>
      </c>
      <c r="EH5" s="42">
        <v>3.1139315230224321E-11</v>
      </c>
      <c r="EI5" s="42">
        <v>1.7606257378984653E-10</v>
      </c>
      <c r="EJ5" s="42">
        <v>6.2573789846517129E-11</v>
      </c>
      <c r="EK5" s="42">
        <v>5.4914403778040138E-10</v>
      </c>
      <c r="EL5" s="42">
        <v>2.1413813459268002E-10</v>
      </c>
      <c r="EM5" s="42">
        <v>1.6159976387249113E-10</v>
      </c>
      <c r="EN5" s="42">
        <v>1.4639905548996457E-10</v>
      </c>
      <c r="EO5" s="42">
        <v>1.1555489964580872E-10</v>
      </c>
      <c r="EP5" s="42">
        <v>1.5702479338842973E-10</v>
      </c>
      <c r="EQ5" s="42">
        <v>1.1216056670602125E-10</v>
      </c>
      <c r="ER5">
        <v>1.6322314049586777E-10</v>
      </c>
      <c r="ES5" s="42">
        <v>1.3134592680047225E-10</v>
      </c>
      <c r="ET5" s="42">
        <v>1.4772727272727272E-10</v>
      </c>
      <c r="EU5" s="42">
        <v>3.4755017709563164E-10</v>
      </c>
      <c r="EV5" s="42">
        <v>2.5472255017709566E-10</v>
      </c>
      <c r="EW5" s="42">
        <v>2.4586776859504132E-10</v>
      </c>
      <c r="EX5" s="42">
        <v>4.8170011806375446E-10</v>
      </c>
      <c r="EY5" s="42">
        <v>1.8019480519480522E-10</v>
      </c>
      <c r="EZ5" s="42">
        <v>3.3323494687131049E-10</v>
      </c>
      <c r="FA5" s="42">
        <v>8.1951003541912626E-10</v>
      </c>
      <c r="FB5" s="42">
        <v>1.872343565525384E-9</v>
      </c>
      <c r="FC5" s="42">
        <v>2.091351829988194E-9</v>
      </c>
      <c r="FD5">
        <v>5.5061983471074383E-10</v>
      </c>
      <c r="FE5" s="42">
        <v>2.8068181818181816E-9</v>
      </c>
      <c r="FF5" s="42">
        <v>7.9117473435655251E-10</v>
      </c>
      <c r="FG5" s="42">
        <v>6.3488783943329397E-10</v>
      </c>
      <c r="FH5" s="42">
        <v>5.3999409681227864E-10</v>
      </c>
      <c r="FI5" s="42">
        <v>3.0032467532467531E-10</v>
      </c>
      <c r="FJ5">
        <v>1.8019480519480522E-10</v>
      </c>
      <c r="FK5">
        <v>9.7255017709563163E-11</v>
      </c>
      <c r="FL5" s="8">
        <v>2.420306965761511E-11</v>
      </c>
      <c r="FM5" s="8">
        <v>2.6564344746162928E-12</v>
      </c>
      <c r="FN5">
        <v>4.5011806375442737E-11</v>
      </c>
      <c r="FO5">
        <v>6.2868949232585591E-11</v>
      </c>
      <c r="FP5" s="8">
        <v>7.762691853600943E-11</v>
      </c>
      <c r="FQ5" s="8">
        <v>3.6747343565525387E-11</v>
      </c>
      <c r="FR5" s="8">
        <v>1.1289846517119245E-10</v>
      </c>
      <c r="FS5" s="42">
        <v>1.7384887839433293E-10</v>
      </c>
      <c r="FT5" s="42">
        <v>2.3922668240850061E-10</v>
      </c>
      <c r="FU5" s="42">
        <v>1.3208382526564342E-10</v>
      </c>
      <c r="FV5" s="42">
        <v>1.7680047225501773E-10</v>
      </c>
      <c r="FW5" s="42">
        <v>2.4335891381345925E-10</v>
      </c>
      <c r="FX5" s="42">
        <v>1.7975206611570247E-10</v>
      </c>
      <c r="FY5" s="23">
        <v>1.03E-7</v>
      </c>
      <c r="FZ5" s="42">
        <v>1.6415695558906916E-10</v>
      </c>
      <c r="GA5" s="42">
        <v>1.0845272550690579E-10</v>
      </c>
      <c r="GB5" s="42">
        <v>7.0028174960433938E-11</v>
      </c>
      <c r="GC5" s="42">
        <v>1.8742621015348287E-11</v>
      </c>
      <c r="GD5" s="42">
        <v>3.5566706021251477E-11</v>
      </c>
      <c r="GE5" s="23">
        <v>1E-8</v>
      </c>
      <c r="GF5" s="42">
        <v>1.9893742621015349E-10</v>
      </c>
      <c r="GG5" s="42">
        <v>8.6457103502558059E-11</v>
      </c>
      <c r="GH5" s="42">
        <v>6.7739079102715471E-11</v>
      </c>
      <c r="GI5" s="42">
        <v>1.8911107831562382E-9</v>
      </c>
      <c r="GJ5" s="42">
        <v>5.2728305785123979E-9</v>
      </c>
      <c r="GK5" s="42">
        <v>5.7851239669421479E-11</v>
      </c>
      <c r="GL5" s="42">
        <v>1.4034828807556078E-10</v>
      </c>
      <c r="GM5" s="42">
        <v>1.1142266824085005E-10</v>
      </c>
      <c r="GN5" s="42">
        <v>4.0698192590641805E-11</v>
      </c>
      <c r="GO5" s="42">
        <v>6.9118718142765971E-11</v>
      </c>
      <c r="GP5" s="42">
        <v>6.8663989733931994E-11</v>
      </c>
      <c r="GQ5" s="42">
        <v>5.0020124971738541E-12</v>
      </c>
      <c r="GR5" s="42">
        <v>1.7961772148942474E-11</v>
      </c>
      <c r="GS5" s="42">
        <v>8.2533206203368571E-11</v>
      </c>
    </row>
    <row r="6" spans="1:201" x14ac:dyDescent="0.35">
      <c r="A6" s="42">
        <v>5.0473730814639903E-9</v>
      </c>
      <c r="B6" s="42">
        <v>1.6540731995277448E-9</v>
      </c>
      <c r="C6" s="42">
        <v>1.7378984651711925E-9</v>
      </c>
      <c r="D6" s="42">
        <v>3.9949822904368361E-10</v>
      </c>
      <c r="E6" s="42">
        <v>5.4338842975206611E-10</v>
      </c>
      <c r="F6" s="42">
        <v>5.4589728453364813E-10</v>
      </c>
      <c r="G6" s="42">
        <v>1.4118949232585597E-9</v>
      </c>
      <c r="H6" s="42">
        <v>1.4654663518299882E-9</v>
      </c>
      <c r="I6" s="42">
        <v>1.5904663518299879E-9</v>
      </c>
      <c r="J6" s="42">
        <v>9.0687721369539553E-10</v>
      </c>
      <c r="K6" s="42">
        <v>1.282172373081464E-9</v>
      </c>
      <c r="L6" s="42">
        <v>1.2811393152302244E-9</v>
      </c>
      <c r="M6" s="42">
        <v>1.4402302243211333E-9</v>
      </c>
      <c r="N6" s="42">
        <v>1.3469598583234946E-9</v>
      </c>
      <c r="O6" s="42">
        <v>6.6735537190082653E-10</v>
      </c>
      <c r="P6" s="42">
        <v>1.1158500590318772E-9</v>
      </c>
      <c r="Q6" s="42">
        <v>1.2095631641086186E-9</v>
      </c>
      <c r="R6" s="42">
        <v>9.6930342384887851E-10</v>
      </c>
      <c r="S6" s="42">
        <v>8.8975796930342375E-10</v>
      </c>
      <c r="T6" s="42">
        <v>1.7193034238488782E-9</v>
      </c>
      <c r="U6" s="42">
        <v>2.8507969303423844E-9</v>
      </c>
      <c r="V6" s="42">
        <v>3.0299586776859503E-9</v>
      </c>
      <c r="W6" s="42">
        <v>3.4036304604486422E-9</v>
      </c>
      <c r="X6" s="42">
        <v>4.9713695395513579E-9</v>
      </c>
      <c r="Y6" s="42">
        <v>2.5472255017709564E-9</v>
      </c>
      <c r="Z6" s="42">
        <v>2.7154663518299882E-9</v>
      </c>
      <c r="AA6" s="42">
        <v>2.7547225501770954E-9</v>
      </c>
      <c r="AB6" s="42">
        <v>2.6424144037780403E-9</v>
      </c>
      <c r="AC6" s="42">
        <v>3.3826741440377805E-9</v>
      </c>
      <c r="AD6" s="42">
        <v>5.6523022432113328E-10</v>
      </c>
      <c r="AE6" s="42">
        <v>1.857733175914994E-9</v>
      </c>
      <c r="AF6" s="42">
        <v>1.0199232585596221E-9</v>
      </c>
      <c r="AG6" s="42">
        <v>7.4793388429752065E-10</v>
      </c>
      <c r="AH6" s="42">
        <v>4.9940968122786303E-10</v>
      </c>
      <c r="AI6" s="42">
        <v>2.4123376623376623E-9</v>
      </c>
      <c r="AJ6" s="42">
        <v>4.116587957497048E-9</v>
      </c>
      <c r="AK6" s="42">
        <v>2.2542798110979929E-9</v>
      </c>
      <c r="AL6" s="42">
        <v>1.0284828807556079E-9</v>
      </c>
      <c r="AM6" s="42">
        <v>1.0745277449822905E-9</v>
      </c>
      <c r="AN6" s="42">
        <v>1.3381050767414405E-9</v>
      </c>
      <c r="AO6" s="42">
        <v>5.7526564344746156E-10</v>
      </c>
      <c r="AP6" s="42">
        <v>8.3766233766233761E-10</v>
      </c>
      <c r="AQ6" s="42">
        <v>9.7638724911452169E-10</v>
      </c>
      <c r="AR6" s="42">
        <v>8.4386068476977565E-10</v>
      </c>
      <c r="AS6" s="42">
        <v>1.0881050767414406E-9</v>
      </c>
      <c r="AT6" s="42">
        <v>1.0706906729634E-9</v>
      </c>
      <c r="AU6" s="42">
        <v>4.2680047225501769E-10</v>
      </c>
      <c r="AV6" s="42">
        <v>3.8193624557260916E-10</v>
      </c>
      <c r="AW6" s="42">
        <v>2.5782172373081463E-10</v>
      </c>
      <c r="AX6" s="42">
        <v>5.6463990554899638E-10</v>
      </c>
      <c r="AY6" s="42">
        <v>1.3828217237308144E-10</v>
      </c>
      <c r="AZ6" s="42">
        <v>1.1821133412042502E-10</v>
      </c>
      <c r="BA6" s="42">
        <v>1.5599173553719006E-10</v>
      </c>
      <c r="BB6" s="42">
        <v>1.0050177095631641E-10</v>
      </c>
      <c r="BC6" s="42">
        <v>2.2240259740259741E-10</v>
      </c>
      <c r="BD6" s="42">
        <v>3.4858323494687131E-10</v>
      </c>
      <c r="BE6" s="42">
        <v>5.9400826446281009E-11</v>
      </c>
      <c r="BF6" s="42">
        <v>5.3743604879968519E-11</v>
      </c>
      <c r="BG6" s="42">
        <v>1.6348140495867771E-9</v>
      </c>
      <c r="BH6" s="42">
        <v>7.5388626524990168E-10</v>
      </c>
      <c r="BI6" s="42">
        <v>1.5364669421487602E-9</v>
      </c>
      <c r="BJ6" s="42">
        <v>7.6889020070838244E-11</v>
      </c>
      <c r="BK6" s="42">
        <v>1.605667060212515E-10</v>
      </c>
      <c r="BL6" s="42">
        <v>1.3577331759149939E-10</v>
      </c>
      <c r="BM6" s="42">
        <v>2.4483471074380165E-10</v>
      </c>
      <c r="BN6" s="42">
        <v>3.7780401416765054E-11</v>
      </c>
      <c r="BO6" s="42">
        <v>1.3119834710743802E-10</v>
      </c>
      <c r="BP6" s="42">
        <v>5.9031877213695397E-13</v>
      </c>
      <c r="BQ6" s="42">
        <v>1.9451003541912633E-10</v>
      </c>
      <c r="BR6" s="42">
        <v>8.8547815820543086E-13</v>
      </c>
      <c r="BS6" s="42">
        <v>1.5200708382526567E-10</v>
      </c>
      <c r="BT6" s="42">
        <v>3.1921487603305783E-10</v>
      </c>
      <c r="BU6" s="42">
        <v>5.3462957962012778E-10</v>
      </c>
      <c r="BV6" s="42">
        <v>5.3462957962012778E-10</v>
      </c>
      <c r="BW6">
        <v>1.1062573789846515E-9</v>
      </c>
      <c r="BX6">
        <v>1.1124557260920895E-9</v>
      </c>
      <c r="BY6">
        <v>9.5292207792207786E-10</v>
      </c>
      <c r="BZ6">
        <v>1.4703364817001179E-9</v>
      </c>
      <c r="CA6" s="23">
        <v>1.29746E-9</v>
      </c>
      <c r="CB6" s="23">
        <v>1.70051E-9</v>
      </c>
      <c r="CC6" s="23">
        <v>8.84283E-10</v>
      </c>
      <c r="CD6" s="23">
        <v>1.53983E-9</v>
      </c>
      <c r="CE6" s="23">
        <v>2.4122300000000001E-9</v>
      </c>
      <c r="CF6" s="23">
        <v>2.40427E-9</v>
      </c>
      <c r="CG6" s="23">
        <v>2.3266299999999999E-9</v>
      </c>
      <c r="CH6" s="23">
        <v>2.36281E-9</v>
      </c>
      <c r="CI6" s="23">
        <v>1.8782100000000001E-10</v>
      </c>
      <c r="CJ6" s="23">
        <v>6.1423199999999997E-10</v>
      </c>
      <c r="CK6" s="23">
        <v>2.8449899999999999E-10</v>
      </c>
      <c r="CL6" s="23">
        <v>7.7007100000000002E-10</v>
      </c>
      <c r="CM6" s="23">
        <v>4.9926200000000001E-10</v>
      </c>
      <c r="CN6" s="23">
        <v>2.1401599999999999E-10</v>
      </c>
      <c r="CO6" s="23">
        <v>6.8687599999999998E-10</v>
      </c>
      <c r="CP6" s="23">
        <v>4.5260600000000002E-10</v>
      </c>
      <c r="CQ6" s="23">
        <v>1.9923299999999999E-11</v>
      </c>
      <c r="CR6" s="23">
        <v>1.21606E-10</v>
      </c>
      <c r="CS6" s="23">
        <v>2.5693600000000001E-10</v>
      </c>
      <c r="CT6" s="23">
        <v>3.2733200000000001E-10</v>
      </c>
      <c r="CU6" s="23">
        <v>4.9734399999999999E-11</v>
      </c>
      <c r="CV6" s="23">
        <v>1.2072E-10</v>
      </c>
      <c r="CW6" s="23">
        <v>8.7219599999999999E-11</v>
      </c>
      <c r="CX6" s="23">
        <v>1.2942700000000001E-10</v>
      </c>
      <c r="CY6" s="23">
        <v>3.5419100000000003E-11</v>
      </c>
      <c r="CZ6" s="23">
        <v>1.1939200000000001E-10</v>
      </c>
      <c r="DA6" s="42">
        <v>1.3503541912632822E-10</v>
      </c>
      <c r="DB6" s="42">
        <v>3.0726092089728458E-10</v>
      </c>
      <c r="DC6" s="42">
        <v>1.9465761511216055E-10</v>
      </c>
      <c r="DD6" s="42">
        <v>1.3829693034238486E-9</v>
      </c>
      <c r="DE6" s="42">
        <v>9.0658205430932698E-10</v>
      </c>
      <c r="DF6" s="23">
        <v>1.80947E-9</v>
      </c>
      <c r="DG6" s="23">
        <v>1.9830299999999999E-9</v>
      </c>
      <c r="DH6" s="42">
        <v>3.2818772136953951E-9</v>
      </c>
      <c r="DI6" s="42">
        <v>2.5177095631641086E-10</v>
      </c>
      <c r="DJ6" s="42">
        <v>2.4409681227863042E-10</v>
      </c>
      <c r="DK6" s="42">
        <v>2.0882526564344748E-10</v>
      </c>
      <c r="DL6" s="42">
        <v>1.5540141676505311E-10</v>
      </c>
      <c r="DM6" s="42">
        <v>1.9377213695395515E-10</v>
      </c>
      <c r="DN6" s="42">
        <v>9.3122786304604481E-11</v>
      </c>
      <c r="DO6">
        <v>1.1894923258559622E-10</v>
      </c>
      <c r="DP6">
        <v>1.3636363636363639E-10</v>
      </c>
      <c r="DQ6">
        <v>1.2987012987012988E-10</v>
      </c>
      <c r="DR6">
        <v>2.1369539551357732E-10</v>
      </c>
      <c r="DS6" s="42">
        <v>8.1759149940968124E-11</v>
      </c>
      <c r="DT6">
        <v>1.9303423848878395E-10</v>
      </c>
      <c r="DU6" s="42">
        <v>5.2863046044864223E-10</v>
      </c>
      <c r="DV6" s="42">
        <v>2.4778630460448634E-10</v>
      </c>
      <c r="DW6" s="42">
        <v>3.0327626918536011E-10</v>
      </c>
      <c r="DX6" s="42">
        <v>1.453659976387249E-10</v>
      </c>
      <c r="DY6" s="42">
        <v>1.5879574970484063E-10</v>
      </c>
      <c r="DZ6" s="42">
        <v>2.4645808736717822E-10</v>
      </c>
      <c r="EA6" s="42">
        <v>2.1797520661157024E-10</v>
      </c>
      <c r="EB6" s="42">
        <v>1.1024203069657614E-10</v>
      </c>
      <c r="EC6" s="42">
        <v>6.2913223140495871E-10</v>
      </c>
      <c r="ED6" s="42">
        <v>3.1641086186540731E-10</v>
      </c>
      <c r="EE6" s="42">
        <v>1.4020070838252657E-11</v>
      </c>
      <c r="EF6">
        <v>7.8512396694214866E-11</v>
      </c>
      <c r="EG6" s="42">
        <v>1.6086186540731995E-10</v>
      </c>
      <c r="EH6" s="42">
        <v>9.2975206611570244E-11</v>
      </c>
      <c r="EI6" s="42">
        <v>1.6322314049586777E-10</v>
      </c>
      <c r="EJ6" s="42">
        <v>1.4728453364817002E-10</v>
      </c>
      <c r="EK6" s="42">
        <v>8.3913813459268006E-10</v>
      </c>
      <c r="EL6" s="42">
        <v>3.7736127508854779E-10</v>
      </c>
      <c r="EM6" s="42">
        <v>3.2098583234946873E-10</v>
      </c>
      <c r="EN6" s="42">
        <v>8.1404958677685944E-10</v>
      </c>
      <c r="EO6" s="42">
        <v>6.5185950413223142E-10</v>
      </c>
      <c r="EP6" s="42">
        <v>9.853896103896103E-10</v>
      </c>
      <c r="EQ6" s="42">
        <v>9.2296340023612743E-10</v>
      </c>
      <c r="ER6">
        <v>8.7544273907910265E-10</v>
      </c>
      <c r="ES6" s="42">
        <v>6.7591499409681226E-10</v>
      </c>
      <c r="ET6" s="42">
        <v>2.1694214876033059E-10</v>
      </c>
      <c r="EU6" s="42">
        <v>5.2051357733175928E-10</v>
      </c>
      <c r="EV6" s="42">
        <v>4.3137544273907906E-10</v>
      </c>
      <c r="EW6" s="42">
        <v>9.1189492325855957E-10</v>
      </c>
      <c r="EX6" s="42">
        <v>1.2640200708382525E-9</v>
      </c>
      <c r="EY6" s="42">
        <v>5.8766233766233764E-10</v>
      </c>
      <c r="EZ6" s="42">
        <v>4.7269775678866585E-10</v>
      </c>
      <c r="FA6" s="42">
        <v>1.4111570247933885E-9</v>
      </c>
      <c r="FB6" s="42">
        <v>2.9572018890200706E-9</v>
      </c>
      <c r="FC6" s="42">
        <v>3.7467532467532469E-9</v>
      </c>
      <c r="FD6">
        <v>2.9883412042502951E-9</v>
      </c>
      <c r="FE6" s="42">
        <v>6.0897284533648166E-9</v>
      </c>
      <c r="FF6" s="42">
        <v>3.4784533648170009E-9</v>
      </c>
      <c r="FG6" s="42">
        <v>2.6335596221959856E-9</v>
      </c>
      <c r="FH6" s="42">
        <v>2.9809622195985837E-9</v>
      </c>
      <c r="FI6" s="42">
        <v>2.7309622195985835E-9</v>
      </c>
      <c r="FJ6">
        <v>2.3834120425029511E-10</v>
      </c>
      <c r="FK6">
        <v>8.5153482880755593E-11</v>
      </c>
      <c r="FL6" s="8">
        <v>4.5011806375442737E-11</v>
      </c>
      <c r="FM6" s="8">
        <v>1.0463400236127509E-10</v>
      </c>
      <c r="FN6">
        <v>1.8595041322314049E-10</v>
      </c>
      <c r="FO6">
        <v>5.8146399055489967E-11</v>
      </c>
      <c r="FP6" s="8">
        <v>1.449232585596222E-10</v>
      </c>
      <c r="FQ6" s="8">
        <v>5.5047225501770953E-11</v>
      </c>
      <c r="FR6" s="8">
        <v>1.5023612750885477E-10</v>
      </c>
      <c r="FS6" s="42">
        <v>3.1877213695395516E-10</v>
      </c>
      <c r="FT6" s="42">
        <v>2.281582054309327E-10</v>
      </c>
      <c r="FU6" s="42">
        <v>6.3001770956316405E-10</v>
      </c>
      <c r="FV6" s="42">
        <v>1.0667060212514757E-9</v>
      </c>
      <c r="FW6" s="42">
        <v>1.7659386068476976E-9</v>
      </c>
      <c r="FX6" s="42">
        <v>2.3004722550177094E-9</v>
      </c>
      <c r="FY6" s="42" t="s">
        <v>76</v>
      </c>
      <c r="FZ6" s="42">
        <v>3.7424148047037105E-10</v>
      </c>
      <c r="GA6" s="42">
        <v>3.6764791854227828E-10</v>
      </c>
      <c r="GB6" s="42">
        <v>2.9466400892442333E-10</v>
      </c>
      <c r="GC6" s="42">
        <v>3.2762691853600943E-11</v>
      </c>
      <c r="GD6" s="42">
        <v>2.0528335301062571E-10</v>
      </c>
      <c r="GE6" t="s">
        <v>76</v>
      </c>
      <c r="GF6" s="42">
        <v>2.3848878394332938E-10</v>
      </c>
      <c r="GG6" s="42">
        <v>9.7279614325068884E-11</v>
      </c>
      <c r="GH6" s="42">
        <v>2.9515938606847698E-11</v>
      </c>
      <c r="GI6" s="42">
        <v>4.3513872491145219E-9</v>
      </c>
      <c r="GJ6" s="42">
        <v>7.0445247933884292E-9</v>
      </c>
      <c r="GK6" s="42">
        <v>1.4757969303423847E-10</v>
      </c>
      <c r="GL6" s="42">
        <v>1.8609799291617471E-10</v>
      </c>
      <c r="GM6" s="42">
        <v>3.8075560802833529E-11</v>
      </c>
      <c r="GN6" s="42">
        <v>5.1361573777798792E-10</v>
      </c>
      <c r="GO6" s="42">
        <v>6.7504432291405327E-10</v>
      </c>
      <c r="GP6" s="42">
        <v>4.7564591564035009E-10</v>
      </c>
      <c r="GQ6" s="42">
        <v>4.638229770106664E-11</v>
      </c>
      <c r="GR6" s="42">
        <v>8.4352119838704518E-11</v>
      </c>
      <c r="GS6" s="42">
        <v>1.3710061526344699E-10</v>
      </c>
    </row>
    <row r="7" spans="1:201" x14ac:dyDescent="0.35">
      <c r="A7" s="42">
        <v>8.0624262101534831E-9</v>
      </c>
      <c r="B7" s="42">
        <v>3.3400236127508855E-9</v>
      </c>
      <c r="C7" s="42">
        <v>3.4834710743801655E-9</v>
      </c>
      <c r="D7" s="42">
        <v>5.7792207792207791E-10</v>
      </c>
      <c r="E7" s="42">
        <v>8.1641086186540734E-10</v>
      </c>
      <c r="F7" s="42">
        <v>6.8875442739079101E-10</v>
      </c>
      <c r="G7" s="42">
        <v>3.6644037780401417E-9</v>
      </c>
      <c r="H7" s="42">
        <v>3.3685064935064933E-9</v>
      </c>
      <c r="I7" s="42">
        <v>2.6872786304604486E-9</v>
      </c>
      <c r="J7" s="42">
        <v>2.2845336481700119E-9</v>
      </c>
      <c r="K7" s="42">
        <v>2.4847992916174734E-9</v>
      </c>
      <c r="L7" s="42">
        <v>3.3832644628099174E-9</v>
      </c>
      <c r="M7" s="42">
        <v>3.01254427390791E-9</v>
      </c>
      <c r="N7" s="42">
        <v>3.4303423848878394E-9</v>
      </c>
      <c r="O7" s="42">
        <v>8.7012987012987016E-10</v>
      </c>
      <c r="P7" s="42">
        <v>1.6651416765053128E-9</v>
      </c>
      <c r="Q7" s="42">
        <v>4.0187426210153483E-9</v>
      </c>
      <c r="R7" s="42">
        <v>2.1434474616292798E-9</v>
      </c>
      <c r="S7" s="42">
        <v>3.3953659976387244E-9</v>
      </c>
      <c r="T7" s="42">
        <v>3.8088842975206609E-9</v>
      </c>
      <c r="U7" s="42">
        <v>5.7790731995277446E-9</v>
      </c>
      <c r="V7" s="42">
        <v>6.7590023612750883E-9</v>
      </c>
      <c r="W7" s="42">
        <v>5.7408500590318768E-9</v>
      </c>
      <c r="X7" s="42">
        <v>8.0726092089728451E-9</v>
      </c>
      <c r="Y7" s="42">
        <v>4.5492916174734346E-9</v>
      </c>
      <c r="Z7" s="42">
        <v>6.4570543093270358E-9</v>
      </c>
      <c r="AA7" s="42">
        <v>6.6407910271546629E-9</v>
      </c>
      <c r="AB7" s="42">
        <v>6.3937426210153489E-9</v>
      </c>
      <c r="AC7" s="42">
        <v>5.4983766233766228E-9</v>
      </c>
      <c r="AD7" s="42">
        <v>1.1807851239669423E-9</v>
      </c>
      <c r="AE7" s="42">
        <v>3.4189787485242024E-9</v>
      </c>
      <c r="AF7" s="42">
        <v>2.0941558441558441E-9</v>
      </c>
      <c r="AG7" s="42">
        <v>1.5610979929161746E-9</v>
      </c>
      <c r="AH7" s="42">
        <v>1.2213695395513578E-9</v>
      </c>
      <c r="AI7" s="42">
        <v>4.8307260920897288E-9</v>
      </c>
      <c r="AJ7" s="42">
        <v>1.2614226682408501E-8</v>
      </c>
      <c r="AK7" s="42">
        <v>7.6859504132231397E-9</v>
      </c>
      <c r="AL7" s="42">
        <v>2.0361570247933881E-9</v>
      </c>
      <c r="AM7" s="42">
        <v>2.0115112160566711E-9</v>
      </c>
      <c r="AN7" s="42">
        <v>1.806818181818182E-9</v>
      </c>
      <c r="AO7" s="42">
        <v>9.7963400236127504E-10</v>
      </c>
      <c r="AP7" s="42">
        <v>1.4279811097992917E-9</v>
      </c>
      <c r="AQ7" s="42">
        <v>1.4439197166469894E-9</v>
      </c>
      <c r="AR7" s="42">
        <v>1.8881345926800471E-9</v>
      </c>
      <c r="AS7" s="42">
        <v>2.0959268004722552E-9</v>
      </c>
      <c r="AT7" s="42">
        <v>3.6320838252656434E-9</v>
      </c>
      <c r="AU7" s="42">
        <v>1.7340613931523023E-9</v>
      </c>
      <c r="AV7" s="42">
        <v>8.2098583234946861E-10</v>
      </c>
      <c r="AW7" s="42">
        <v>9.5292207792207786E-10</v>
      </c>
      <c r="AX7" s="42">
        <v>7.2786304604486418E-10</v>
      </c>
      <c r="AY7" s="42">
        <v>2.7228453364817001E-10</v>
      </c>
      <c r="AZ7" s="42">
        <v>2.939787485242031E-10</v>
      </c>
      <c r="BA7" s="42">
        <v>2.3981700118063756E-10</v>
      </c>
      <c r="BB7" s="42">
        <v>1.6661747343565524E-10</v>
      </c>
      <c r="BC7" s="42">
        <v>4.6502361275088551E-10</v>
      </c>
      <c r="BD7" s="42">
        <v>7.98258559622196E-10</v>
      </c>
      <c r="BE7" s="42">
        <v>5.0546044864226698E-11</v>
      </c>
      <c r="BF7" s="42">
        <v>5.1529909484454942E-11</v>
      </c>
      <c r="BG7" s="42">
        <v>3.0845385674931132E-9</v>
      </c>
      <c r="BH7" s="42">
        <v>1.6844992129083039E-9</v>
      </c>
      <c r="BI7" s="42">
        <v>2.3652892561983472E-9</v>
      </c>
      <c r="BJ7" s="42">
        <v>7.5413223140495859E-11</v>
      </c>
      <c r="BK7" s="42">
        <v>1.3296930342384887E-10</v>
      </c>
      <c r="BL7" s="42">
        <v>1.8491735537190084E-10</v>
      </c>
      <c r="BM7" s="42">
        <v>2.2387839433293978E-10</v>
      </c>
      <c r="BN7" s="42">
        <v>1.1068476977567888E-11</v>
      </c>
      <c r="BO7" s="42">
        <v>1.494982290436836E-10</v>
      </c>
      <c r="BP7" s="42">
        <v>2.5826446280991735E-11</v>
      </c>
      <c r="BQ7" s="42">
        <v>3.8518299881936251E-10</v>
      </c>
      <c r="BR7" s="42">
        <v>1.3474025974025977E-10</v>
      </c>
      <c r="BS7" s="42">
        <v>5.8662927981109797E-10</v>
      </c>
      <c r="BT7" s="42">
        <v>4.5144628099173553E-10</v>
      </c>
      <c r="BU7" s="42">
        <v>8.6263840129624624E-10</v>
      </c>
      <c r="BV7" s="42">
        <v>8.6263840129624624E-10</v>
      </c>
      <c r="BW7">
        <v>2.4431818181818182E-9</v>
      </c>
      <c r="BX7">
        <v>2.4893742621015347E-9</v>
      </c>
      <c r="BY7">
        <v>2.2015938606847702E-9</v>
      </c>
      <c r="BZ7">
        <v>1.7228453364817E-9</v>
      </c>
      <c r="CA7" s="23">
        <v>2.26195E-9</v>
      </c>
      <c r="CB7" s="23">
        <v>2.7300800000000002E-9</v>
      </c>
      <c r="CC7" s="23">
        <v>1.7657300000000001E-9</v>
      </c>
      <c r="CD7" s="23">
        <v>2.4388299999999999E-9</v>
      </c>
      <c r="CE7" s="23">
        <v>3.6300300000000001E-9</v>
      </c>
      <c r="CF7" s="23">
        <v>4.1139600000000001E-9</v>
      </c>
      <c r="CG7" s="23">
        <v>4.1207100000000003E-9</v>
      </c>
      <c r="CH7" s="23">
        <v>4.5931699999999998E-9</v>
      </c>
      <c r="CI7" s="23">
        <v>3.6672999999999998E-10</v>
      </c>
      <c r="CJ7" s="23">
        <v>1.13422E-9</v>
      </c>
      <c r="CK7" s="23">
        <v>7.1928200000000004E-10</v>
      </c>
      <c r="CL7" s="23">
        <v>1.52066E-9</v>
      </c>
      <c r="CM7" s="23">
        <v>1.2116300000000001E-9</v>
      </c>
      <c r="CN7" s="23">
        <v>3.9440999999999999E-10</v>
      </c>
      <c r="CO7" s="23">
        <v>9.8501199999999991E-10</v>
      </c>
      <c r="CP7" s="23">
        <v>9.5098600000000001E-10</v>
      </c>
      <c r="CQ7" s="23">
        <v>5.7556100000000004E-12</v>
      </c>
      <c r="CR7" s="23">
        <v>2.4498199999999998E-10</v>
      </c>
      <c r="CS7" s="23">
        <v>4.4820000000000001E-10</v>
      </c>
      <c r="CT7" s="23">
        <v>5.8530100000000005E-10</v>
      </c>
      <c r="CU7" s="23">
        <v>6.4418499999999998E-10</v>
      </c>
      <c r="CV7" s="23">
        <v>7.16204E-10</v>
      </c>
      <c r="CW7" s="23">
        <v>6.5481100000000005E-10</v>
      </c>
      <c r="CX7" s="23">
        <v>2.0823500000000001E-10</v>
      </c>
      <c r="CY7" s="23">
        <v>2.0469299999999999E-10</v>
      </c>
      <c r="CZ7" s="23">
        <v>2.9471700000000002E-10</v>
      </c>
      <c r="DA7" s="42">
        <v>3.4548406139315229E-10</v>
      </c>
      <c r="DB7" s="42">
        <v>5.4958677685950415E-10</v>
      </c>
      <c r="DC7" s="42">
        <v>5.4663518299881936E-10</v>
      </c>
      <c r="DD7" s="42">
        <v>2.8789846517119245E-9</v>
      </c>
      <c r="DE7" s="42">
        <v>1.9883412042502949E-9</v>
      </c>
      <c r="DF7" s="23">
        <v>2.4166199999999999E-9</v>
      </c>
      <c r="DG7" s="23">
        <v>2.7313999999999999E-9</v>
      </c>
      <c r="DH7" s="42">
        <v>3.5900236127508856E-9</v>
      </c>
      <c r="DI7" s="42">
        <v>4.896694214876033E-10</v>
      </c>
      <c r="DJ7" s="42">
        <v>4.7476387249114519E-10</v>
      </c>
      <c r="DK7" s="42">
        <v>3.0770365997638725E-10</v>
      </c>
      <c r="DL7" s="42">
        <v>2.5014757969303424E-10</v>
      </c>
      <c r="DM7" s="42">
        <v>3.8872491145218415E-10</v>
      </c>
      <c r="DN7" s="42">
        <v>6.2278630460448642E-11</v>
      </c>
      <c r="DO7">
        <v>1.3385478158205429E-10</v>
      </c>
      <c r="DP7">
        <v>1.7340613931523021E-10</v>
      </c>
      <c r="DQ7">
        <v>1.5230224321133412E-10</v>
      </c>
      <c r="DR7">
        <v>2.4409681227863042E-10</v>
      </c>
      <c r="DS7" s="42">
        <v>2.0956316410861865E-10</v>
      </c>
      <c r="DT7">
        <v>3.8001770956316409E-10</v>
      </c>
      <c r="DU7" s="42">
        <v>1.1680932703659978E-9</v>
      </c>
      <c r="DV7" s="42">
        <v>4.5985832349468709E-10</v>
      </c>
      <c r="DW7" s="42">
        <v>6.189492325855962E-10</v>
      </c>
      <c r="DX7" s="42">
        <v>6.1880165289256197E-10</v>
      </c>
      <c r="DY7" s="42">
        <v>7.0410271546635189E-10</v>
      </c>
      <c r="DZ7" s="42">
        <v>3.3175914994096809E-10</v>
      </c>
      <c r="EA7" s="42">
        <v>4.4141086186540729E-10</v>
      </c>
      <c r="EB7" s="42">
        <v>2.6224911452184177E-10</v>
      </c>
      <c r="EC7" s="42">
        <v>8.8296930342384881E-10</v>
      </c>
      <c r="ED7" s="42">
        <v>3.9846517119244389E-10</v>
      </c>
      <c r="EE7" s="42">
        <v>1.1319362455726091E-10</v>
      </c>
      <c r="EF7">
        <v>1.9318181818181818E-10</v>
      </c>
      <c r="EG7" s="42">
        <v>1.7812868949232585E-10</v>
      </c>
      <c r="EH7" s="42">
        <v>2.5368949232585599E-10</v>
      </c>
      <c r="EI7" s="42">
        <v>3.8828217237308148E-10</v>
      </c>
      <c r="EJ7" s="42">
        <v>1.974616292798111E-10</v>
      </c>
      <c r="EK7" s="42">
        <v>1.0878099173553719E-9</v>
      </c>
      <c r="EL7" s="42">
        <v>4.2798110979929159E-10</v>
      </c>
      <c r="EM7" s="42">
        <v>4.059917355371901E-10</v>
      </c>
      <c r="EN7" s="42">
        <v>1.5152007083825264E-9</v>
      </c>
      <c r="EO7" s="42">
        <v>1.0799881936245573E-9</v>
      </c>
      <c r="EP7" s="42">
        <v>1.6999704840613931E-9</v>
      </c>
      <c r="EQ7" s="42">
        <v>1.5349763872491146E-9</v>
      </c>
      <c r="ER7">
        <v>1.5295159386068475E-9</v>
      </c>
      <c r="ES7" s="42">
        <v>1.2216646989374263E-9</v>
      </c>
      <c r="ET7" s="42">
        <v>6.7739079102715461E-10</v>
      </c>
      <c r="EU7" s="42">
        <v>1.5776269185360094E-9</v>
      </c>
      <c r="EV7" s="42">
        <v>1.728305785123967E-9</v>
      </c>
      <c r="EW7" s="42">
        <v>2.0177095631641087E-9</v>
      </c>
      <c r="EX7" s="42">
        <v>2.1115702479338845E-9</v>
      </c>
      <c r="EY7" s="42">
        <v>1.0618358913813459E-9</v>
      </c>
      <c r="EZ7" s="42">
        <v>7.8822314049586771E-10</v>
      </c>
      <c r="FA7" s="42">
        <v>2.2507378984651711E-9</v>
      </c>
      <c r="FB7" s="42">
        <v>4.3704250295159386E-9</v>
      </c>
      <c r="FC7" s="42">
        <v>5.7688902007083817E-9</v>
      </c>
      <c r="FD7">
        <v>4.5565230224321134E-9</v>
      </c>
      <c r="FE7" s="42">
        <v>8.0734946871310494E-9</v>
      </c>
      <c r="FF7" s="42">
        <v>5.309622195985831E-9</v>
      </c>
      <c r="FG7" s="42">
        <v>3.9822904368358909E-9</v>
      </c>
      <c r="FH7" s="42">
        <v>4.6707497048406135E-9</v>
      </c>
      <c r="FI7" s="42">
        <v>5.4337367178276262E-9</v>
      </c>
      <c r="FJ7">
        <v>1.775383707201889E-10</v>
      </c>
      <c r="FK7">
        <v>8.9728453364816986E-11</v>
      </c>
      <c r="FL7" s="8">
        <v>1.5466351829988194E-10</v>
      </c>
      <c r="FM7" s="8">
        <v>9.5188902007083829E-11</v>
      </c>
      <c r="FN7">
        <v>2.3479929161747341E-10</v>
      </c>
      <c r="FO7">
        <v>5.4014167650531287E-10</v>
      </c>
      <c r="FP7" s="8">
        <v>5.2464580873671777E-10</v>
      </c>
      <c r="FQ7" s="42">
        <v>1.1762101534828807E-10</v>
      </c>
      <c r="FR7" s="42">
        <v>1.9451003541912633E-10</v>
      </c>
      <c r="FS7" s="42">
        <v>6.3518299881936252E-10</v>
      </c>
      <c r="FT7" s="42">
        <v>3.884297520661157E-10</v>
      </c>
      <c r="FU7" s="42">
        <v>3.0575560802833526E-9</v>
      </c>
      <c r="FV7" s="42">
        <v>9.2916174734356557E-10</v>
      </c>
      <c r="FW7" s="42">
        <v>3.9515938606847697E-9</v>
      </c>
      <c r="FX7" s="42">
        <v>6.0712809917355372E-9</v>
      </c>
      <c r="FY7" s="42" t="s">
        <v>76</v>
      </c>
      <c r="FZ7" s="42">
        <v>1.6138311229518186E-9</v>
      </c>
      <c r="GA7" s="42">
        <v>7.0005438539992246E-10</v>
      </c>
      <c r="GB7" s="42">
        <v>6.9664392233366756E-10</v>
      </c>
      <c r="GC7" s="42">
        <v>1.914108618654073E-10</v>
      </c>
      <c r="GD7" s="42">
        <v>2.1856552538370719E-10</v>
      </c>
      <c r="GE7" s="42" t="s">
        <v>76</v>
      </c>
      <c r="GF7" s="42">
        <v>3.9580873671782759E-10</v>
      </c>
      <c r="GG7" s="42">
        <v>4.3167060212514759E-11</v>
      </c>
      <c r="GH7" s="42">
        <v>1.1953955135773316E-11</v>
      </c>
      <c r="GI7" s="42">
        <v>6.2411452184179458E-9</v>
      </c>
      <c r="GJ7" s="42">
        <v>7.5189049586776868E-9</v>
      </c>
      <c r="GK7" s="42">
        <v>9.8435655253837061E-11</v>
      </c>
      <c r="GL7" s="42">
        <v>2.5531286894923261E-10</v>
      </c>
      <c r="GM7" s="42">
        <v>1.0463400236127509E-10</v>
      </c>
      <c r="GN7" s="42">
        <v>1.0144990801086241E-9</v>
      </c>
      <c r="GO7" s="42">
        <v>1.0783884215497994E-9</v>
      </c>
      <c r="GP7" s="42">
        <v>8.4011073532079054E-10</v>
      </c>
      <c r="GQ7" s="42">
        <v>7.025553916485092E-11</v>
      </c>
      <c r="GR7" s="42">
        <v>6.0933606783754203E-11</v>
      </c>
      <c r="GS7" s="42">
        <v>9.8221336308141122E-11</v>
      </c>
    </row>
    <row r="8" spans="1:201" x14ac:dyDescent="0.35">
      <c r="A8" s="42">
        <v>1.1446428571428571E-8</v>
      </c>
      <c r="B8" s="42">
        <v>5.4595631641086186E-9</v>
      </c>
      <c r="C8" s="42">
        <v>5.6131936245572611E-9</v>
      </c>
      <c r="D8" s="42">
        <v>7.9589728453364799E-10</v>
      </c>
      <c r="E8" s="42">
        <v>1.0298110979929161E-9</v>
      </c>
      <c r="F8" s="42">
        <v>9.8155253837072027E-10</v>
      </c>
      <c r="G8" s="42">
        <v>4.2517709563164103E-9</v>
      </c>
      <c r="H8" s="42">
        <v>4.3155253837072026E-9</v>
      </c>
      <c r="I8" s="42">
        <v>3.7299291617473435E-9</v>
      </c>
      <c r="J8" s="42">
        <v>4.3634887839433285E-9</v>
      </c>
      <c r="K8" s="42">
        <v>4.783943329397875E-9</v>
      </c>
      <c r="L8" s="42">
        <v>6.1688311688311683E-9</v>
      </c>
      <c r="M8" s="42">
        <v>5.4433293978748517E-9</v>
      </c>
      <c r="N8" s="42">
        <v>6.3699822904368362E-9</v>
      </c>
      <c r="O8" s="42">
        <v>1.8332349468713103E-9</v>
      </c>
      <c r="P8" s="42">
        <v>3.8183293978748529E-9</v>
      </c>
      <c r="Q8" s="42">
        <v>5.8657024793388428E-9</v>
      </c>
      <c r="R8" s="42">
        <v>5.6996753246753242E-9</v>
      </c>
      <c r="S8" s="42">
        <v>5.2827626918535999E-9</v>
      </c>
      <c r="T8" s="42">
        <v>6.7405548996458089E-9</v>
      </c>
      <c r="U8" s="42">
        <v>9.0460448642266816E-9</v>
      </c>
      <c r="V8" s="42">
        <v>8.6294273907910277E-9</v>
      </c>
      <c r="W8" s="42">
        <v>6.9874557260920894E-9</v>
      </c>
      <c r="X8" s="42">
        <v>9.6601239669421503E-9</v>
      </c>
      <c r="Y8" s="42">
        <v>5.638577331759149E-9</v>
      </c>
      <c r="Z8" s="42">
        <v>1.1163665879574971E-8</v>
      </c>
      <c r="AA8" s="42">
        <v>1.1467827626918535E-8</v>
      </c>
      <c r="AB8" s="42">
        <v>1.1252656434474618E-8</v>
      </c>
      <c r="AC8" s="42">
        <v>8.6217532467532476E-9</v>
      </c>
      <c r="AD8" s="42">
        <v>2.8688016528925616E-9</v>
      </c>
      <c r="AE8" s="42">
        <v>6.2932408500590321E-9</v>
      </c>
      <c r="AF8" s="42">
        <v>3.5435360094451001E-9</v>
      </c>
      <c r="AG8" s="42">
        <v>3.5667060212514755E-9</v>
      </c>
      <c r="AH8" s="42">
        <v>2.8279220779220777E-9</v>
      </c>
      <c r="AI8" s="42">
        <v>7.6691263282172363E-9</v>
      </c>
      <c r="AJ8" s="42">
        <v>1.6117916174734356E-8</v>
      </c>
      <c r="AK8" s="42">
        <v>1.0712514757969304E-8</v>
      </c>
      <c r="AL8" s="42">
        <v>3.3968417945690669E-9</v>
      </c>
      <c r="AM8" s="42">
        <v>2.9583825265643448E-9</v>
      </c>
      <c r="AN8" s="42">
        <v>4.6018299881936247E-9</v>
      </c>
      <c r="AO8" s="42">
        <v>1.4614817001180636E-9</v>
      </c>
      <c r="AP8" s="42">
        <v>1.974763872491145E-9</v>
      </c>
      <c r="AQ8" s="42">
        <v>2.0878099173553718E-9</v>
      </c>
      <c r="AR8" s="42">
        <v>4.2556080283353003E-9</v>
      </c>
      <c r="AS8" s="42">
        <v>4.1244096812278641E-9</v>
      </c>
      <c r="AT8" s="42">
        <v>5.755460448642267E-9</v>
      </c>
      <c r="AU8" s="42">
        <v>2.1188016528925615E-9</v>
      </c>
      <c r="AV8" s="42">
        <v>1.4369834710743803E-9</v>
      </c>
      <c r="AW8" s="42">
        <v>2.9951298701298696E-9</v>
      </c>
      <c r="AX8" s="42">
        <v>1.0748229043683591E-9</v>
      </c>
      <c r="AY8" s="42">
        <v>3.068181818181818E-10</v>
      </c>
      <c r="AZ8" s="42">
        <v>5.2110389610389607E-10</v>
      </c>
      <c r="BA8" s="42">
        <v>5.2877804014167646E-10</v>
      </c>
      <c r="BB8" s="42">
        <v>2.1694214876033059E-10</v>
      </c>
      <c r="BC8" s="42">
        <v>7.5590318772136948E-10</v>
      </c>
      <c r="BD8" s="42">
        <v>1.4093860684769776E-9</v>
      </c>
      <c r="BE8" s="42">
        <v>2.8947018890200708E-8</v>
      </c>
      <c r="BF8" s="42">
        <v>3.2596541715859896E-8</v>
      </c>
      <c r="BG8" s="42">
        <v>4.6690525383707204E-9</v>
      </c>
      <c r="BH8" s="42">
        <v>3.0830627705627707E-9</v>
      </c>
      <c r="BI8" s="42">
        <v>1.1646177685950411E-8</v>
      </c>
      <c r="BJ8" s="42">
        <v>8.7514757969303428E-11</v>
      </c>
      <c r="BK8" s="42">
        <v>1.4079102715466348E-10</v>
      </c>
      <c r="BL8" s="42">
        <v>1.1393152302243211E-10</v>
      </c>
      <c r="BM8" s="42">
        <v>1.8742621015348286E-10</v>
      </c>
      <c r="BN8" s="42">
        <v>2.0365997638724909E-11</v>
      </c>
      <c r="BO8" s="42">
        <v>1.6233766233766232E-10</v>
      </c>
      <c r="BP8" s="42">
        <v>3.1198347107438012E-10</v>
      </c>
      <c r="BQ8" s="42">
        <v>8.8060802833530102E-10</v>
      </c>
      <c r="BR8" s="42">
        <v>4.7919126328217234E-10</v>
      </c>
      <c r="BS8" s="42">
        <v>3.7961924439197169E-9</v>
      </c>
      <c r="BT8" s="42">
        <v>2.7411452184179455E-9</v>
      </c>
      <c r="BU8" s="42">
        <v>1.4573093887838689E-9</v>
      </c>
      <c r="BV8" s="42">
        <v>1.4573093887838689E-9</v>
      </c>
      <c r="BW8">
        <v>3.9514462809917354E-9</v>
      </c>
      <c r="BX8">
        <v>4.0125442739079098E-9</v>
      </c>
      <c r="BY8">
        <v>3.7386363636363639E-9</v>
      </c>
      <c r="BZ8">
        <v>2.6121605667060209E-9</v>
      </c>
      <c r="CA8" s="23">
        <v>3.4518E-9</v>
      </c>
      <c r="CB8" s="23">
        <v>3.8547099999999998E-9</v>
      </c>
      <c r="CC8" s="23">
        <v>2.9300600000000001E-9</v>
      </c>
      <c r="CD8" s="23">
        <v>3.3753700000000001E-9</v>
      </c>
      <c r="CE8" s="23">
        <v>4.5860100000000004E-9</v>
      </c>
      <c r="CF8" s="23">
        <v>5.0105300000000001E-9</v>
      </c>
      <c r="CG8" s="23">
        <v>5.12503E-9</v>
      </c>
      <c r="CH8" s="23">
        <v>5.9438299999999997E-9</v>
      </c>
      <c r="CI8" s="23">
        <v>5.9762399999999998E-10</v>
      </c>
      <c r="CJ8" s="23">
        <v>1.7680299999999999E-9</v>
      </c>
      <c r="CK8" s="23">
        <v>1.3217700000000001E-9</v>
      </c>
      <c r="CL8" s="23">
        <v>3.0922400000000001E-9</v>
      </c>
      <c r="CM8" s="23">
        <v>2.67267E-9</v>
      </c>
      <c r="CN8" s="23">
        <v>7.8517400000000002E-10</v>
      </c>
      <c r="CO8" s="23">
        <v>1.78274E-9</v>
      </c>
      <c r="CP8" s="23">
        <v>1.6990300000000001E-9</v>
      </c>
      <c r="CQ8" s="23">
        <v>4.4569099999999998E-11</v>
      </c>
      <c r="CR8" s="23">
        <v>4.57202E-10</v>
      </c>
      <c r="CS8" s="23">
        <v>1.41308E-9</v>
      </c>
      <c r="CT8" s="23">
        <v>1.19171E-9</v>
      </c>
      <c r="CU8" s="23">
        <v>1.55224E-9</v>
      </c>
      <c r="CV8" s="23">
        <v>1.58456E-9</v>
      </c>
      <c r="CW8" s="23">
        <v>1.41278E-9</v>
      </c>
      <c r="CX8" s="23">
        <v>6.0492899999999999E-10</v>
      </c>
      <c r="CY8" s="23">
        <v>4.3078499999999998E-10</v>
      </c>
      <c r="CZ8" s="23">
        <v>7.4424400000000004E-10</v>
      </c>
      <c r="DA8" s="42">
        <v>6.2839433293978738E-10</v>
      </c>
      <c r="DB8" s="42">
        <v>1.2364226682408499E-9</v>
      </c>
      <c r="DC8" s="42">
        <v>1.0470779220779221E-9</v>
      </c>
      <c r="DD8" s="42">
        <v>4.2089728453364817E-9</v>
      </c>
      <c r="DE8" s="42">
        <v>2.9994096812278631E-9</v>
      </c>
      <c r="DF8" s="23">
        <v>3.0538699999999999E-9</v>
      </c>
      <c r="DG8" s="23">
        <v>3.3851800000000001E-9</v>
      </c>
      <c r="DH8" s="42">
        <v>4.0857438016528925E-9</v>
      </c>
      <c r="DI8" s="42">
        <v>9.0318772136953961E-10</v>
      </c>
      <c r="DJ8" s="42">
        <v>1.0394037780401418E-9</v>
      </c>
      <c r="DK8" s="42">
        <v>5.1918536009445095E-10</v>
      </c>
      <c r="DL8" s="42">
        <v>5.9799291617473438E-10</v>
      </c>
      <c r="DM8" s="42">
        <v>8.0298110979929159E-10</v>
      </c>
      <c r="DN8" s="42">
        <v>1.134887839433294E-10</v>
      </c>
      <c r="DO8">
        <v>1.5820543093270366E-10</v>
      </c>
      <c r="DP8">
        <v>2.5841204250295163E-10</v>
      </c>
      <c r="DQ8">
        <v>2.1782762691853599E-10</v>
      </c>
      <c r="DR8">
        <v>3.4695985832349469E-10</v>
      </c>
      <c r="DS8" s="42">
        <v>3.6466942148760331E-10</v>
      </c>
      <c r="DT8">
        <v>7.82172373081464E-10</v>
      </c>
      <c r="DU8" s="42">
        <v>2.534238488783943E-9</v>
      </c>
      <c r="DV8" s="42">
        <v>1.0824970484061392E-9</v>
      </c>
      <c r="DW8" s="42">
        <v>1.1564344746162927E-9</v>
      </c>
      <c r="DX8" s="42">
        <v>1.6345926800472256E-9</v>
      </c>
      <c r="DY8" s="42">
        <v>2.1306080283353007E-9</v>
      </c>
      <c r="DZ8" s="42">
        <v>7.1561393152302242E-10</v>
      </c>
      <c r="EA8" s="42">
        <v>2.3568476977567882E-9</v>
      </c>
      <c r="EB8" s="42">
        <v>9.1514167650531271E-10</v>
      </c>
      <c r="EC8" s="42">
        <v>1.1286894923258561E-9</v>
      </c>
      <c r="ED8" s="42">
        <v>5.2789256198347111E-10</v>
      </c>
      <c r="EE8" s="42">
        <v>1.6012396694214875E-10</v>
      </c>
      <c r="EF8">
        <v>2.9146989374262103E-10</v>
      </c>
      <c r="EG8" s="42">
        <v>2.0129870129870132E-10</v>
      </c>
      <c r="EH8" s="42">
        <v>3.3131641086186536E-10</v>
      </c>
      <c r="EI8" s="42">
        <v>4.878984651711925E-10</v>
      </c>
      <c r="EJ8" s="42">
        <v>3.4961629279811094E-10</v>
      </c>
      <c r="EK8" s="42">
        <v>1.7628394332939788E-9</v>
      </c>
      <c r="EL8" s="42">
        <v>5.6847697756788662E-10</v>
      </c>
      <c r="EM8" s="42">
        <v>5.3276269185360093E-10</v>
      </c>
      <c r="EN8" s="42">
        <v>2.247048406139315E-9</v>
      </c>
      <c r="EO8" s="42">
        <v>1.5211038961038958E-9</v>
      </c>
      <c r="EP8" s="42">
        <v>2.4577922077922076E-9</v>
      </c>
      <c r="EQ8" s="42">
        <v>2.1723730814639902E-9</v>
      </c>
      <c r="ER8">
        <v>2.1208677685950413E-9</v>
      </c>
      <c r="ES8" s="42">
        <v>1.8273317591499407E-9</v>
      </c>
      <c r="ET8" s="42">
        <v>1.4924734356552538E-9</v>
      </c>
      <c r="EU8" s="42">
        <v>2.8854781582054308E-9</v>
      </c>
      <c r="EV8" s="42">
        <v>2.8574380165289254E-9</v>
      </c>
      <c r="EW8" s="42">
        <v>3.9907024793388434E-9</v>
      </c>
      <c r="EX8" s="42">
        <v>3.8745572609208978E-9</v>
      </c>
      <c r="EY8" s="42">
        <v>2.5113636363636358E-9</v>
      </c>
      <c r="EZ8" s="42">
        <v>9.3816410861865418E-10</v>
      </c>
      <c r="FA8" s="42">
        <v>4.3683589138134589E-9</v>
      </c>
      <c r="FB8" s="42">
        <v>7.5193329397874847E-9</v>
      </c>
      <c r="FC8" s="42">
        <v>1.0057408500590319E-8</v>
      </c>
      <c r="FD8">
        <v>8.3279220779220765E-9</v>
      </c>
      <c r="FE8" s="42">
        <v>1.0554014167650532E-8</v>
      </c>
      <c r="FF8" s="42">
        <v>9.8243801652892561E-9</v>
      </c>
      <c r="FG8" s="42">
        <v>7.3031286894923261E-9</v>
      </c>
      <c r="FH8" s="42">
        <v>8.3164108618654072E-9</v>
      </c>
      <c r="FI8" s="42">
        <v>8.7241735537190081E-9</v>
      </c>
      <c r="FJ8">
        <v>2.1103896103896105E-10</v>
      </c>
      <c r="FK8">
        <v>8.1611570247933887E-11</v>
      </c>
      <c r="FL8" s="8">
        <v>2.3332349468713107E-10</v>
      </c>
      <c r="FM8" s="8">
        <v>2.0439787485242031E-10</v>
      </c>
      <c r="FN8">
        <v>2.8468122786304604E-10</v>
      </c>
      <c r="FO8">
        <v>1.1852125147579692E-9</v>
      </c>
      <c r="FP8" s="8">
        <v>1.6790141676505311E-9</v>
      </c>
      <c r="FQ8" s="42">
        <v>1.1880165289256199E-10</v>
      </c>
      <c r="FR8" s="42">
        <v>2.1458087367178272E-10</v>
      </c>
      <c r="FS8" s="42">
        <v>9.0835301062573788E-10</v>
      </c>
      <c r="FT8" s="42">
        <v>6.624852420306965E-10</v>
      </c>
      <c r="FU8" s="42">
        <v>1.8493211334120425E-9</v>
      </c>
      <c r="FV8" s="42">
        <v>1.291617473435655E-9</v>
      </c>
      <c r="FW8" s="42">
        <v>4.8633412042502954E-9</v>
      </c>
      <c r="FX8" s="42">
        <v>4.7533943329397874E-9</v>
      </c>
      <c r="FY8" s="42" t="s">
        <v>76</v>
      </c>
      <c r="FZ8" s="42">
        <v>4.0946019573456328E-9</v>
      </c>
      <c r="GA8" s="42">
        <v>2.6017285911436549E-9</v>
      </c>
      <c r="GB8" s="42">
        <v>2.9405012557249748E-9</v>
      </c>
      <c r="GC8" s="42">
        <v>3.2600354191263282E-10</v>
      </c>
      <c r="GD8" s="42">
        <v>3.5463400236127508E-10</v>
      </c>
      <c r="GE8" s="42" t="s">
        <v>76</v>
      </c>
      <c r="GF8" s="42">
        <v>4.2886658795749699E-10</v>
      </c>
      <c r="GG8" s="42">
        <v>9.4205037386855572E-11</v>
      </c>
      <c r="GH8" s="42">
        <v>9.1056670602125134E-11</v>
      </c>
      <c r="GI8" s="42">
        <v>8.6120129870129886E-9</v>
      </c>
      <c r="GJ8" s="42">
        <v>9.1173553719008258E-9</v>
      </c>
      <c r="GK8" s="42">
        <v>1.2101534828807554E-10</v>
      </c>
      <c r="GL8" s="42">
        <v>1.5010330578512397E-9</v>
      </c>
      <c r="GM8" s="42">
        <v>3.220188902007084E-10</v>
      </c>
      <c r="GN8" s="42">
        <v>1.4539940872466723E-9</v>
      </c>
      <c r="GO8" s="42">
        <v>1.5542617013945664E-9</v>
      </c>
      <c r="GP8" s="42">
        <v>1.3389477998116739E-9</v>
      </c>
      <c r="GQ8" s="42">
        <v>1.1641047266150059E-10</v>
      </c>
      <c r="GR8" s="42">
        <v>1.4255735616945479E-10</v>
      </c>
      <c r="GS8" s="42">
        <v>1.9553321579861426E-10</v>
      </c>
    </row>
    <row r="9" spans="1:201" x14ac:dyDescent="0.35">
      <c r="A9" s="42">
        <v>1.4962219598583234E-8</v>
      </c>
      <c r="B9" s="42">
        <v>7.9360979929161747E-9</v>
      </c>
      <c r="C9" s="42">
        <v>7.92724321133412E-9</v>
      </c>
      <c r="D9" s="42">
        <v>9.9778630460448639E-10</v>
      </c>
      <c r="E9" s="42">
        <v>1.2224025974025973E-9</v>
      </c>
      <c r="F9" s="42">
        <v>1.2142857142857144E-9</v>
      </c>
      <c r="G9" s="42">
        <v>4.9613341204250294E-9</v>
      </c>
      <c r="H9" s="42">
        <v>5.2675619834710741E-9</v>
      </c>
      <c r="I9" s="42">
        <v>4.9005312868949236E-9</v>
      </c>
      <c r="J9" s="42">
        <v>6.9372786304604486E-9</v>
      </c>
      <c r="K9" s="42">
        <v>7.648612750885478E-9</v>
      </c>
      <c r="L9" s="42">
        <v>8.9034828807556088E-9</v>
      </c>
      <c r="M9" s="42">
        <v>8.2018890200708384E-9</v>
      </c>
      <c r="N9" s="42">
        <v>9.7542798110979935E-9</v>
      </c>
      <c r="O9" s="42">
        <v>2.5618358913813461E-9</v>
      </c>
      <c r="P9" s="42">
        <v>4.9788961038961037E-9</v>
      </c>
      <c r="Q9" s="42">
        <v>1.0021103896103896E-8</v>
      </c>
      <c r="R9" s="42">
        <v>7.9329988193624554E-9</v>
      </c>
      <c r="S9" s="42">
        <v>7.3476977567886658E-9</v>
      </c>
      <c r="T9" s="42">
        <v>1.014802243211334E-8</v>
      </c>
      <c r="U9" s="42">
        <v>1.2249262101534829E-8</v>
      </c>
      <c r="V9" s="42">
        <v>1.3998966942148759E-8</v>
      </c>
      <c r="W9" s="42">
        <v>9.6545159386068475E-9</v>
      </c>
      <c r="X9" s="42">
        <v>1.2686245572609209E-8</v>
      </c>
      <c r="Y9" s="42">
        <v>8.1272136953955132E-9</v>
      </c>
      <c r="Z9" s="42">
        <v>1.589300472255018E-8</v>
      </c>
      <c r="AA9" s="42">
        <v>1.6565082644628101E-8</v>
      </c>
      <c r="AB9" s="42">
        <v>1.6527597402597402E-8</v>
      </c>
      <c r="AC9" s="42">
        <v>9.7564935064935067E-9</v>
      </c>
      <c r="AD9" s="42">
        <v>3.5014757969303424E-9</v>
      </c>
      <c r="AE9" s="42">
        <v>7.3468122786304598E-9</v>
      </c>
      <c r="AF9" s="42">
        <v>5.1289846517119248E-9</v>
      </c>
      <c r="AG9" s="42">
        <v>6.182408500590319E-9</v>
      </c>
      <c r="AH9" s="42">
        <v>4.9622195985832354E-9</v>
      </c>
      <c r="AI9" s="42">
        <v>1.0913370720188902E-8</v>
      </c>
      <c r="AJ9" s="42">
        <v>2.1166617473435653E-8</v>
      </c>
      <c r="AK9" s="42">
        <v>1.6978158205430936E-8</v>
      </c>
      <c r="AL9" s="42">
        <v>6.0132821723730812E-9</v>
      </c>
      <c r="AM9" s="42">
        <v>5.5326151121605662E-9</v>
      </c>
      <c r="AN9" s="42">
        <v>7.9191263282172385E-9</v>
      </c>
      <c r="AO9" s="42">
        <v>1.9670897284533645E-9</v>
      </c>
      <c r="AP9" s="42">
        <v>2.4806670602125147E-9</v>
      </c>
      <c r="AQ9" s="42">
        <v>2.6863931523022434E-9</v>
      </c>
      <c r="AR9" s="42">
        <v>5.4183884297520652E-9</v>
      </c>
      <c r="AS9" s="42">
        <v>5.1410861865407322E-9</v>
      </c>
      <c r="AT9" s="42">
        <v>6.7092680047225504E-9</v>
      </c>
      <c r="AU9" s="42">
        <v>3.5699527744982286E-9</v>
      </c>
      <c r="AV9" s="42">
        <v>2.4893742621015347E-9</v>
      </c>
      <c r="AW9" s="42">
        <v>4.0748229043683581E-9</v>
      </c>
      <c r="AX9" s="42">
        <v>1.6463990554899646E-9</v>
      </c>
      <c r="AY9" s="42">
        <v>4.4288665879574969E-10</v>
      </c>
      <c r="AZ9" s="42">
        <v>1.3016528925619835E-9</v>
      </c>
      <c r="BA9" s="42">
        <v>1.5619834710743802E-9</v>
      </c>
      <c r="BB9" s="42">
        <v>5.3512396694214872E-10</v>
      </c>
      <c r="BC9" s="42">
        <v>1.866145218417946E-9</v>
      </c>
      <c r="BD9" s="42">
        <v>2.7925029515938601E-9</v>
      </c>
      <c r="BE9" s="42">
        <v>2.8158328414010238E-8</v>
      </c>
      <c r="BF9" s="42">
        <v>3.6983594057457698E-8</v>
      </c>
      <c r="BG9" s="42">
        <v>6.7232388823297902E-9</v>
      </c>
      <c r="BH9" s="42">
        <v>4.9597845336481706E-9</v>
      </c>
      <c r="BI9" s="42">
        <v>1.5290289256198346E-8</v>
      </c>
      <c r="BJ9" s="42">
        <v>9.9173553719008247E-11</v>
      </c>
      <c r="BK9" s="42">
        <v>1.5333530106257379E-10</v>
      </c>
      <c r="BL9" s="42">
        <v>1.0182998819362457E-10</v>
      </c>
      <c r="BM9" s="42">
        <v>1.2278630460448641E-10</v>
      </c>
      <c r="BN9" s="42">
        <v>3.4090909090909098E-11</v>
      </c>
      <c r="BO9" s="42">
        <v>1.3518299881936247E-10</v>
      </c>
      <c r="BP9" s="42">
        <v>4.5306965761511215E-10</v>
      </c>
      <c r="BQ9" s="42">
        <v>1.5613931523022431E-9</v>
      </c>
      <c r="BR9" s="42">
        <v>6.458087367178275E-10</v>
      </c>
      <c r="BS9" s="42">
        <v>8.3562573789846525E-9</v>
      </c>
      <c r="BT9" s="42">
        <v>2.7095631641086184E-9</v>
      </c>
      <c r="BU9" s="42">
        <v>2.0679044018363488E-9</v>
      </c>
      <c r="BV9" s="42">
        <v>2.0679044018363488E-9</v>
      </c>
      <c r="BW9">
        <v>5.5064935064935067E-9</v>
      </c>
      <c r="BX9">
        <v>5.5430932703659968E-9</v>
      </c>
      <c r="BY9">
        <v>5.2153187721369544E-9</v>
      </c>
      <c r="BZ9">
        <v>3.4740259740259739E-9</v>
      </c>
      <c r="CA9" s="23">
        <v>4.8892799999999999E-9</v>
      </c>
      <c r="CB9" s="23">
        <v>5.2574900000000002E-9</v>
      </c>
      <c r="CC9" s="23">
        <v>4.2448000000000001E-9</v>
      </c>
      <c r="CD9" s="23">
        <v>4.4178999999999998E-9</v>
      </c>
      <c r="CE9" s="23">
        <v>5.57345E-9</v>
      </c>
      <c r="CF9" s="23">
        <v>6.7304900000000004E-9</v>
      </c>
      <c r="CG9" s="23">
        <v>7.2007799999999996E-9</v>
      </c>
      <c r="CH9" s="23">
        <v>8.8795599999999995E-9</v>
      </c>
      <c r="CI9" s="23">
        <v>9.6664900000000006E-10</v>
      </c>
      <c r="CJ9" s="23">
        <v>2.4847399999999998E-9</v>
      </c>
      <c r="CK9" s="23">
        <v>2.1134199999999999E-9</v>
      </c>
      <c r="CL9" s="23">
        <v>5.5792500000000001E-9</v>
      </c>
      <c r="CM9" s="23">
        <v>5.0157900000000001E-9</v>
      </c>
      <c r="CN9" s="23">
        <v>1.59438E-9</v>
      </c>
      <c r="CO9" s="23">
        <v>3.1196299999999999E-9</v>
      </c>
      <c r="CP9" s="23">
        <v>2.8050199999999999E-9</v>
      </c>
      <c r="CQ9" s="23">
        <v>1.21163E-10</v>
      </c>
      <c r="CR9" s="23">
        <v>6.0906099999999997E-10</v>
      </c>
      <c r="CS9" s="23">
        <v>2.6078799999999999E-9</v>
      </c>
      <c r="CT9" s="23">
        <v>2.19377E-9</v>
      </c>
      <c r="CU9" s="23">
        <v>2.0541599999999999E-9</v>
      </c>
      <c r="CV9" s="23">
        <v>2.1125999999999999E-9</v>
      </c>
      <c r="CW9" s="23">
        <v>1.8273299999999999E-9</v>
      </c>
      <c r="CX9" s="23">
        <v>8.7839400000000004E-10</v>
      </c>
      <c r="CY9" s="23">
        <v>6.0847099999999998E-10</v>
      </c>
      <c r="CZ9" s="23">
        <v>9.7535399999999998E-10</v>
      </c>
      <c r="DA9" s="42">
        <v>1.1096517119244392E-9</v>
      </c>
      <c r="DB9" s="42">
        <v>2.9096812278630456E-9</v>
      </c>
      <c r="DC9" s="42">
        <v>1.7452774498229044E-9</v>
      </c>
      <c r="DD9" s="42">
        <v>5.5652302243211328E-9</v>
      </c>
      <c r="DE9" s="42">
        <v>4.0351239669421496E-9</v>
      </c>
      <c r="DF9" s="23">
        <v>3.9397900000000001E-9</v>
      </c>
      <c r="DG9" s="23">
        <v>4.84224E-9</v>
      </c>
      <c r="DH9" s="42">
        <v>4.2675619834710742E-9</v>
      </c>
      <c r="DI9" s="42">
        <v>1.1307556080283352E-9</v>
      </c>
      <c r="DJ9" s="42">
        <v>1.3431227863046046E-9</v>
      </c>
      <c r="DK9" s="42">
        <v>8.4961629279811091E-10</v>
      </c>
      <c r="DL9" s="42">
        <v>1.547077922077922E-9</v>
      </c>
      <c r="DM9" s="42">
        <v>1.5215466351829986E-9</v>
      </c>
      <c r="DN9" s="42">
        <v>9.6221959858323489E-11</v>
      </c>
      <c r="DO9">
        <v>2.1590909090909089E-10</v>
      </c>
      <c r="DP9">
        <v>2.9973435655253831E-10</v>
      </c>
      <c r="DQ9">
        <v>3.1168831168831172E-10</v>
      </c>
      <c r="DR9">
        <v>4.6074380165289249E-10</v>
      </c>
      <c r="DS9" s="42">
        <v>6.2234356552538367E-10</v>
      </c>
      <c r="DT9">
        <v>1.2743506493506494E-9</v>
      </c>
      <c r="DU9" s="42">
        <v>3.8469598583234951E-9</v>
      </c>
      <c r="DV9" s="42">
        <v>1.6396103896103894E-9</v>
      </c>
      <c r="DW9" s="42">
        <v>1.9992621015348289E-9</v>
      </c>
      <c r="DX9" s="42">
        <v>3.0144628099173554E-9</v>
      </c>
      <c r="DY9" s="42">
        <v>4.3915289256198342E-9</v>
      </c>
      <c r="DZ9" s="42">
        <v>1.0016233766233766E-9</v>
      </c>
      <c r="EA9" s="42">
        <v>2.1762101534828811E-9</v>
      </c>
      <c r="EB9" s="42">
        <v>2.8451889020070837E-9</v>
      </c>
      <c r="EC9" s="42">
        <v>1.4206021251475799E-9</v>
      </c>
      <c r="ED9" s="42">
        <v>8.8031286894923247E-10</v>
      </c>
      <c r="EE9" s="42">
        <v>2.5649350649350651E-10</v>
      </c>
      <c r="EF9">
        <v>5.2243211334120419E-10</v>
      </c>
      <c r="EG9" s="42">
        <v>3.243801652892562E-10</v>
      </c>
      <c r="EH9" s="42">
        <v>8.8680637544273906E-10</v>
      </c>
      <c r="EI9" s="42">
        <v>1.0528335301062573E-9</v>
      </c>
      <c r="EJ9" s="42">
        <v>6.8196576151121608E-10</v>
      </c>
      <c r="EK9" s="42">
        <v>2.1300177095631642E-9</v>
      </c>
      <c r="EL9" s="42">
        <v>7.3081463990554897E-10</v>
      </c>
      <c r="EM9" s="42">
        <v>6.7606257378984659E-10</v>
      </c>
      <c r="EN9" s="42">
        <v>2.9324085005903188E-9</v>
      </c>
      <c r="EO9" s="42">
        <v>2.0061983471074378E-9</v>
      </c>
      <c r="EP9" s="42">
        <v>3.2390791027154661E-9</v>
      </c>
      <c r="EQ9" s="42">
        <v>2.8047520661157023E-9</v>
      </c>
      <c r="ER9">
        <v>2.8189197166469895E-9</v>
      </c>
      <c r="ES9" s="42">
        <v>2.3623081463990554E-9</v>
      </c>
      <c r="ET9" s="42">
        <v>2.5392561983471068E-9</v>
      </c>
      <c r="EU9" s="42">
        <v>4.2790731995277444E-9</v>
      </c>
      <c r="EV9" s="42">
        <v>3.3350059031877212E-9</v>
      </c>
      <c r="EW9" s="42">
        <v>4.9096812278630461E-9</v>
      </c>
      <c r="EX9" s="42">
        <v>4.9809622195985834E-9</v>
      </c>
      <c r="EY9" s="42">
        <v>3.2392266824085004E-9</v>
      </c>
      <c r="EZ9" s="42">
        <v>1.093417945690673E-9</v>
      </c>
      <c r="FA9" s="42">
        <v>6.0507674144037773E-9</v>
      </c>
      <c r="FB9" s="42">
        <v>9.3394332939787498E-9</v>
      </c>
      <c r="FC9" s="42">
        <v>1.2341351829988193E-8</v>
      </c>
      <c r="FD9">
        <v>1.0208382526564345E-8</v>
      </c>
      <c r="FE9" s="42">
        <v>1.2062868949232587E-8</v>
      </c>
      <c r="FF9" s="42">
        <v>1.2206316410861864E-8</v>
      </c>
      <c r="FG9" s="42">
        <v>9.1424144037780414E-9</v>
      </c>
      <c r="FH9" s="42">
        <v>1.0310507674144037E-8</v>
      </c>
      <c r="FI9" s="42">
        <v>1.5956906729634E-8</v>
      </c>
      <c r="FJ9">
        <v>1.8860684769775678E-10</v>
      </c>
      <c r="FK9">
        <v>3.3500590318772136E-11</v>
      </c>
      <c r="FL9" s="8">
        <v>4.3476977567886658E-10</v>
      </c>
      <c r="FM9" s="8">
        <v>1.494982290436836E-10</v>
      </c>
      <c r="FN9">
        <v>4.4362455726092081E-10</v>
      </c>
      <c r="FO9">
        <v>1.5916469893742619E-9</v>
      </c>
      <c r="FP9" s="8">
        <v>2.2131050767414403E-9</v>
      </c>
      <c r="FQ9" s="42">
        <v>2.1708972845336482E-10</v>
      </c>
      <c r="FR9" s="42">
        <v>2.3966942148760328E-10</v>
      </c>
      <c r="FS9" s="42">
        <v>1.0275974025974026E-9</v>
      </c>
      <c r="FT9" s="42">
        <v>8.6806375442739071E-10</v>
      </c>
      <c r="FU9" s="42">
        <v>1.9964580873671783E-9</v>
      </c>
      <c r="FV9" s="42">
        <v>1.3868063754427391E-9</v>
      </c>
      <c r="FW9" s="42">
        <v>4.7618063754427391E-9</v>
      </c>
      <c r="FX9" s="42">
        <v>5.1881641086186538E-9</v>
      </c>
      <c r="FY9" s="42" t="s">
        <v>76</v>
      </c>
      <c r="FZ9" s="42">
        <v>1.0810940555823616E-8</v>
      </c>
      <c r="GA9" s="42">
        <v>5.950348593797132E-9</v>
      </c>
      <c r="GB9" s="42">
        <v>6.5060267093922635E-9</v>
      </c>
      <c r="GC9" s="42">
        <v>4.4878984651711923E-10</v>
      </c>
      <c r="GD9" s="42">
        <v>5.9445100354191258E-10</v>
      </c>
      <c r="GE9" s="42" t="s">
        <v>76</v>
      </c>
      <c r="GF9" s="42">
        <v>4.4495277449822899E-10</v>
      </c>
      <c r="GG9" s="42">
        <v>1.1498917748917749E-10</v>
      </c>
      <c r="GH9" s="42">
        <v>4.9144037780401418E-11</v>
      </c>
      <c r="GI9" s="42">
        <v>9.0463892168437651E-9</v>
      </c>
      <c r="GJ9" s="42">
        <v>9.6385330578512397E-9</v>
      </c>
      <c r="GK9" s="42">
        <v>1.7606257378984649E-9</v>
      </c>
      <c r="GL9" s="42">
        <v>1.4098288075560804E-9</v>
      </c>
      <c r="GM9" s="42">
        <v>5.9961629279811095E-10</v>
      </c>
      <c r="GN9" s="42">
        <v>2.5141933724431122E-9</v>
      </c>
      <c r="GO9" s="42">
        <v>1.9250927187986824E-9</v>
      </c>
      <c r="GP9" s="42">
        <v>2.3741370225222447E-9</v>
      </c>
      <c r="GQ9" s="42">
        <v>2.7101813166505605E-10</v>
      </c>
      <c r="GR9" s="42">
        <v>2.8102215665940368E-10</v>
      </c>
      <c r="GS9" s="42">
        <v>3.9470425886790034E-10</v>
      </c>
    </row>
    <row r="10" spans="1:201" x14ac:dyDescent="0.35">
      <c r="A10" s="42">
        <v>1.8591499409681227E-8</v>
      </c>
      <c r="B10" s="42">
        <v>1.3266233766233764E-8</v>
      </c>
      <c r="C10" s="42">
        <v>1.0256788665879575E-8</v>
      </c>
      <c r="D10" s="42">
        <v>1.4663518299881937E-9</v>
      </c>
      <c r="E10" s="42">
        <v>1.7603305785123967E-9</v>
      </c>
      <c r="F10" s="42">
        <v>1.8795749704840615E-9</v>
      </c>
      <c r="G10" s="42">
        <v>6.4281286894923257E-9</v>
      </c>
      <c r="H10" s="42">
        <v>7.1093565525383705E-9</v>
      </c>
      <c r="I10" s="42">
        <v>5.910566706021252E-9</v>
      </c>
      <c r="J10" s="42">
        <v>1.0972697756788665E-8</v>
      </c>
      <c r="K10" s="42">
        <v>1.2206021251475796E-8</v>
      </c>
      <c r="L10" s="42">
        <v>1.2045159386068476E-8</v>
      </c>
      <c r="M10" s="42">
        <v>1.1121605667060212E-8</v>
      </c>
      <c r="N10" s="42">
        <v>1.3446576151121605E-8</v>
      </c>
      <c r="O10" s="42">
        <v>4.0760035419126319E-9</v>
      </c>
      <c r="P10" s="42">
        <v>7.3192148760330579E-9</v>
      </c>
      <c r="Q10" s="42">
        <v>1.4315672963400235E-8</v>
      </c>
      <c r="R10" s="42">
        <v>1.0278925619834711E-8</v>
      </c>
      <c r="S10" s="42">
        <v>9.6266233766233745E-9</v>
      </c>
      <c r="T10" s="42">
        <v>1.347077922077922E-8</v>
      </c>
      <c r="U10" s="42">
        <v>1.5616292798110981E-8</v>
      </c>
      <c r="V10" s="42">
        <v>1.7102420306965757E-8</v>
      </c>
      <c r="W10" s="42">
        <v>1.3788518299881934E-8</v>
      </c>
      <c r="X10" s="42">
        <v>1.6972697756788666E-8</v>
      </c>
      <c r="Y10" s="42">
        <v>1.1819067296340023E-8</v>
      </c>
      <c r="Z10" s="42">
        <v>1.8410419126328216E-8</v>
      </c>
      <c r="AA10" s="42">
        <v>1.8990702479338842E-8</v>
      </c>
      <c r="AB10" s="42">
        <v>1.908485832349469E-8</v>
      </c>
      <c r="AC10" s="42">
        <v>1.3114374262101533E-8</v>
      </c>
      <c r="AD10" s="42">
        <v>6.0457497048406143E-9</v>
      </c>
      <c r="AE10" s="42">
        <v>1.0787337662337662E-8</v>
      </c>
      <c r="AF10" s="42">
        <v>6.7408500590318767E-9</v>
      </c>
      <c r="AG10" s="42">
        <v>9.0395513577331762E-9</v>
      </c>
      <c r="AH10" s="42">
        <v>7.7291912632821713E-9</v>
      </c>
      <c r="AI10" s="42">
        <v>1.4394185360094451E-8</v>
      </c>
      <c r="AJ10" s="42">
        <v>2.4627213695395512E-8</v>
      </c>
      <c r="AK10" s="42">
        <v>2.0068181818181817E-8</v>
      </c>
      <c r="AL10" s="42">
        <v>8.647874852420307E-9</v>
      </c>
      <c r="AM10" s="42">
        <v>9.1822609208972851E-9</v>
      </c>
      <c r="AN10" s="42">
        <v>9.2266824085005912E-9</v>
      </c>
      <c r="AO10" s="42">
        <v>2.9802243211334121E-9</v>
      </c>
      <c r="AP10" s="42">
        <v>3.6078807556080281E-9</v>
      </c>
      <c r="AQ10" s="42">
        <v>3.8662927981109804E-9</v>
      </c>
      <c r="AR10" s="42">
        <v>7.3770661157024796E-9</v>
      </c>
      <c r="AS10" s="42">
        <v>6.913665879574971E-9</v>
      </c>
      <c r="AT10" s="42">
        <v>7.7436540731995288E-9</v>
      </c>
      <c r="AU10" s="42">
        <v>5.1434474616292798E-9</v>
      </c>
      <c r="AV10" s="42">
        <v>3.6363636363636364E-9</v>
      </c>
      <c r="AW10" s="42">
        <v>6.2427685950413218E-9</v>
      </c>
      <c r="AX10" s="42">
        <v>2.19082054309327E-9</v>
      </c>
      <c r="AY10" s="42">
        <v>9.0185950413223149E-10</v>
      </c>
      <c r="AZ10" s="42">
        <v>2.3956611570247936E-9</v>
      </c>
      <c r="BA10" s="42">
        <v>2.1199822904368358E-9</v>
      </c>
      <c r="BB10" s="42">
        <v>1.4219303423848878E-9</v>
      </c>
      <c r="BC10" s="42">
        <v>2.3724911452184174E-9</v>
      </c>
      <c r="BD10" s="42">
        <v>3.6273612750885478E-9</v>
      </c>
      <c r="BE10" s="42">
        <v>3.4559720582447856E-8</v>
      </c>
      <c r="BF10" s="42">
        <v>4.897419815033452E-8</v>
      </c>
      <c r="BG10" s="42">
        <v>8.7330283353010628E-9</v>
      </c>
      <c r="BH10" s="42">
        <v>6.9036550570641491E-9</v>
      </c>
      <c r="BI10" s="42">
        <v>1.4382747933884297E-8</v>
      </c>
      <c r="BJ10" s="42">
        <v>1.5746753246753246E-10</v>
      </c>
      <c r="BK10" s="42">
        <v>1.1585005903187721E-10</v>
      </c>
      <c r="BL10" s="42">
        <v>1.2559031877213693E-10</v>
      </c>
      <c r="BM10" s="42">
        <v>2.2653482880755608E-10</v>
      </c>
      <c r="BN10" s="42">
        <v>3.5714285714285714E-11</v>
      </c>
      <c r="BO10" s="42">
        <v>2.1700118063754431E-9</v>
      </c>
      <c r="BP10" s="42">
        <v>7.4365407319952773E-10</v>
      </c>
      <c r="BQ10" s="42">
        <v>2.5315820543093267E-9</v>
      </c>
      <c r="BR10" s="42">
        <v>8.6998229043683594E-10</v>
      </c>
      <c r="BS10" s="42">
        <v>5.6897874852420309E-9</v>
      </c>
      <c r="BT10" s="42">
        <v>2.7632821723730814E-9</v>
      </c>
      <c r="BU10" s="42">
        <v>2.6016203078584926E-9</v>
      </c>
      <c r="BV10" s="42">
        <v>2.6016203078584926E-9</v>
      </c>
      <c r="BW10">
        <v>6.2888134592680047E-9</v>
      </c>
      <c r="BX10">
        <v>6.2274203069657616E-9</v>
      </c>
      <c r="BY10">
        <v>5.9445100354191258E-9</v>
      </c>
      <c r="BZ10">
        <v>4.0847107438016514E-9</v>
      </c>
      <c r="CA10" s="23">
        <v>6.4658400000000001E-9</v>
      </c>
      <c r="CB10" s="23">
        <v>6.7871999999999999E-9</v>
      </c>
      <c r="CC10" s="23">
        <v>5.7286000000000003E-9</v>
      </c>
      <c r="CD10" s="23">
        <v>5.5199800000000002E-9</v>
      </c>
      <c r="CE10" s="23">
        <v>6.6672999999999999E-9</v>
      </c>
      <c r="CF10" s="23">
        <v>8.7726199999999998E-9</v>
      </c>
      <c r="CG10" s="23">
        <v>9.50594E-9</v>
      </c>
      <c r="CH10" s="23">
        <v>1.17657E-8</v>
      </c>
      <c r="CI10" s="23">
        <v>2.133E-9</v>
      </c>
      <c r="CJ10" s="23">
        <v>4.4974300000000003E-9</v>
      </c>
      <c r="CK10" s="23">
        <v>4.1754000000000003E-9</v>
      </c>
      <c r="CL10" s="23">
        <v>8.8077000000000005E-9</v>
      </c>
      <c r="CM10" s="23">
        <v>8.1308999999999997E-9</v>
      </c>
      <c r="CN10" s="23">
        <v>2.79503E-9</v>
      </c>
      <c r="CO10" s="23">
        <v>4.9908200000000003E-9</v>
      </c>
      <c r="CP10" s="23">
        <v>4.4345099999999998E-9</v>
      </c>
      <c r="CQ10" s="23">
        <v>2.28453E-10</v>
      </c>
      <c r="CR10" s="23">
        <v>8.8105099999999998E-10</v>
      </c>
      <c r="CS10" s="23">
        <v>3.2322899999999998E-9</v>
      </c>
      <c r="CT10" s="23">
        <v>2.7761200000000001E-9</v>
      </c>
      <c r="CU10" s="23">
        <v>2.63385E-9</v>
      </c>
      <c r="CV10" s="23">
        <v>2.7337700000000002E-9</v>
      </c>
      <c r="CW10" s="23">
        <v>2.29678E-9</v>
      </c>
      <c r="CX10" s="23">
        <v>1.1958400000000001E-9</v>
      </c>
      <c r="CY10" s="23">
        <v>9.0126900000000002E-10</v>
      </c>
      <c r="CZ10" s="23">
        <v>1.40186E-9</v>
      </c>
      <c r="DA10" s="42">
        <v>1.6002066115702481E-9</v>
      </c>
      <c r="DB10" s="42">
        <v>3.6596812278630457E-9</v>
      </c>
      <c r="DC10" s="42">
        <v>2.4095336481700118E-9</v>
      </c>
      <c r="DD10" s="42">
        <v>6.652007083825266E-9</v>
      </c>
      <c r="DE10" s="42">
        <v>5.1810802833530102E-9</v>
      </c>
      <c r="DF10" s="23">
        <v>4.5273000000000003E-9</v>
      </c>
      <c r="DG10" s="23">
        <v>5.5990299999999998E-9</v>
      </c>
      <c r="DH10" s="42">
        <v>4.7231404958677692E-9</v>
      </c>
      <c r="DI10" s="42">
        <v>1.7491145218417944E-9</v>
      </c>
      <c r="DJ10" s="42">
        <v>1.9448051948051951E-9</v>
      </c>
      <c r="DK10" s="42">
        <v>1.093417945690673E-9</v>
      </c>
      <c r="DL10" s="42">
        <v>2.5901711924439197E-9</v>
      </c>
      <c r="DM10" s="42">
        <v>2.274793388429752E-9</v>
      </c>
      <c r="DN10" s="42">
        <v>9.7550177095631637E-11</v>
      </c>
      <c r="DO10">
        <v>2.1768004722550179E-10</v>
      </c>
      <c r="DP10">
        <v>3.1862455726092088E-10</v>
      </c>
      <c r="DQ10">
        <v>4.4362455726092081E-10</v>
      </c>
      <c r="DR10">
        <v>6.5658205430932701E-10</v>
      </c>
      <c r="DS10" s="42">
        <v>8.2290436835891373E-10</v>
      </c>
      <c r="DT10">
        <v>1.6686835891381346E-9</v>
      </c>
      <c r="DU10" s="42">
        <v>6.8242325855962222E-9</v>
      </c>
      <c r="DV10" s="42">
        <v>2.3595041322314045E-9</v>
      </c>
      <c r="DW10" s="42">
        <v>2.8572904368358915E-9</v>
      </c>
      <c r="DX10" s="42">
        <v>3.7296340023612748E-9</v>
      </c>
      <c r="DY10" s="42">
        <v>3.2479338842975208E-9</v>
      </c>
      <c r="DZ10" s="42">
        <v>1.8041617473435655E-9</v>
      </c>
      <c r="EA10" s="42">
        <v>2.7414403778040142E-9</v>
      </c>
      <c r="EB10" s="42">
        <v>3.4377213695395513E-9</v>
      </c>
      <c r="EC10" s="42">
        <v>1.8434179456906729E-9</v>
      </c>
      <c r="ED10" s="42">
        <v>1.5512101534828809E-9</v>
      </c>
      <c r="EE10" s="42">
        <v>4.6974616292798105E-10</v>
      </c>
      <c r="EF10">
        <v>8.4548406139315232E-10</v>
      </c>
      <c r="EG10" s="42">
        <v>4.4524793388429749E-10</v>
      </c>
      <c r="EH10" s="42">
        <v>1.3282172373081464E-9</v>
      </c>
      <c r="EI10" s="42">
        <v>1.5675914994096811E-9</v>
      </c>
      <c r="EJ10" s="42">
        <v>1.0531286894923258E-9</v>
      </c>
      <c r="EK10" s="42">
        <v>2.4822904368358915E-9</v>
      </c>
      <c r="EL10" s="42">
        <v>8.8783943329397863E-10</v>
      </c>
      <c r="EM10" s="42">
        <v>8.2423258559622185E-10</v>
      </c>
      <c r="EN10" s="42">
        <v>3.706463990554899E-9</v>
      </c>
      <c r="EO10" s="42">
        <v>2.5537190082644627E-9</v>
      </c>
      <c r="EP10" s="42">
        <v>4.0991735537190073E-9</v>
      </c>
      <c r="EQ10" s="42">
        <v>3.4642857142857145E-9</v>
      </c>
      <c r="ER10">
        <v>3.5906139315230229E-9</v>
      </c>
      <c r="ES10" s="42">
        <v>3.0056080283353007E-9</v>
      </c>
      <c r="ET10" s="42">
        <v>3.1214580873671781E-9</v>
      </c>
      <c r="EU10" s="42">
        <v>5.9260625737898456E-9</v>
      </c>
      <c r="EV10" s="42">
        <v>4.3643742621015345E-9</v>
      </c>
      <c r="EW10" s="42">
        <v>5.6524498229043683E-9</v>
      </c>
      <c r="EX10" s="42">
        <v>6.1348878394332936E-9</v>
      </c>
      <c r="EY10" s="42">
        <v>3.9096812278630463E-9</v>
      </c>
      <c r="EZ10" s="42">
        <v>1.2737603305785125E-9</v>
      </c>
      <c r="FA10" s="42">
        <v>7.7141381345926798E-9</v>
      </c>
      <c r="FB10" s="42">
        <v>1.106095041322314E-8</v>
      </c>
      <c r="FC10" s="42">
        <v>1.4649940968122783E-8</v>
      </c>
      <c r="FD10">
        <v>1.1766676505312868E-8</v>
      </c>
      <c r="FE10" s="42">
        <v>1.5834710743801653E-8</v>
      </c>
      <c r="FF10" s="42">
        <v>1.4634740259740259E-8</v>
      </c>
      <c r="FG10" s="42">
        <v>1.3084710743801653E-8</v>
      </c>
      <c r="FH10" s="42">
        <v>1.422358323494687E-8</v>
      </c>
      <c r="FI10" s="42">
        <v>1.9260182998819359E-8</v>
      </c>
      <c r="FJ10">
        <v>2.3302833530106257E-10</v>
      </c>
      <c r="FK10">
        <v>1.4905548996458084E-10</v>
      </c>
      <c r="FL10" s="8">
        <v>4.7579693034238487E-10</v>
      </c>
      <c r="FM10" s="8">
        <v>2.3848878394332938E-10</v>
      </c>
      <c r="FN10">
        <v>5.1815230224321128E-10</v>
      </c>
      <c r="FO10">
        <v>2.0491440377804011E-9</v>
      </c>
      <c r="FP10" s="8">
        <v>2.0036894923258562E-9</v>
      </c>
      <c r="FQ10" s="42">
        <v>1.7296340023612751E-10</v>
      </c>
      <c r="FR10" s="42">
        <v>3.0106257378984649E-10</v>
      </c>
      <c r="FS10" s="42">
        <v>3.3077036599763871E-9</v>
      </c>
      <c r="FT10" s="42">
        <v>1.5026564344746162E-9</v>
      </c>
      <c r="FU10" s="42">
        <v>2.1629279811097995E-9</v>
      </c>
      <c r="FV10" s="42">
        <v>2.4198642266824085E-9</v>
      </c>
      <c r="FW10" s="42">
        <v>4.1878689492325861E-9</v>
      </c>
      <c r="FX10" s="42">
        <v>6.9310802833530101E-9</v>
      </c>
      <c r="FY10" s="42" t="s">
        <v>76</v>
      </c>
      <c r="FZ10" s="42">
        <v>1.6393186502669638E-8</v>
      </c>
      <c r="GA10" s="42">
        <v>1.3633212425251753E-8</v>
      </c>
      <c r="GB10" s="42">
        <v>1.5173832274381298E-8</v>
      </c>
      <c r="GC10" s="42">
        <v>6.481700118063755E-10</v>
      </c>
      <c r="GD10" s="42">
        <v>7.5265643447461624E-10</v>
      </c>
      <c r="GE10" s="42" t="s">
        <v>76</v>
      </c>
      <c r="GF10" s="42">
        <v>3.9595631641086181E-10</v>
      </c>
      <c r="GG10" s="42">
        <v>2.3760330578512404E-10</v>
      </c>
      <c r="GH10" s="42">
        <v>4.1322314049586774E-11</v>
      </c>
      <c r="GI10" s="42">
        <v>1.0666568280204647E-8</v>
      </c>
      <c r="GJ10" s="42">
        <v>1.1090599173553718E-8</v>
      </c>
      <c r="GK10" s="42">
        <v>1.0720188902007083E-9</v>
      </c>
      <c r="GL10" s="42">
        <v>2.2513282172373084E-9</v>
      </c>
      <c r="GM10" s="42">
        <v>8.8739669421487596E-10</v>
      </c>
      <c r="GN10" s="42">
        <v>3.045088789756792E-9</v>
      </c>
      <c r="GO10" s="42">
        <v>2.2854649827996167E-9</v>
      </c>
      <c r="GP10" s="42">
        <v>2.7476964103793643E-9</v>
      </c>
      <c r="GQ10" s="42">
        <v>6.3252721668807544E-10</v>
      </c>
      <c r="GR10" s="42">
        <v>5.5044873889354095E-10</v>
      </c>
      <c r="GS10" s="42">
        <v>7.7030992456477352E-10</v>
      </c>
    </row>
    <row r="11" spans="1:201" x14ac:dyDescent="0.35">
      <c r="A11" s="42">
        <v>2.2386363636363637E-8</v>
      </c>
      <c r="B11" s="42">
        <v>1.8720631641086184E-8</v>
      </c>
      <c r="C11" s="42">
        <v>1.2517561983471076E-8</v>
      </c>
      <c r="D11" s="42">
        <v>1.778482880755608E-9</v>
      </c>
      <c r="E11" s="42">
        <v>2.0163813459268006E-9</v>
      </c>
      <c r="F11" s="42">
        <v>2.3339728453364815E-9</v>
      </c>
      <c r="G11" s="42">
        <v>7.1022727272727277E-9</v>
      </c>
      <c r="H11" s="42">
        <v>8.0618358913813458E-9</v>
      </c>
      <c r="I11" s="42">
        <v>7.1093565525383705E-9</v>
      </c>
      <c r="J11" s="42">
        <v>1.1969451003541911E-8</v>
      </c>
      <c r="K11" s="42">
        <v>1.3220631641086187E-8</v>
      </c>
      <c r="L11" s="42">
        <v>1.4640791027154663E-8</v>
      </c>
      <c r="M11" s="42">
        <v>1.4276564344746163E-8</v>
      </c>
      <c r="N11" s="42">
        <v>1.6658648170011802E-8</v>
      </c>
      <c r="O11" s="42">
        <v>5.5405844155844157E-9</v>
      </c>
      <c r="P11" s="42">
        <v>9.6016824085005913E-9</v>
      </c>
      <c r="Q11" s="42">
        <v>1.6360389610389608E-8</v>
      </c>
      <c r="R11" s="42">
        <v>1.2431227863046044E-8</v>
      </c>
      <c r="S11" s="42">
        <v>1.4538370720188901E-8</v>
      </c>
      <c r="T11" s="42">
        <v>1.6689492325855963E-8</v>
      </c>
      <c r="U11" s="42">
        <v>1.8948642266824085E-8</v>
      </c>
      <c r="V11" s="42">
        <v>2.1269628099173554E-8</v>
      </c>
      <c r="W11" s="42">
        <v>1.516086186540732E-8</v>
      </c>
      <c r="X11" s="42">
        <v>1.8431818181818181E-8</v>
      </c>
      <c r="Y11" s="42">
        <v>1.3126475796930342E-8</v>
      </c>
      <c r="Z11" s="42">
        <v>2.312145808736718E-8</v>
      </c>
      <c r="AA11" s="42">
        <v>2.3852125147579693E-8</v>
      </c>
      <c r="AB11" s="42">
        <v>2.4144037780401414E-8</v>
      </c>
      <c r="AC11" s="42">
        <v>1.5541469893742619E-8</v>
      </c>
      <c r="AD11" s="42">
        <v>7.9867178276269176E-9</v>
      </c>
      <c r="AE11" s="42">
        <v>1.3441410861865407E-8</v>
      </c>
      <c r="AF11" s="42">
        <v>8.5215466351829986E-9</v>
      </c>
      <c r="AG11" s="42">
        <v>1.2065968122786305E-8</v>
      </c>
      <c r="AH11" s="42">
        <v>1.0352125147579693E-8</v>
      </c>
      <c r="AI11" s="42">
        <v>1.8991145218417945E-8</v>
      </c>
      <c r="AJ11" s="42">
        <v>2.9143004722550179E-8</v>
      </c>
      <c r="AK11" s="42">
        <v>2.3133264462809919E-8</v>
      </c>
      <c r="AL11" s="42">
        <v>1.1079988193624557E-8</v>
      </c>
      <c r="AM11" s="42">
        <v>1.0323199527744983E-8</v>
      </c>
      <c r="AN11" s="42">
        <v>1.0365259740259741E-8</v>
      </c>
      <c r="AO11" s="42">
        <v>3.6037485242030698E-9</v>
      </c>
      <c r="AP11" s="42">
        <v>4.1422668240850061E-9</v>
      </c>
      <c r="AQ11" s="42">
        <v>4.3916765053128686E-9</v>
      </c>
      <c r="AR11" s="42">
        <v>8.3584710743801641E-9</v>
      </c>
      <c r="AS11" s="42">
        <v>7.6711924439197152E-9</v>
      </c>
      <c r="AT11" s="42">
        <v>8.6283943329397874E-9</v>
      </c>
      <c r="AU11" s="42">
        <v>6.7225501770956308E-9</v>
      </c>
      <c r="AV11" s="42">
        <v>5.8704250295159388E-9</v>
      </c>
      <c r="AW11" s="42">
        <v>7.1158500590318776E-9</v>
      </c>
      <c r="AX11" s="42">
        <v>3.3792798110979926E-9</v>
      </c>
      <c r="AY11" s="42">
        <v>1.516824085005903E-9</v>
      </c>
      <c r="AZ11" s="42">
        <v>3.5432408500590319E-9</v>
      </c>
      <c r="BA11" s="42">
        <v>2.6679456906729632E-9</v>
      </c>
      <c r="BB11" s="42">
        <v>2.2054309327036602E-9</v>
      </c>
      <c r="BC11" s="42">
        <v>3.4701889020070835E-9</v>
      </c>
      <c r="BD11" s="42">
        <v>4.9892266824085E-9</v>
      </c>
      <c r="BE11" s="42">
        <v>4.2792330775285329E-8</v>
      </c>
      <c r="BF11" s="42">
        <v>5.706144234553326E-8</v>
      </c>
      <c r="BG11" s="42">
        <v>1.3747663321526957E-8</v>
      </c>
      <c r="BH11" s="42">
        <v>9.6685606060606061E-9</v>
      </c>
      <c r="BI11" s="42">
        <v>1.2231404958677687E-8</v>
      </c>
      <c r="BJ11" s="42">
        <v>2.4070247933884295E-10</v>
      </c>
      <c r="BK11" s="42">
        <v>2.0956316410861865E-10</v>
      </c>
      <c r="BL11" s="42">
        <v>1.2086776859504131E-10</v>
      </c>
      <c r="BM11" s="42">
        <v>2.0649350649350646E-9</v>
      </c>
      <c r="BN11" s="42">
        <v>3.7632821723730812E-10</v>
      </c>
      <c r="BO11" s="42">
        <v>4.843565525383707E-10</v>
      </c>
      <c r="BP11" s="42">
        <v>9.8745572609208965E-10</v>
      </c>
      <c r="BQ11" s="42">
        <v>2.6155548996458087E-9</v>
      </c>
      <c r="BR11" s="42">
        <v>9.222255017709563E-10</v>
      </c>
      <c r="BS11" s="42">
        <v>5.0088547815820531E-9</v>
      </c>
      <c r="BT11" s="42">
        <v>3.2435064935064935E-9</v>
      </c>
      <c r="BU11" s="42">
        <v>3.18115041857953E-9</v>
      </c>
      <c r="BV11" s="42">
        <v>3.18115041857953E-9</v>
      </c>
      <c r="BW11">
        <v>7.1059622195985826E-9</v>
      </c>
      <c r="BX11">
        <v>7.0175619834710732E-9</v>
      </c>
      <c r="BY11">
        <v>6.5677390791027145E-9</v>
      </c>
      <c r="BZ11">
        <v>5.2221074380165293E-9</v>
      </c>
      <c r="CA11" s="23">
        <v>8.1228699999999993E-9</v>
      </c>
      <c r="CB11" s="23">
        <v>8.5126900000000003E-9</v>
      </c>
      <c r="CC11" s="23">
        <v>7.2018599999999998E-9</v>
      </c>
      <c r="CD11" s="23">
        <v>6.1409699999999997E-9</v>
      </c>
      <c r="CE11" s="23">
        <v>7.1678400000000003E-9</v>
      </c>
      <c r="CF11" s="23">
        <v>1.08582E-8</v>
      </c>
      <c r="CG11" s="23">
        <v>1.21176E-8</v>
      </c>
      <c r="CH11" s="23">
        <v>1.4627700000000001E-8</v>
      </c>
      <c r="CI11" s="23">
        <v>4.9104799999999998E-9</v>
      </c>
      <c r="CJ11" s="23">
        <v>8.4700200000000005E-9</v>
      </c>
      <c r="CK11" s="23">
        <v>7.9657000000000003E-9</v>
      </c>
      <c r="CL11" s="23">
        <v>1.0693899999999999E-8</v>
      </c>
      <c r="CM11" s="23">
        <v>9.9114499999999997E-9</v>
      </c>
      <c r="CN11" s="23">
        <v>4.67675E-9</v>
      </c>
      <c r="CO11" s="23">
        <v>7.3867099999999996E-9</v>
      </c>
      <c r="CP11" s="23">
        <v>6.4769100000000001E-9</v>
      </c>
      <c r="CQ11" s="23">
        <v>3.4858300000000003E-10</v>
      </c>
      <c r="CR11" s="23">
        <v>1.1707499999999999E-9</v>
      </c>
      <c r="CS11" s="23">
        <v>3.5808699999999999E-9</v>
      </c>
      <c r="CT11" s="23">
        <v>3.3391400000000001E-9</v>
      </c>
      <c r="CU11" s="23">
        <v>3.9812600000000004E-9</v>
      </c>
      <c r="CV11" s="23">
        <v>3.8202499999999999E-9</v>
      </c>
      <c r="CW11" s="23">
        <v>3.20927E-9</v>
      </c>
      <c r="CX11" s="23">
        <v>1.88445E-9</v>
      </c>
      <c r="CY11" s="23">
        <v>1.4983799999999999E-9</v>
      </c>
      <c r="CZ11" s="23">
        <v>2.1278E-9</v>
      </c>
      <c r="DA11" s="42">
        <v>2.0441263282172368E-9</v>
      </c>
      <c r="DB11" s="42">
        <v>4.4115997638724904E-9</v>
      </c>
      <c r="DC11" s="42">
        <v>3.7976682408500586E-9</v>
      </c>
      <c r="DD11" s="42">
        <v>7.666912632821723E-9</v>
      </c>
      <c r="DE11" s="42">
        <v>6.3605371900826442E-9</v>
      </c>
      <c r="DF11" s="23">
        <v>5.8119799999999996E-9</v>
      </c>
      <c r="DG11" s="23">
        <v>7.2427700000000002E-9</v>
      </c>
      <c r="DH11" s="42">
        <v>5.0782172373081458E-9</v>
      </c>
      <c r="DI11" s="42">
        <v>2.4349173553719008E-9</v>
      </c>
      <c r="DJ11" s="42">
        <v>2.7820247933884291E-9</v>
      </c>
      <c r="DK11" s="42">
        <v>1.5448642266824085E-9</v>
      </c>
      <c r="DL11" s="42">
        <v>3.5242030696576152E-9</v>
      </c>
      <c r="DM11" s="42">
        <v>2.7432113341204249E-9</v>
      </c>
      <c r="DN11" s="42">
        <v>1.084710743801653E-10</v>
      </c>
      <c r="DO11">
        <v>3.10655253837072E-10</v>
      </c>
      <c r="DP11">
        <v>4.5380755608028338E-10</v>
      </c>
      <c r="DQ11">
        <v>5.8943329397874854E-10</v>
      </c>
      <c r="DR11">
        <v>8.8075560802833524E-10</v>
      </c>
      <c r="DS11" s="42">
        <v>1.1334120425029515E-9</v>
      </c>
      <c r="DT11">
        <v>1.9285714285714285E-9</v>
      </c>
      <c r="DU11" s="42">
        <v>7.7560507674144024E-9</v>
      </c>
      <c r="DV11" s="42">
        <v>2.7913223140495863E-9</v>
      </c>
      <c r="DW11" s="42">
        <v>3.9318181818181822E-9</v>
      </c>
      <c r="DX11" s="42">
        <v>5.4117473435655246E-9</v>
      </c>
      <c r="DY11" s="42">
        <v>3.4198642266824084E-9</v>
      </c>
      <c r="DZ11" s="42">
        <v>2.5439787485242032E-9</v>
      </c>
      <c r="EA11" s="42">
        <v>3.4701889020070835E-9</v>
      </c>
      <c r="EB11" s="42">
        <v>4.22181227863046E-9</v>
      </c>
      <c r="EC11" s="42">
        <v>2.1793093270365999E-9</v>
      </c>
      <c r="ED11" s="42">
        <v>2.475059031877214E-9</v>
      </c>
      <c r="EE11" s="42">
        <v>5.9356552538370713E-10</v>
      </c>
      <c r="EF11">
        <v>9.8479929161747341E-10</v>
      </c>
      <c r="EG11" s="42">
        <v>5.5327626918536007E-10</v>
      </c>
      <c r="EH11" s="42">
        <v>2.2362750885478161E-9</v>
      </c>
      <c r="EI11" s="42">
        <v>2.2922077922077924E-9</v>
      </c>
      <c r="EJ11" s="42">
        <v>1.4273907910271546E-9</v>
      </c>
      <c r="EK11" s="42">
        <v>2.9566115702479341E-9</v>
      </c>
      <c r="EL11" s="42">
        <v>1.2055785123966943E-9</v>
      </c>
      <c r="EM11" s="42">
        <v>1.0796930342384886E-9</v>
      </c>
      <c r="EN11" s="42">
        <v>4.3453364817001186E-9</v>
      </c>
      <c r="EO11" s="42">
        <v>3.042798110979929E-9</v>
      </c>
      <c r="EP11" s="42">
        <v>4.9366883116883107E-9</v>
      </c>
      <c r="EQ11" s="42">
        <v>4.6294273907910266E-9</v>
      </c>
      <c r="ER11">
        <v>5.0839728453364821E-9</v>
      </c>
      <c r="ES11" s="42">
        <v>4.1480224321133408E-9</v>
      </c>
      <c r="ET11" s="42">
        <v>4.3302833530106263E-9</v>
      </c>
      <c r="EU11" s="42">
        <v>7.1582054309327032E-9</v>
      </c>
      <c r="EV11" s="42">
        <v>5.2827626918535999E-9</v>
      </c>
      <c r="EW11" s="42">
        <v>6.2195985832349464E-9</v>
      </c>
      <c r="EX11" s="42">
        <v>7.2352420306965759E-9</v>
      </c>
      <c r="EY11" s="42">
        <v>4.6946576151121605E-9</v>
      </c>
      <c r="EZ11" s="42">
        <v>1.7857142857142858E-9</v>
      </c>
      <c r="FA11" s="42">
        <v>1.1057260920897284E-8</v>
      </c>
      <c r="FB11" s="42">
        <v>1.4487898465171193E-8</v>
      </c>
      <c r="FC11" s="42">
        <v>1.9198199527744981E-8</v>
      </c>
      <c r="FD11">
        <v>1.3612160566706021E-8</v>
      </c>
      <c r="FE11" s="42">
        <v>1.6161452184179456E-8</v>
      </c>
      <c r="FF11" s="42">
        <v>1.7084710743801651E-8</v>
      </c>
      <c r="FG11" s="42">
        <v>1.5072314049586773E-8</v>
      </c>
      <c r="FH11" s="42">
        <v>1.6298258559622195E-8</v>
      </c>
      <c r="FI11" s="42">
        <v>2.257969303423849E-8</v>
      </c>
      <c r="FJ11">
        <v>2.8423848878394331E-10</v>
      </c>
      <c r="FK11">
        <v>2.3612750885478159E-12</v>
      </c>
      <c r="FL11" s="8">
        <v>6.2352420306965767E-10</v>
      </c>
      <c r="FM11" s="8">
        <v>2.2446871310507675E-10</v>
      </c>
      <c r="FN11">
        <v>6.3916765053128699E-10</v>
      </c>
      <c r="FO11">
        <v>2.8422373081463992E-9</v>
      </c>
      <c r="FP11" s="8">
        <v>2.3510920897284536E-9</v>
      </c>
      <c r="FQ11" s="42">
        <v>2.424734356552538E-10</v>
      </c>
      <c r="FR11" s="42">
        <v>3.0903187721369537E-10</v>
      </c>
      <c r="FS11" s="42">
        <v>3.2991440377804015E-9</v>
      </c>
      <c r="FT11" s="42">
        <v>2.2142857142857141E-9</v>
      </c>
      <c r="FU11" s="42">
        <v>2.5395513577331759E-9</v>
      </c>
      <c r="FV11" s="42">
        <v>2.268595041322314E-9</v>
      </c>
      <c r="FW11" s="42">
        <v>4.0909090909090899E-9</v>
      </c>
      <c r="FX11" s="42">
        <v>7.5748229043683588E-9</v>
      </c>
      <c r="FY11" s="42" t="s">
        <v>76</v>
      </c>
      <c r="FZ11" s="42">
        <v>3.503636917224984E-8</v>
      </c>
      <c r="GA11" s="42">
        <v>1.9755220993383718E-8</v>
      </c>
      <c r="GB11" s="42">
        <v>2.2131404293745713E-8</v>
      </c>
      <c r="GC11" s="42">
        <v>8.13754427390791E-10</v>
      </c>
      <c r="GD11" s="42">
        <v>1.1506788665879577E-9</v>
      </c>
      <c r="GE11" s="42" t="s">
        <v>76</v>
      </c>
      <c r="GF11" s="42">
        <v>5.510625737898466E-10</v>
      </c>
      <c r="GG11" s="42">
        <v>9.0146595828414016E-10</v>
      </c>
      <c r="GH11" s="42">
        <v>4.1226387249114521E-9</v>
      </c>
      <c r="GI11" s="42">
        <v>9.6645021645021654E-9</v>
      </c>
      <c r="GJ11" s="42">
        <v>1.1350826446280993E-8</v>
      </c>
      <c r="GK11" s="42">
        <v>2.2197461629279809E-9</v>
      </c>
      <c r="GL11" s="42">
        <v>4.1252951593860675E-9</v>
      </c>
      <c r="GM11" s="42">
        <v>1.1227863046044863E-9</v>
      </c>
      <c r="GN11" s="42">
        <v>3.5089117667674583E-9</v>
      </c>
      <c r="GO11" s="42">
        <v>2.9332256011836306E-9</v>
      </c>
      <c r="GP11" s="42">
        <v>3.3713564230951771E-9</v>
      </c>
      <c r="GQ11" s="42">
        <v>1.0683843965554515E-9</v>
      </c>
      <c r="GR11" s="42">
        <v>7.050563978970963E-10</v>
      </c>
      <c r="GS11" s="42">
        <v>1.1074910397151746E-9</v>
      </c>
    </row>
    <row r="12" spans="1:201" x14ac:dyDescent="0.35">
      <c r="A12" s="42">
        <v>2.6774055489964583E-8</v>
      </c>
      <c r="B12" s="42">
        <v>2.1886658795749704E-8</v>
      </c>
      <c r="C12" s="42">
        <v>1.459755017709563E-8</v>
      </c>
      <c r="D12" s="42">
        <v>2.062131050767414E-9</v>
      </c>
      <c r="E12" s="42">
        <v>2.2796635182998824E-9</v>
      </c>
      <c r="F12" s="42">
        <v>2.8262987012987013E-9</v>
      </c>
      <c r="G12" s="42">
        <v>8.7812868949232566E-9</v>
      </c>
      <c r="H12" s="42">
        <v>9.8258559622195977E-9</v>
      </c>
      <c r="I12" s="42">
        <v>8.1613046044864231E-9</v>
      </c>
      <c r="J12" s="42">
        <v>1.4619687131050768E-8</v>
      </c>
      <c r="K12" s="42">
        <v>1.5839876033057848E-8</v>
      </c>
      <c r="L12" s="42">
        <v>1.6893447461629282E-8</v>
      </c>
      <c r="M12" s="42">
        <v>1.749586776859504E-8</v>
      </c>
      <c r="N12" s="42">
        <v>1.9065672963400234E-8</v>
      </c>
      <c r="O12" s="42">
        <v>6.3786894923258557E-9</v>
      </c>
      <c r="P12" s="42">
        <v>1.0852567886658795E-8</v>
      </c>
      <c r="Q12" s="42">
        <v>1.8481847697756788E-8</v>
      </c>
      <c r="R12" s="42">
        <v>1.4955873671782761E-8</v>
      </c>
      <c r="S12" s="42">
        <v>1.7566410861865409E-8</v>
      </c>
      <c r="T12" s="42">
        <v>1.9964285714285713E-8</v>
      </c>
      <c r="U12" s="42">
        <v>2.2382231404958672E-8</v>
      </c>
      <c r="V12" s="42">
        <v>2.2851387249114522E-8</v>
      </c>
      <c r="W12" s="42">
        <v>1.7852863046044864E-8</v>
      </c>
      <c r="X12" s="42">
        <v>2.1349468713105076E-8</v>
      </c>
      <c r="Y12" s="42">
        <v>1.5547077922077924E-8</v>
      </c>
      <c r="Z12" s="42">
        <v>3.0732438016528922E-8</v>
      </c>
      <c r="AA12" s="42">
        <v>3.0467237308146401E-8</v>
      </c>
      <c r="AB12" s="42">
        <v>3.2712514757969306E-8</v>
      </c>
      <c r="AC12" s="42">
        <v>1.6917650531286895E-8</v>
      </c>
      <c r="AD12" s="42">
        <v>8.954988193624556E-9</v>
      </c>
      <c r="AE12" s="42">
        <v>1.5023317591499409E-8</v>
      </c>
      <c r="AF12" s="42">
        <v>1.0359946871310509E-8</v>
      </c>
      <c r="AG12" s="42">
        <v>1.523051948051948E-8</v>
      </c>
      <c r="AH12" s="42">
        <v>1.3341351829988194E-8</v>
      </c>
      <c r="AI12" s="42">
        <v>2.6999557260920897E-8</v>
      </c>
      <c r="AJ12" s="42">
        <v>3.1504279811097993E-8</v>
      </c>
      <c r="AK12" s="42">
        <v>2.4277154663518299E-8</v>
      </c>
      <c r="AL12" s="42">
        <v>1.3325118063754426E-8</v>
      </c>
      <c r="AM12" s="42">
        <v>1.1753394332939787E-8</v>
      </c>
      <c r="AN12" s="42">
        <v>1.1013282172373082E-8</v>
      </c>
      <c r="AO12" s="42">
        <v>4.0935655253837069E-9</v>
      </c>
      <c r="AP12" s="42">
        <v>4.6617473435655253E-9</v>
      </c>
      <c r="AQ12" s="42">
        <v>4.8751475796930333E-9</v>
      </c>
      <c r="AR12" s="42">
        <v>9.5860389610389608E-9</v>
      </c>
      <c r="AS12" s="42">
        <v>8.3192148760330578E-9</v>
      </c>
      <c r="AT12" s="42">
        <v>9.4492325855962217E-9</v>
      </c>
      <c r="AU12" s="42">
        <v>8.6145218417945705E-9</v>
      </c>
      <c r="AV12" s="42">
        <v>7.0175619834710732E-9</v>
      </c>
      <c r="AW12" s="42">
        <v>8.1083234946871309E-9</v>
      </c>
      <c r="AX12" s="42">
        <v>3.8329397874852422E-9</v>
      </c>
      <c r="AY12" s="42">
        <v>1.8261511216056669E-9</v>
      </c>
      <c r="AZ12" s="42">
        <v>6.8990554899645809E-9</v>
      </c>
      <c r="BA12" s="42">
        <v>5.7932408500590318E-9</v>
      </c>
      <c r="BB12" s="42">
        <v>4.6459563164108614E-9</v>
      </c>
      <c r="BC12" s="42">
        <v>4.481847697756789E-9</v>
      </c>
      <c r="BD12" s="42">
        <v>7.009002361275088E-9</v>
      </c>
      <c r="BE12" s="42">
        <v>5.1216917552144837E-8</v>
      </c>
      <c r="BF12" s="42">
        <v>6.4526146202282577E-8</v>
      </c>
      <c r="BG12" s="42">
        <v>1.647395218417946E-8</v>
      </c>
      <c r="BH12" s="42">
        <v>1.5074527744982291E-8</v>
      </c>
      <c r="BI12" s="42">
        <v>9.9203512396694199E-9</v>
      </c>
      <c r="BJ12" s="42">
        <v>1.3680637544273906E-9</v>
      </c>
      <c r="BK12" s="42">
        <v>2.2476387249114523E-10</v>
      </c>
      <c r="BL12" s="42">
        <v>2.6431523022432112E-10</v>
      </c>
      <c r="BM12" s="42">
        <v>1.3698347107438015E-9</v>
      </c>
      <c r="BN12" s="42">
        <v>4.352125147579693E-10</v>
      </c>
      <c r="BO12" s="42">
        <v>7.1886068476977567E-10</v>
      </c>
      <c r="BP12" s="42">
        <v>1.3885773317591498E-9</v>
      </c>
      <c r="BQ12" s="42">
        <v>2.7402597402597404E-9</v>
      </c>
      <c r="BR12" s="42">
        <v>1.7905844155844153E-9</v>
      </c>
      <c r="BS12" s="42">
        <v>3.3969893742621016E-9</v>
      </c>
      <c r="BT12" s="42">
        <v>3.5956316410861868E-9</v>
      </c>
      <c r="BU12" s="42">
        <v>3.5859078224862724E-9</v>
      </c>
      <c r="BV12" s="42">
        <v>3.5859078224862724E-9</v>
      </c>
      <c r="BW12">
        <v>7.9703364817001188E-9</v>
      </c>
      <c r="BX12">
        <v>7.8633412042502958E-9</v>
      </c>
      <c r="BY12">
        <v>7.1158500590318776E-9</v>
      </c>
      <c r="BZ12">
        <v>6.4182408500590316E-9</v>
      </c>
      <c r="CA12" s="23">
        <v>9.9640799999999998E-9</v>
      </c>
      <c r="CB12" s="23">
        <v>1.0256399999999999E-8</v>
      </c>
      <c r="CC12" s="23">
        <v>8.86106E-9</v>
      </c>
      <c r="CD12" s="23">
        <v>6.7975999999999998E-9</v>
      </c>
      <c r="CE12" s="23">
        <v>7.7623499999999994E-9</v>
      </c>
      <c r="CF12" s="23">
        <v>1.1811099999999999E-8</v>
      </c>
      <c r="CG12" s="23">
        <v>1.3461800000000001E-8</v>
      </c>
      <c r="CH12" s="23">
        <v>1.5938399999999999E-8</v>
      </c>
      <c r="CI12" s="23">
        <v>7.4170900000000001E-9</v>
      </c>
      <c r="CJ12" s="23">
        <v>1.16474E-8</v>
      </c>
      <c r="CK12" s="23">
        <v>1.06986E-8</v>
      </c>
      <c r="CL12" s="23">
        <v>1.24991E-8</v>
      </c>
      <c r="CM12" s="23">
        <v>1.18753E-8</v>
      </c>
      <c r="CN12" s="23">
        <v>7.1505500000000003E-9</v>
      </c>
      <c r="CO12" s="23">
        <v>1.01812E-8</v>
      </c>
      <c r="CP12" s="23">
        <v>8.9804199999999999E-9</v>
      </c>
      <c r="CQ12" s="23">
        <v>4.0200700000000002E-10</v>
      </c>
      <c r="CR12" s="23">
        <v>1.5104799999999999E-9</v>
      </c>
      <c r="CS12" s="23">
        <v>3.94185E-9</v>
      </c>
      <c r="CT12" s="23">
        <v>3.9567599999999999E-9</v>
      </c>
      <c r="CU12" s="23">
        <v>5.1682399999999999E-9</v>
      </c>
      <c r="CV12" s="23">
        <v>4.9281299999999996E-9</v>
      </c>
      <c r="CW12" s="23">
        <v>3.9241400000000001E-9</v>
      </c>
      <c r="CX12" s="23">
        <v>3.7809900000000002E-9</v>
      </c>
      <c r="CY12" s="23">
        <v>3.2677100000000001E-9</v>
      </c>
      <c r="CZ12" s="23">
        <v>4.2203399999999999E-9</v>
      </c>
      <c r="DA12" s="42">
        <v>3.2076446280991733E-9</v>
      </c>
      <c r="DB12" s="42">
        <v>5.2349468713105084E-9</v>
      </c>
      <c r="DC12" s="42">
        <v>5.28586186540732E-9</v>
      </c>
      <c r="DD12" s="42">
        <v>8.578807556080283E-9</v>
      </c>
      <c r="DE12" s="42">
        <v>7.7970779220779223E-9</v>
      </c>
      <c r="DF12" s="23">
        <v>8.0174099999999999E-9</v>
      </c>
      <c r="DG12" s="23">
        <v>9.4698899999999994E-9</v>
      </c>
      <c r="DH12" s="42">
        <v>5.785271546635183E-9</v>
      </c>
      <c r="DI12" s="42">
        <v>3.8335301062573787E-9</v>
      </c>
      <c r="DJ12" s="42">
        <v>4.2550177095631638E-9</v>
      </c>
      <c r="DK12" s="42">
        <v>2.9608913813459267E-9</v>
      </c>
      <c r="DL12" s="42">
        <v>5.7697756788665869E-9</v>
      </c>
      <c r="DM12" s="42">
        <v>3.7988488783943332E-9</v>
      </c>
      <c r="DN12" s="42">
        <v>1.7857142857142858E-10</v>
      </c>
      <c r="DO12">
        <v>3.2733175914994095E-10</v>
      </c>
      <c r="DP12">
        <v>5.8087367178276271E-10</v>
      </c>
      <c r="DQ12">
        <v>8.3943329397874861E-10</v>
      </c>
      <c r="DR12">
        <v>1.1658795749704841E-9</v>
      </c>
      <c r="DS12" s="42">
        <v>1.5565230224321134E-9</v>
      </c>
      <c r="DT12">
        <v>2.2541322314049586E-9</v>
      </c>
      <c r="DU12" s="42">
        <v>8.202036599763871E-9</v>
      </c>
      <c r="DV12" s="42">
        <v>3.312573789846517E-9</v>
      </c>
      <c r="DW12" s="42">
        <v>5.3965466351829988E-9</v>
      </c>
      <c r="DX12" s="42">
        <v>6.0097402597402598E-9</v>
      </c>
      <c r="DY12" s="42">
        <v>3.8196576151121602E-9</v>
      </c>
      <c r="DZ12" s="42">
        <v>3.2697756788665881E-9</v>
      </c>
      <c r="EA12" s="42">
        <v>5.146103896103896E-9</v>
      </c>
      <c r="EB12" s="42">
        <v>5.5526859504132232E-9</v>
      </c>
      <c r="EC12" s="42">
        <v>2.6915584415584416E-9</v>
      </c>
      <c r="ED12" s="42">
        <v>3.1669126328217237E-9</v>
      </c>
      <c r="EE12" s="42">
        <v>1.3370720188902006E-9</v>
      </c>
      <c r="EF12">
        <v>1.3286599763872489E-9</v>
      </c>
      <c r="EG12" s="42">
        <v>7.8143447461629277E-10</v>
      </c>
      <c r="EH12" s="42">
        <v>2.9605962219598589E-9</v>
      </c>
      <c r="EI12" s="42">
        <v>2.7026269185360092E-9</v>
      </c>
      <c r="EJ12" s="42">
        <v>1.6589433293978746E-9</v>
      </c>
      <c r="EK12" s="42">
        <v>3.0323199527744979E-9</v>
      </c>
      <c r="EL12" s="42">
        <v>1.4105667060212514E-9</v>
      </c>
      <c r="EM12" s="42">
        <v>1.4766824085005905E-9</v>
      </c>
      <c r="EN12" s="42">
        <v>5.0407319952774497E-9</v>
      </c>
      <c r="EO12" s="42">
        <v>3.7424734356552539E-9</v>
      </c>
      <c r="EP12" s="42">
        <v>5.8546340023612749E-9</v>
      </c>
      <c r="EQ12" s="42">
        <v>5.1779811097992918E-9</v>
      </c>
      <c r="ER12">
        <v>5.8963990554899656E-9</v>
      </c>
      <c r="ES12" s="42">
        <v>4.7144332939787489E-9</v>
      </c>
      <c r="ET12" s="42">
        <v>5.5963695395513569E-9</v>
      </c>
      <c r="EU12" s="42">
        <v>7.7786304604486429E-9</v>
      </c>
      <c r="EV12" s="42">
        <v>6.5197756788665878E-9</v>
      </c>
      <c r="EW12" s="42">
        <v>6.7160566706021245E-9</v>
      </c>
      <c r="EX12" s="42">
        <v>8.2355371900826436E-9</v>
      </c>
      <c r="EY12" s="42">
        <v>5.572609208972845E-9</v>
      </c>
      <c r="EZ12" s="42">
        <v>2.0597697756788669E-9</v>
      </c>
      <c r="FA12" s="42">
        <v>1.2692296340023611E-8</v>
      </c>
      <c r="FB12" s="42">
        <v>1.6168831168831166E-8</v>
      </c>
      <c r="FC12" s="42">
        <v>2.1633264462809916E-8</v>
      </c>
      <c r="FD12">
        <v>1.4539403778040141E-8</v>
      </c>
      <c r="FE12" s="42">
        <v>1.61956906729634E-8</v>
      </c>
      <c r="FF12" s="42">
        <v>1.9357880755608028E-8</v>
      </c>
      <c r="FG12" s="42">
        <v>1.6745572609208978E-8</v>
      </c>
      <c r="FH12" s="42">
        <v>1.8184179456906731E-8</v>
      </c>
      <c r="FI12" s="42">
        <v>2.5372786304604486E-8</v>
      </c>
      <c r="FJ12">
        <v>2.6697166469893736E-10</v>
      </c>
      <c r="FK12">
        <v>1.154073199527745E-10</v>
      </c>
      <c r="FL12" s="8">
        <v>8.3795749704840616E-10</v>
      </c>
      <c r="FM12" s="8">
        <v>4.884887839433294E-10</v>
      </c>
      <c r="FN12">
        <v>7.98258559622196E-10</v>
      </c>
      <c r="FO12">
        <v>5.1824085005903191E-9</v>
      </c>
      <c r="FP12" s="8">
        <v>3.0029515938606845E-9</v>
      </c>
      <c r="FQ12" s="42">
        <v>2.9929161747343564E-10</v>
      </c>
      <c r="FR12" s="42">
        <v>3.3677685950413228E-10</v>
      </c>
      <c r="FS12" s="42">
        <v>7.6330578512396688E-8</v>
      </c>
      <c r="FT12" s="42">
        <v>1.6959858323494687E-9</v>
      </c>
      <c r="FU12" s="42">
        <v>2.7072018890200708E-9</v>
      </c>
      <c r="FV12" s="42">
        <v>2.689197166469894E-9</v>
      </c>
      <c r="FW12" s="42">
        <v>6.2896989374262099E-9</v>
      </c>
      <c r="FX12" s="42">
        <v>9.4169126328217222E-9</v>
      </c>
      <c r="FY12" s="42" t="s">
        <v>76</v>
      </c>
      <c r="FZ12" s="42">
        <v>3.7351164137419251E-8</v>
      </c>
      <c r="GA12" s="42">
        <v>3.3144926355704875E-8</v>
      </c>
      <c r="GB12" s="42">
        <v>3.3779727214437115E-8</v>
      </c>
      <c r="GC12" s="42">
        <v>8.9566115702479345E-10</v>
      </c>
      <c r="GD12" s="42">
        <v>1.0639020070838251E-9</v>
      </c>
      <c r="GE12" s="42" t="s">
        <v>76</v>
      </c>
      <c r="GF12" s="42">
        <v>4.896694214876033E-10</v>
      </c>
      <c r="GG12" s="42">
        <v>1.6581808343171982E-9</v>
      </c>
      <c r="GH12" s="42">
        <v>4.3497638724911452E-9</v>
      </c>
      <c r="GI12" s="42">
        <v>5.9532418339236528E-9</v>
      </c>
      <c r="GJ12" s="42">
        <v>1.4736673553719008E-8</v>
      </c>
      <c r="GK12" s="42">
        <v>4.0377804014167658E-9</v>
      </c>
      <c r="GL12" s="42">
        <v>3.1927390791027149E-9</v>
      </c>
      <c r="GM12" s="42">
        <v>1.4241440377804013E-9</v>
      </c>
      <c r="GN12" s="42">
        <v>4.750547687088659E-9</v>
      </c>
      <c r="GO12" s="42">
        <v>3.3677185958245056E-9</v>
      </c>
      <c r="GP12" s="42">
        <v>4.4536100361200651E-9</v>
      </c>
      <c r="GQ12" s="42">
        <v>1.3364467935630869E-9</v>
      </c>
      <c r="GR12" s="42">
        <v>1.1743361158137704E-9</v>
      </c>
      <c r="GS12" s="42">
        <v>1.2107143885204894E-9</v>
      </c>
    </row>
    <row r="13" spans="1:201" x14ac:dyDescent="0.35">
      <c r="A13" s="42">
        <v>3.2315377804014168E-8</v>
      </c>
      <c r="B13" s="42">
        <v>2.7577922077922077E-8</v>
      </c>
      <c r="C13" s="42">
        <v>1.718742621015348E-8</v>
      </c>
      <c r="D13" s="42">
        <v>2.3561097992916174E-9</v>
      </c>
      <c r="E13" s="42">
        <v>2.5420602125147582E-9</v>
      </c>
      <c r="F13" s="42">
        <v>3.2154663518299881E-9</v>
      </c>
      <c r="G13" s="42">
        <v>9.9799291617473432E-9</v>
      </c>
      <c r="H13" s="42">
        <v>1.0800472255017711E-8</v>
      </c>
      <c r="I13" s="42">
        <v>9.7108913813459259E-9</v>
      </c>
      <c r="J13" s="42">
        <v>1.6910714285714281E-8</v>
      </c>
      <c r="K13" s="42">
        <v>1.7994244391971664E-8</v>
      </c>
      <c r="L13" s="42">
        <v>1.8742768595041324E-8</v>
      </c>
      <c r="M13" s="42">
        <v>2.0589138134592679E-8</v>
      </c>
      <c r="N13" s="42">
        <v>2.0901416765053128E-8</v>
      </c>
      <c r="O13" s="42">
        <v>7.9281286894923276E-9</v>
      </c>
      <c r="P13" s="42">
        <v>1.3023612750885478E-8</v>
      </c>
      <c r="Q13" s="42">
        <v>2.2391381345926801E-8</v>
      </c>
      <c r="R13" s="42">
        <v>1.8157762691853599E-8</v>
      </c>
      <c r="S13" s="42">
        <v>2.1173553719008263E-8</v>
      </c>
      <c r="T13" s="42">
        <v>2.3347255017709562E-8</v>
      </c>
      <c r="U13" s="42">
        <v>2.5918388429752064E-8</v>
      </c>
      <c r="V13" s="42">
        <v>2.5475796930342384E-8</v>
      </c>
      <c r="W13" s="42">
        <v>2.1913075560802832E-8</v>
      </c>
      <c r="X13" s="42">
        <v>2.6228010625737899E-8</v>
      </c>
      <c r="Y13" s="42">
        <v>1.8918093270365999E-8</v>
      </c>
      <c r="Z13" s="42">
        <v>4.3435212514757969E-8</v>
      </c>
      <c r="AA13" s="42">
        <v>3.6911009445100354E-8</v>
      </c>
      <c r="AB13" s="42">
        <v>4.6074380165289256E-8</v>
      </c>
      <c r="AC13" s="42">
        <v>1.9859504132231406E-8</v>
      </c>
      <c r="AD13" s="42">
        <v>1.1220926800472255E-8</v>
      </c>
      <c r="AE13" s="42">
        <v>1.8230814639905545E-8</v>
      </c>
      <c r="AF13" s="42">
        <v>1.2575413223140496E-8</v>
      </c>
      <c r="AG13" s="42">
        <v>1.8396841794569065E-8</v>
      </c>
      <c r="AH13" s="42">
        <v>1.637012987012987E-8</v>
      </c>
      <c r="AI13" s="42">
        <v>3.7842827626918536E-8</v>
      </c>
      <c r="AJ13" s="42">
        <v>3.4654073199527743E-8</v>
      </c>
      <c r="AK13" s="42">
        <v>2.6845484061393148E-8</v>
      </c>
      <c r="AL13" s="42">
        <v>1.2150678866587959E-8</v>
      </c>
      <c r="AM13" s="42">
        <v>1.0545897284533649E-8</v>
      </c>
      <c r="AN13" s="42">
        <v>1.3005755608028336E-8</v>
      </c>
      <c r="AO13" s="42">
        <v>5.2516233766233766E-9</v>
      </c>
      <c r="AP13" s="42">
        <v>5.1468417945690668E-9</v>
      </c>
      <c r="AQ13" s="42">
        <v>5.2150236127508857E-9</v>
      </c>
      <c r="AR13" s="42">
        <v>1.1618801652892561E-8</v>
      </c>
      <c r="AS13" s="42">
        <v>9.0981404958677695E-9</v>
      </c>
      <c r="AT13" s="42">
        <v>1.0399645808736716E-8</v>
      </c>
      <c r="AU13" s="42">
        <v>1.0735979929161747E-8</v>
      </c>
      <c r="AV13" s="42">
        <v>8.3460743801652872E-9</v>
      </c>
      <c r="AW13" s="42">
        <v>1.0484946871310508E-8</v>
      </c>
      <c r="AX13" s="42">
        <v>5.1937721369539549E-9</v>
      </c>
      <c r="AY13" s="42">
        <v>3.0069362455726088E-9</v>
      </c>
      <c r="AZ13" s="42">
        <v>8.4600059031877204E-9</v>
      </c>
      <c r="BA13" s="42">
        <v>6.1508264462809919E-9</v>
      </c>
      <c r="BB13" s="42">
        <v>6.6056670602125144E-9</v>
      </c>
      <c r="BC13" s="42">
        <v>6.0968122786304594E-9</v>
      </c>
      <c r="BD13" s="42">
        <v>9.6881641086186544E-9</v>
      </c>
      <c r="BE13" s="42">
        <v>5.8788001770956326E-8</v>
      </c>
      <c r="BF13" s="42">
        <v>7.015434376229832E-8</v>
      </c>
      <c r="BG13" s="42">
        <v>2.4287067099567101E-8</v>
      </c>
      <c r="BH13" s="42">
        <v>1.8471566312475406E-8</v>
      </c>
      <c r="BI13" s="42">
        <v>1.1947830578512397E-8</v>
      </c>
      <c r="BJ13" s="42">
        <v>1.391233766233766E-9</v>
      </c>
      <c r="BK13" s="42">
        <v>4.6074380165289249E-10</v>
      </c>
      <c r="BL13" s="42">
        <v>1.9102715466351826E-9</v>
      </c>
      <c r="BM13" s="42">
        <v>1.3704250295159386E-9</v>
      </c>
      <c r="BN13" s="42">
        <v>7.5988783943329395E-10</v>
      </c>
      <c r="BO13" s="42">
        <v>8.8547815820543094E-10</v>
      </c>
      <c r="BP13" s="42">
        <v>1.5485537190082646E-9</v>
      </c>
      <c r="BQ13" s="42">
        <v>3.0436835891381345E-9</v>
      </c>
      <c r="BR13" s="42">
        <v>4.2799586776859503E-9</v>
      </c>
      <c r="BS13" s="42">
        <v>3.0647874852420306E-9</v>
      </c>
      <c r="BT13" s="42">
        <v>3.1437426210153483E-9</v>
      </c>
      <c r="BU13" s="42">
        <v>3.962341344855522E-9</v>
      </c>
      <c r="BV13" s="42">
        <v>3.962341344855522E-9</v>
      </c>
      <c r="BW13">
        <v>9.1796044864226688E-9</v>
      </c>
      <c r="BX13">
        <v>8.9701889020070852E-9</v>
      </c>
      <c r="BY13">
        <v>7.7774498229043683E-9</v>
      </c>
      <c r="BZ13">
        <v>8.232880755608029E-9</v>
      </c>
      <c r="CA13" s="23">
        <v>1.2012800000000001E-8</v>
      </c>
      <c r="CB13" s="23">
        <v>1.22457E-8</v>
      </c>
      <c r="CC13" s="23">
        <v>1.0661E-8</v>
      </c>
      <c r="CD13" s="23">
        <v>7.4307299999999996E-9</v>
      </c>
      <c r="CE13" s="23">
        <v>8.3921100000000003E-9</v>
      </c>
      <c r="CF13" s="23">
        <v>1.27678E-8</v>
      </c>
      <c r="CG13" s="23">
        <v>1.48222E-8</v>
      </c>
      <c r="CH13" s="23">
        <v>1.7040400000000001E-8</v>
      </c>
      <c r="CI13" s="23">
        <v>1.00963E-8</v>
      </c>
      <c r="CJ13" s="23">
        <v>1.45899E-8</v>
      </c>
      <c r="CK13" s="23">
        <v>1.36142E-8</v>
      </c>
      <c r="CL13" s="23">
        <v>1.44991E-8</v>
      </c>
      <c r="CM13" s="23">
        <v>1.39147E-8</v>
      </c>
      <c r="CN13" s="23">
        <v>8.5002700000000001E-9</v>
      </c>
      <c r="CO13" s="23">
        <v>1.17268E-8</v>
      </c>
      <c r="CP13" s="23">
        <v>1.04423E-8</v>
      </c>
      <c r="CQ13" s="23">
        <v>6.1998199999999998E-10</v>
      </c>
      <c r="CR13" s="23">
        <v>1.9470200000000002E-9</v>
      </c>
      <c r="CS13" s="23">
        <v>4.7333200000000004E-9</v>
      </c>
      <c r="CT13" s="23">
        <v>4.8212799999999997E-9</v>
      </c>
      <c r="CU13" s="23">
        <v>6.1847699999999999E-9</v>
      </c>
      <c r="CV13" s="23">
        <v>5.6865399999999997E-9</v>
      </c>
      <c r="CW13" s="23">
        <v>4.5529799999999997E-9</v>
      </c>
      <c r="CX13" s="23">
        <v>4.2626900000000003E-9</v>
      </c>
      <c r="CY13" s="23">
        <v>3.84253E-9</v>
      </c>
      <c r="CZ13" s="23">
        <v>4.7105999999999998E-9</v>
      </c>
      <c r="DA13" s="42">
        <v>4.626328217237309E-9</v>
      </c>
      <c r="DB13" s="42">
        <v>6.064344746162928E-9</v>
      </c>
      <c r="DC13" s="42">
        <v>6.8391381345926794E-9</v>
      </c>
      <c r="DD13" s="42">
        <v>1.0156286894923259E-8</v>
      </c>
      <c r="DE13" s="42">
        <v>9.0463400236127503E-9</v>
      </c>
      <c r="DF13" s="23">
        <v>9.6868399999999996E-9</v>
      </c>
      <c r="DG13" s="23">
        <v>1.0474599999999999E-8</v>
      </c>
      <c r="DH13" s="42">
        <v>6.1633707201889015E-9</v>
      </c>
      <c r="DI13" s="42">
        <v>4.5715761511216049E-9</v>
      </c>
      <c r="DJ13" s="42">
        <v>4.9896694214876038E-9</v>
      </c>
      <c r="DK13" s="42">
        <v>3.9391971664698936E-9</v>
      </c>
      <c r="DL13" s="42">
        <v>7.7792207792207803E-9</v>
      </c>
      <c r="DM13" s="42">
        <v>5.8320543093270368E-9</v>
      </c>
      <c r="DN13" s="42">
        <v>1.6838842975206614E-10</v>
      </c>
      <c r="DO13">
        <v>4.2724321133412042E-10</v>
      </c>
      <c r="DP13">
        <v>2.2801062573789845E-9</v>
      </c>
      <c r="DQ13">
        <v>1.0833825265643448E-9</v>
      </c>
      <c r="DR13">
        <v>1.5191853600944508E-9</v>
      </c>
      <c r="DS13" s="42">
        <v>2.019775678866588E-9</v>
      </c>
      <c r="DT13">
        <v>2.6183589138134589E-9</v>
      </c>
      <c r="DU13" s="42">
        <v>9.3450413223140492E-9</v>
      </c>
      <c r="DV13" s="42">
        <v>3.9358028335301057E-9</v>
      </c>
      <c r="DW13" s="42">
        <v>9.2744982290436836E-9</v>
      </c>
      <c r="DX13" s="42">
        <v>7.4400826446280987E-9</v>
      </c>
      <c r="DY13" s="42">
        <v>4.6354781582054315E-9</v>
      </c>
      <c r="DZ13" s="42">
        <v>5.625885478158205E-9</v>
      </c>
      <c r="EA13" s="42">
        <v>8.0333530106257387E-9</v>
      </c>
      <c r="EB13" s="42">
        <v>1.4319214876033055E-8</v>
      </c>
      <c r="EC13" s="42">
        <v>3.3152302243211329E-9</v>
      </c>
      <c r="ED13" s="42">
        <v>3.938016528925619E-9</v>
      </c>
      <c r="EE13" s="42">
        <v>1.4400826446280991E-9</v>
      </c>
      <c r="EF13">
        <v>1.552538370720189E-9</v>
      </c>
      <c r="EG13" s="42">
        <v>8.8872491145218408E-10</v>
      </c>
      <c r="EH13" s="42">
        <v>3.7501475796930348E-9</v>
      </c>
      <c r="EI13" s="42">
        <v>3.2347992916174735E-9</v>
      </c>
      <c r="EJ13" s="42">
        <v>1.8552243211334121E-9</v>
      </c>
      <c r="EK13" s="42">
        <v>4.6244096812278627E-9</v>
      </c>
      <c r="EL13" s="42">
        <v>1.7222550177095631E-9</v>
      </c>
      <c r="EM13" s="42">
        <v>2.0100354191263278E-9</v>
      </c>
      <c r="EN13" s="42">
        <v>5.7697756788665869E-9</v>
      </c>
      <c r="EO13" s="42">
        <v>4.3476977567886662E-9</v>
      </c>
      <c r="EP13" s="42">
        <v>7.4889315230224314E-9</v>
      </c>
      <c r="EQ13" s="42">
        <v>5.9115997638724906E-9</v>
      </c>
      <c r="ER13">
        <v>6.8373671782762691E-9</v>
      </c>
      <c r="ES13" s="42">
        <v>5.2446871310507674E-9</v>
      </c>
      <c r="ET13" s="42">
        <v>7.3676210153482884E-9</v>
      </c>
      <c r="EU13" s="42">
        <v>9.1787190082644628E-9</v>
      </c>
      <c r="EV13" s="42">
        <v>7.6444805194805201E-9</v>
      </c>
      <c r="EW13" s="42">
        <v>7.1185064935064938E-9</v>
      </c>
      <c r="EX13" s="42">
        <v>9.3930047225501776E-9</v>
      </c>
      <c r="EY13" s="42">
        <v>6.435064935064935E-9</v>
      </c>
      <c r="EZ13" s="42">
        <v>2.5029515938606845E-9</v>
      </c>
      <c r="FA13" s="42">
        <v>1.4371458087367177E-8</v>
      </c>
      <c r="FB13" s="42">
        <v>1.8018595041322314E-8</v>
      </c>
      <c r="FC13" s="42">
        <v>2.4300029515938603E-8</v>
      </c>
      <c r="FD13">
        <v>1.6803128689492323E-8</v>
      </c>
      <c r="FE13" s="42">
        <v>1.7987750885478156E-8</v>
      </c>
      <c r="FF13" s="42">
        <v>2.3378689492325854E-8</v>
      </c>
      <c r="FG13" s="42">
        <v>1.9064197166469894E-8</v>
      </c>
      <c r="FH13" s="42">
        <v>2.0088695395513578E-8</v>
      </c>
      <c r="FI13" s="42">
        <v>2.7827479338842973E-8</v>
      </c>
      <c r="FJ13">
        <v>1.8534681227863046E-7</v>
      </c>
      <c r="FK13">
        <v>1.3370720188902007E-10</v>
      </c>
      <c r="FL13" s="8">
        <v>6.6020513577331767E-8</v>
      </c>
      <c r="FM13" s="8">
        <v>5.6729634002361273E-10</v>
      </c>
      <c r="FN13">
        <v>1.0847107438016531E-9</v>
      </c>
      <c r="FO13">
        <v>3.3274793388429755E-9</v>
      </c>
      <c r="FP13" s="8">
        <v>2.8502066115702475E-9</v>
      </c>
      <c r="FQ13" s="42">
        <v>3.6024203069657617E-10</v>
      </c>
      <c r="FR13" s="42">
        <v>3.2216646989374258E-10</v>
      </c>
      <c r="FS13" s="42">
        <v>6.3219598583234942E-8</v>
      </c>
      <c r="FT13" s="42">
        <v>1.7724321133412041E-9</v>
      </c>
      <c r="FU13" s="42">
        <v>8.7268004722550178E-8</v>
      </c>
      <c r="FV13" s="42">
        <v>5.8960301062573785E-8</v>
      </c>
      <c r="FW13" s="42">
        <v>6.361717827626918E-9</v>
      </c>
      <c r="FX13" s="42">
        <v>1.0044421487603306E-8</v>
      </c>
      <c r="FY13" s="42" t="s">
        <v>76</v>
      </c>
      <c r="FZ13" s="42">
        <v>4.1764303345153091E-8</v>
      </c>
      <c r="GA13" s="42">
        <v>4.3945180793920883E-8</v>
      </c>
      <c r="GB13" s="42">
        <v>4.5886871099642012E-8</v>
      </c>
      <c r="GC13" s="42">
        <v>1.1742916174734356E-9</v>
      </c>
      <c r="GD13" s="42">
        <v>1.2457201889020068E-9</v>
      </c>
      <c r="GE13" s="42" t="s">
        <v>76</v>
      </c>
      <c r="GF13" s="42">
        <v>4.5956316410861864E-10</v>
      </c>
      <c r="GG13" s="42">
        <v>2.9102715466351829E-9</v>
      </c>
      <c r="GH13" s="42">
        <v>6.2644628099173556E-9</v>
      </c>
      <c r="GI13" s="42">
        <v>9.3066214088941374E-9</v>
      </c>
      <c r="GJ13" s="42">
        <v>1.4860020661157027E-8</v>
      </c>
      <c r="GK13" s="42">
        <v>5.3034238488783942E-9</v>
      </c>
      <c r="GL13" s="42">
        <v>3.0948937426210152E-9</v>
      </c>
      <c r="GM13" s="42">
        <v>1.0628394332939787E-8</v>
      </c>
      <c r="GN13" s="42">
        <v>5.7716403291253758E-9</v>
      </c>
      <c r="GO13" s="42">
        <v>4.0980124204118872E-9</v>
      </c>
      <c r="GP13" s="42">
        <v>4.9733646074173125E-9</v>
      </c>
      <c r="GQ13" s="42">
        <v>3.0544107221378883E-9</v>
      </c>
      <c r="GR13" s="42">
        <v>2.0376379999850944E-9</v>
      </c>
      <c r="GS13" s="42">
        <v>2.4407547344164228E-9</v>
      </c>
    </row>
    <row r="14" spans="1:201" x14ac:dyDescent="0.35">
      <c r="A14" s="42">
        <v>4.3478748524203069E-8</v>
      </c>
      <c r="B14" s="42">
        <v>3.5695100354191262E-8</v>
      </c>
      <c r="C14" s="42">
        <v>2.1516528925619832E-8</v>
      </c>
      <c r="D14" s="42">
        <v>2.7243211334120421E-9</v>
      </c>
      <c r="E14" s="42">
        <v>2.809327036599764E-9</v>
      </c>
      <c r="F14" s="42">
        <v>3.7687426210153477E-9</v>
      </c>
      <c r="G14" s="42">
        <v>1.2244834710743801E-8</v>
      </c>
      <c r="H14" s="42">
        <v>1.3811835891381346E-8</v>
      </c>
      <c r="I14" s="42">
        <v>1.1159828807556082E-8</v>
      </c>
      <c r="J14" s="42">
        <v>2.1146399055489963E-8</v>
      </c>
      <c r="K14" s="42">
        <v>2.0621605667060212E-8</v>
      </c>
      <c r="L14" s="42">
        <v>1.9369687131050767E-8</v>
      </c>
      <c r="M14" s="42">
        <v>2.3396103896103895E-8</v>
      </c>
      <c r="N14" s="42">
        <v>2.2568624557260919E-8</v>
      </c>
      <c r="O14" s="42">
        <v>8.8175914994096813E-9</v>
      </c>
      <c r="P14" s="42">
        <v>1.428482880755608E-8</v>
      </c>
      <c r="Q14" s="42">
        <v>2.494185360094451E-8</v>
      </c>
      <c r="R14" s="42">
        <v>2.3574232585596222E-8</v>
      </c>
      <c r="S14" s="42">
        <v>2.680165289256198E-8</v>
      </c>
      <c r="T14" s="42">
        <v>2.7988046044864225E-8</v>
      </c>
      <c r="U14" s="42">
        <v>3.1661894923258556E-8</v>
      </c>
      <c r="V14" s="42">
        <v>2.6926800472255017E-8</v>
      </c>
      <c r="W14" s="42">
        <v>2.3322461629279808E-8</v>
      </c>
      <c r="X14" s="42">
        <v>2.7701741440377798E-8</v>
      </c>
      <c r="Y14" s="42">
        <v>2.0101239669421486E-8</v>
      </c>
      <c r="Z14" s="42">
        <v>5.5035861865407318E-8</v>
      </c>
      <c r="AA14" s="42">
        <v>3.9176357733175914E-8</v>
      </c>
      <c r="AB14" s="42">
        <v>5.5450708382526562E-8</v>
      </c>
      <c r="AC14" s="42">
        <v>2.3312868949232587E-8</v>
      </c>
      <c r="AD14" s="42">
        <v>1.3454102715466351E-8</v>
      </c>
      <c r="AE14" s="42">
        <v>2.1817148760330579E-8</v>
      </c>
      <c r="AF14" s="42">
        <v>1.5219451003541912E-8</v>
      </c>
      <c r="AG14" s="42">
        <v>1.9452922077922082E-8</v>
      </c>
      <c r="AH14" s="42">
        <v>1.7608323494687132E-8</v>
      </c>
      <c r="AI14" s="42">
        <v>4.2101829988193625E-8</v>
      </c>
      <c r="AJ14" s="42">
        <v>3.8509592680047219E-8</v>
      </c>
      <c r="AK14" s="42">
        <v>3.0139757969303426E-8</v>
      </c>
      <c r="AL14" s="42">
        <v>1.3637839433293979E-8</v>
      </c>
      <c r="AM14" s="42">
        <v>1.0971221959858324E-8</v>
      </c>
      <c r="AN14" s="42">
        <v>1.3264757969303426E-8</v>
      </c>
      <c r="AO14" s="42">
        <v>7.8414994096812285E-9</v>
      </c>
      <c r="AP14" s="42">
        <v>6.1856552538370717E-9</v>
      </c>
      <c r="AQ14" s="42">
        <v>5.7243211334120429E-9</v>
      </c>
      <c r="AR14" s="42">
        <v>2.4387544273907913E-8</v>
      </c>
      <c r="AS14" s="42">
        <v>1.0010182998819361E-8</v>
      </c>
      <c r="AT14" s="42">
        <v>1.2416765053128688E-8</v>
      </c>
      <c r="AU14" s="42">
        <v>1.6253689492325855E-8</v>
      </c>
      <c r="AV14" s="42">
        <v>1.0492916174734355E-8</v>
      </c>
      <c r="AW14" s="42">
        <v>1.2804014167650533E-8</v>
      </c>
      <c r="AX14" s="42">
        <v>8.6350354191263271E-9</v>
      </c>
      <c r="AY14" s="42">
        <v>1.0287485242030697E-8</v>
      </c>
      <c r="AZ14" s="42">
        <v>1.1075413223140496E-8</v>
      </c>
      <c r="BA14" s="42">
        <v>8.263429752066115E-9</v>
      </c>
      <c r="BB14" s="42">
        <v>1.2052833530106259E-8</v>
      </c>
      <c r="BC14" s="42">
        <v>9.8015053128689502E-9</v>
      </c>
      <c r="BD14" s="42">
        <v>1.7243654073199526E-8</v>
      </c>
      <c r="BE14" s="42">
        <v>6.6280253837072025E-8</v>
      </c>
      <c r="BF14" s="42">
        <v>7.332054309327038E-8</v>
      </c>
      <c r="BG14" s="42">
        <v>3.8668093270366001E-8</v>
      </c>
      <c r="BH14" s="42">
        <v>2.6231552538370722E-8</v>
      </c>
      <c r="BI14" s="42">
        <v>2.8486260330578511E-8</v>
      </c>
      <c r="BJ14" s="42">
        <v>3.2238783943329399E-9</v>
      </c>
      <c r="BK14" s="42">
        <v>1.6307556080283351E-9</v>
      </c>
      <c r="BL14" s="42">
        <v>1.9301948051948049E-9</v>
      </c>
      <c r="BM14" s="42">
        <v>1.3367768595041322E-9</v>
      </c>
      <c r="BN14" s="42">
        <v>1.5349763872491146E-9</v>
      </c>
      <c r="BO14" s="42">
        <v>8.8237898465171192E-10</v>
      </c>
      <c r="BP14" s="42">
        <v>1.9709268004722549E-9</v>
      </c>
      <c r="BQ14" s="42">
        <v>4.0543093270365998E-9</v>
      </c>
      <c r="BR14" s="42">
        <v>3.3732290436835893E-9</v>
      </c>
      <c r="BS14" s="42">
        <v>2.8221664698937426E-9</v>
      </c>
      <c r="BT14" s="42">
        <v>4.3279220779220779E-9</v>
      </c>
      <c r="BU14" s="42">
        <v>4.0555360518498515E-9</v>
      </c>
      <c r="BV14" s="42">
        <v>4.0555360518498515E-9</v>
      </c>
      <c r="BW14">
        <v>1.0137691853600944E-8</v>
      </c>
      <c r="BX14">
        <v>1.0492916174734355E-8</v>
      </c>
      <c r="BY14">
        <v>8.4390495867768607E-9</v>
      </c>
      <c r="BZ14">
        <v>1.010625737898465E-8</v>
      </c>
      <c r="CA14" s="23">
        <v>1.40849E-8</v>
      </c>
      <c r="CB14" s="23">
        <v>1.43997E-8</v>
      </c>
      <c r="CC14" s="23">
        <v>1.26458E-8</v>
      </c>
      <c r="CD14" s="23">
        <v>8.0317300000000003E-9</v>
      </c>
      <c r="CE14" s="23">
        <v>9.0941100000000006E-9</v>
      </c>
      <c r="CF14" s="23">
        <v>1.3700500000000001E-8</v>
      </c>
      <c r="CG14" s="23">
        <v>1.6515700000000001E-8</v>
      </c>
      <c r="CH14" s="23">
        <v>1.8271100000000001E-8</v>
      </c>
      <c r="CI14" s="23">
        <v>1.2778800000000001E-8</v>
      </c>
      <c r="CJ14" s="23">
        <v>1.85066E-8</v>
      </c>
      <c r="CK14" s="23">
        <v>1.6233699999999999E-8</v>
      </c>
      <c r="CL14" s="23">
        <v>1.6280699999999999E-8</v>
      </c>
      <c r="CM14" s="23">
        <v>1.5921500000000001E-8</v>
      </c>
      <c r="CN14" s="23">
        <v>1.1424500000000001E-8</v>
      </c>
      <c r="CO14" s="23">
        <v>1.5416999999999998E-8</v>
      </c>
      <c r="CP14" s="23">
        <v>1.3528800000000001E-8</v>
      </c>
      <c r="CQ14" s="23">
        <v>8.0667099999999997E-10</v>
      </c>
      <c r="CR14" s="23">
        <v>2.6478699999999999E-9</v>
      </c>
      <c r="CS14" s="23">
        <v>7.4969000000000004E-9</v>
      </c>
      <c r="CT14" s="23">
        <v>6.5208099999999999E-9</v>
      </c>
      <c r="CU14" s="23">
        <v>7.6711900000000007E-9</v>
      </c>
      <c r="CV14" s="23">
        <v>7.2672699999999999E-9</v>
      </c>
      <c r="CW14" s="23">
        <v>5.4905499999999998E-9</v>
      </c>
      <c r="CX14" s="23">
        <v>4.6633699999999998E-9</v>
      </c>
      <c r="CY14" s="23">
        <v>4.4877499999999999E-9</v>
      </c>
      <c r="CZ14" s="23">
        <v>5.3581800000000002E-9</v>
      </c>
      <c r="DA14" s="42">
        <v>6.8497638724911444E-9</v>
      </c>
      <c r="DB14" s="42">
        <v>8.8209858323494692E-9</v>
      </c>
      <c r="DC14" s="42">
        <v>8.9118949232585605E-9</v>
      </c>
      <c r="DD14" s="42">
        <v>1.1011806375442737E-8</v>
      </c>
      <c r="DE14" s="42">
        <v>9.5231700118063753E-9</v>
      </c>
      <c r="DF14" s="23">
        <v>1.0764200000000001E-8</v>
      </c>
      <c r="DG14" s="23">
        <v>1.10359E-8</v>
      </c>
      <c r="DH14" s="42">
        <v>7.8657024793388434E-9</v>
      </c>
      <c r="DI14" s="42">
        <v>5.7241735537190077E-9</v>
      </c>
      <c r="DJ14" s="42">
        <v>6.0699527744982291E-9</v>
      </c>
      <c r="DK14" s="42">
        <v>1.1289551357733176E-8</v>
      </c>
      <c r="DL14" s="42">
        <v>1.1725501770956316E-8</v>
      </c>
      <c r="DM14" s="42">
        <v>8.1757674144037789E-9</v>
      </c>
      <c r="DN14" s="42">
        <v>2.7169421487603306E-10</v>
      </c>
      <c r="DO14">
        <v>4.8775088547815817E-10</v>
      </c>
      <c r="DP14" t="s">
        <v>76</v>
      </c>
      <c r="DQ14">
        <v>1.2449822904368358E-9</v>
      </c>
      <c r="DR14">
        <v>6.4850944510035415E-9</v>
      </c>
      <c r="DS14" s="42">
        <v>2.4213400236127509E-9</v>
      </c>
      <c r="DT14">
        <v>2.9994096812278631E-9</v>
      </c>
      <c r="DU14" s="42">
        <v>1.0584710743801653E-8</v>
      </c>
      <c r="DV14" s="42">
        <v>4.6835891381345926E-9</v>
      </c>
      <c r="DW14" s="42" t="s">
        <v>76</v>
      </c>
      <c r="DX14" s="42">
        <v>8.3178866587957488E-9</v>
      </c>
      <c r="DY14" s="42">
        <v>5.1489079102715458E-9</v>
      </c>
      <c r="DZ14" s="42">
        <v>9.0081168831168826E-9</v>
      </c>
      <c r="EA14">
        <v>8.9030401416765058E-9</v>
      </c>
      <c r="EB14" s="42">
        <v>1.6547520661157026E-8</v>
      </c>
      <c r="EC14" s="42">
        <v>4.1183589138134599E-9</v>
      </c>
      <c r="ED14" s="42">
        <v>4.8561097992916174E-9</v>
      </c>
      <c r="EE14" s="42">
        <v>1.6618949232585597E-9</v>
      </c>
      <c r="EF14">
        <v>4.394037780401417E-9</v>
      </c>
      <c r="EG14" s="42">
        <v>1.1970188902007082E-9</v>
      </c>
      <c r="EH14" s="42">
        <v>5.1589433293978743E-9</v>
      </c>
      <c r="EI14" s="42">
        <v>3.8360389610389606E-9</v>
      </c>
      <c r="EJ14" s="42">
        <v>2.1922963400236133E-9</v>
      </c>
      <c r="EK14" s="42">
        <v>4.4372786304604494E-9</v>
      </c>
      <c r="EL14" s="42">
        <v>2.0494391971664697E-9</v>
      </c>
      <c r="EM14" s="42">
        <v>3.744687131050768E-9</v>
      </c>
      <c r="EN14" s="42">
        <v>7.3311688311688302E-9</v>
      </c>
      <c r="EO14" s="42">
        <v>5.2058736717827615E-9</v>
      </c>
      <c r="EP14" s="42">
        <v>1.1760920897284535E-8</v>
      </c>
      <c r="EQ14" s="42">
        <v>6.9065820543093275E-9</v>
      </c>
      <c r="ER14">
        <v>8.2764167650531275E-9</v>
      </c>
      <c r="ES14" s="42">
        <v>5.7622491145218411E-9</v>
      </c>
      <c r="ET14" s="42">
        <v>8.4307851239669417E-9</v>
      </c>
      <c r="EU14" s="42">
        <v>1.0026564344746163E-8</v>
      </c>
      <c r="EV14" s="42">
        <v>9.3958087367178265E-9</v>
      </c>
      <c r="EW14" s="42">
        <v>7.7017414403778045E-9</v>
      </c>
      <c r="EX14" s="42">
        <v>1.0910419126328215E-8</v>
      </c>
      <c r="EY14" s="42">
        <v>7.8537485242030694E-9</v>
      </c>
      <c r="EZ14" s="42">
        <v>2.8984651711924437E-9</v>
      </c>
      <c r="FA14" s="42">
        <v>1.6023317591499408E-8</v>
      </c>
      <c r="FB14" s="42">
        <v>2.0255755608028338E-8</v>
      </c>
      <c r="FC14" s="42">
        <v>2.772417355371901E-8</v>
      </c>
      <c r="FD14">
        <v>1.909961629279811E-8</v>
      </c>
      <c r="FE14" s="42">
        <v>2.1018152302243212E-8</v>
      </c>
      <c r="FF14" s="42">
        <v>2.7652744982290435E-8</v>
      </c>
      <c r="FG14" s="42">
        <v>2.2268595041322316E-8</v>
      </c>
      <c r="FH14" s="42">
        <v>2.2204250295159382E-8</v>
      </c>
      <c r="FI14" s="42">
        <v>2.9995425029515933E-8</v>
      </c>
      <c r="FJ14" t="s">
        <v>76</v>
      </c>
      <c r="FK14">
        <v>2.1062278630460449E-8</v>
      </c>
      <c r="FL14" t="s">
        <v>76</v>
      </c>
      <c r="FM14" s="8">
        <v>3.0739374262101535E-9</v>
      </c>
      <c r="FN14">
        <v>1.3640791027154663E-9</v>
      </c>
      <c r="FO14">
        <v>3.5613931523022426E-9</v>
      </c>
      <c r="FP14" s="8">
        <v>2.9579397874852422E-9</v>
      </c>
      <c r="FQ14" s="42">
        <v>5.1741440377804026E-10</v>
      </c>
      <c r="FR14" s="42">
        <v>3.1242621015348289E-10</v>
      </c>
      <c r="FS14" s="42">
        <v>8.0389610389610389E-8</v>
      </c>
      <c r="FT14" s="42">
        <v>2.0101829988193625E-9</v>
      </c>
      <c r="FU14" s="42">
        <v>1.1907039551357733E-7</v>
      </c>
      <c r="FV14" s="42">
        <v>1.3052626918536007E-7</v>
      </c>
      <c r="FW14" s="42">
        <v>5.5523907910271553E-9</v>
      </c>
      <c r="FX14" s="42">
        <v>1.1312131050767414E-8</v>
      </c>
      <c r="FY14" s="42" t="s">
        <v>76</v>
      </c>
      <c r="FZ14" s="42">
        <v>4.5081547087597021E-8</v>
      </c>
      <c r="GA14" s="42">
        <v>4.7133509032460383E-8</v>
      </c>
      <c r="GB14" s="42">
        <v>4.9612688317423276E-8</v>
      </c>
      <c r="GC14" s="42">
        <v>1.4368358913813458E-9</v>
      </c>
      <c r="GD14" s="42">
        <v>1.591499409681228E-9</v>
      </c>
      <c r="GE14" s="42" t="s">
        <v>76</v>
      </c>
      <c r="GF14" s="42">
        <v>5.2774498229043679E-10</v>
      </c>
      <c r="GG14" s="42">
        <v>5.6404958677685952E-9</v>
      </c>
      <c r="GH14" s="42">
        <v>9.5377804014167638E-9</v>
      </c>
      <c r="GI14" s="42">
        <v>1.0322215663124755E-8</v>
      </c>
      <c r="GJ14" s="42">
        <v>1.8545144628099178E-8</v>
      </c>
      <c r="GK14" s="42">
        <v>7.0881050767414405E-9</v>
      </c>
      <c r="GL14" s="42">
        <v>7.426652892561984E-9</v>
      </c>
      <c r="GM14" s="42">
        <v>1.4816558441558442E-8</v>
      </c>
      <c r="GN14" s="42">
        <v>6.6795055973624292E-9</v>
      </c>
      <c r="GO14" s="42">
        <v>5.7639099461751985E-9</v>
      </c>
      <c r="GP14" s="42">
        <v>5.6711453507730648E-9</v>
      </c>
      <c r="GQ14" s="42">
        <v>4.2328393936311649E-9</v>
      </c>
      <c r="GR14" s="42">
        <v>2.7147286007389008E-9</v>
      </c>
      <c r="GS14" s="42">
        <v>3.5057286679056193E-9</v>
      </c>
    </row>
    <row r="15" spans="1:201" x14ac:dyDescent="0.35">
      <c r="BI15" s="42"/>
      <c r="GN15" s="42"/>
      <c r="GO15" s="42"/>
      <c r="GP15" s="42"/>
    </row>
    <row r="16" spans="1:201" x14ac:dyDescent="0.35">
      <c r="BI16" s="42"/>
      <c r="BZ16" s="42"/>
      <c r="CA16" s="42"/>
      <c r="CB16" s="42"/>
      <c r="GN16" s="42"/>
      <c r="GO16" s="42"/>
      <c r="GP16" s="42"/>
    </row>
    <row r="17" spans="61:132" x14ac:dyDescent="0.35">
      <c r="BI17" s="42"/>
      <c r="BW17" s="42"/>
      <c r="BZ17" s="42"/>
      <c r="CA17" s="42"/>
      <c r="CB17" s="42"/>
      <c r="DT17" s="42"/>
    </row>
    <row r="18" spans="61:132" x14ac:dyDescent="0.35">
      <c r="BI18" s="42"/>
      <c r="BW18" s="42"/>
      <c r="BZ18" s="42"/>
      <c r="CA18" s="42"/>
      <c r="CB18" s="42"/>
      <c r="DT18" s="42"/>
    </row>
    <row r="19" spans="61:132" x14ac:dyDescent="0.35">
      <c r="BI19" s="42"/>
      <c r="BW19" s="42"/>
      <c r="BZ19" s="42"/>
      <c r="CA19" s="42"/>
      <c r="CB19" s="42"/>
      <c r="DT19" s="42"/>
    </row>
    <row r="20" spans="61:132" x14ac:dyDescent="0.35">
      <c r="BI20" s="42"/>
      <c r="BW20" s="42"/>
      <c r="BZ20" s="42"/>
      <c r="CA20" s="42"/>
      <c r="CB20" s="42"/>
      <c r="DT20" s="42"/>
    </row>
    <row r="21" spans="61:132" x14ac:dyDescent="0.35">
      <c r="BI21" s="42"/>
      <c r="BW21" s="42"/>
      <c r="BZ21" s="42"/>
      <c r="CA21" s="42"/>
      <c r="CB21" s="42"/>
      <c r="DT21" s="42"/>
    </row>
    <row r="22" spans="61:132" x14ac:dyDescent="0.35">
      <c r="BI22" s="42"/>
      <c r="BW22" s="42"/>
      <c r="BZ22" s="42"/>
      <c r="CA22" s="42"/>
      <c r="CB22" s="42"/>
      <c r="DT22" s="42"/>
    </row>
    <row r="23" spans="61:132" x14ac:dyDescent="0.35">
      <c r="BI23" s="42"/>
      <c r="BW23" s="42"/>
      <c r="BZ23" s="42"/>
      <c r="CA23" s="42"/>
      <c r="CB23" s="42"/>
      <c r="DT23" s="42"/>
    </row>
    <row r="24" spans="61:132" x14ac:dyDescent="0.35">
      <c r="BI24" s="42"/>
      <c r="BW24" s="42"/>
      <c r="BZ24" s="42"/>
      <c r="CA24" s="42"/>
      <c r="CB24" s="42"/>
      <c r="DT24" s="42"/>
    </row>
    <row r="25" spans="61:132" x14ac:dyDescent="0.35">
      <c r="BI25" s="42"/>
      <c r="BW25" s="42"/>
      <c r="BZ25" s="42"/>
      <c r="CA25" s="42"/>
      <c r="CB25" s="42"/>
      <c r="DT25" s="42"/>
    </row>
    <row r="26" spans="61:132" x14ac:dyDescent="0.35">
      <c r="BI26" s="42"/>
      <c r="BW26" s="42"/>
      <c r="BZ26" s="42"/>
      <c r="CA26" s="42"/>
      <c r="CB26" s="42"/>
      <c r="DT26" s="42"/>
      <c r="EB26" s="42"/>
    </row>
    <row r="27" spans="61:132" x14ac:dyDescent="0.35">
      <c r="BI27" s="42"/>
      <c r="DT27" s="42"/>
    </row>
    <row r="28" spans="61:132" x14ac:dyDescent="0.35">
      <c r="BI28" s="42"/>
      <c r="DT28" s="42"/>
    </row>
    <row r="29" spans="61:132" x14ac:dyDescent="0.35">
      <c r="BI29" s="42"/>
    </row>
    <row r="30" spans="61:132" x14ac:dyDescent="0.35">
      <c r="BI30" s="42"/>
    </row>
    <row r="31" spans="61:132" x14ac:dyDescent="0.35">
      <c r="BI31" s="42"/>
    </row>
    <row r="32" spans="61:132" x14ac:dyDescent="0.35">
      <c r="BI32" s="42"/>
    </row>
    <row r="33" spans="61:61" x14ac:dyDescent="0.35">
      <c r="BI33" s="4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S21"/>
  <sheetViews>
    <sheetView workbookViewId="0">
      <selection activeCell="GS3" sqref="A3:GS3"/>
    </sheetView>
  </sheetViews>
  <sheetFormatPr defaultRowHeight="14.5" x14ac:dyDescent="0.35"/>
  <cols>
    <col min="69" max="70" width="8.6328125" style="42"/>
  </cols>
  <sheetData>
    <row r="1" spans="1:201" x14ac:dyDescent="0.35">
      <c r="A1" t="s">
        <v>258</v>
      </c>
    </row>
    <row r="2" spans="1:201" s="42" customFormat="1" x14ac:dyDescent="0.35"/>
    <row r="3" spans="1:201" s="1" customFormat="1" ht="87" x14ac:dyDescent="0.35">
      <c r="A3" s="1" t="str">
        <f>'Formulation Name Data'!A160&amp;"_T1"</f>
        <v>D502W_CL_C8G3_DGBE_0.2_0.19_0.5_T1</v>
      </c>
      <c r="B3" s="1" t="str">
        <f>'Formulation Name Data'!A160&amp;"_T2"</f>
        <v>D502W_CL_C8G3_DGBE_0.2_0.19_0.5_T2</v>
      </c>
      <c r="C3" s="1" t="str">
        <f>'Formulation Name Data'!A160&amp;"_T3"</f>
        <v>D502W_CL_C8G3_DGBE_0.2_0.19_0.5_T3</v>
      </c>
      <c r="D3" s="1" t="str">
        <f>'Formulation Name Data'!A56&amp;"_T1"</f>
        <v>G215_0.5_T1</v>
      </c>
      <c r="E3" s="1" t="str">
        <f>'Formulation Name Data'!A56&amp;"_T2"</f>
        <v>G215_0.5_T2</v>
      </c>
      <c r="F3" s="1" t="str">
        <f>'Formulation Name Data'!A56&amp;"_T3"</f>
        <v>G215_0.5_T3</v>
      </c>
      <c r="G3" s="1" t="str">
        <f>'Formulation Name Data'!A33&amp;"_T1"</f>
        <v>D502W_G215_DGBE_0.075_0.05_0.5_T1</v>
      </c>
      <c r="H3" s="1" t="str">
        <f>'Formulation Name Data'!A33&amp;"_T2"</f>
        <v>D502W_G215_DGBE_0.075_0.05_0.5_T2</v>
      </c>
      <c r="I3" s="1" t="str">
        <f>'Formulation Name Data'!A33&amp;"_T3"</f>
        <v>D502W_G215_DGBE_0.075_0.05_0.5_T3</v>
      </c>
      <c r="J3" s="1" t="str">
        <f>'Formulation Name Data'!A98&amp;"_T1"</f>
        <v>ComSor1830503_T1</v>
      </c>
      <c r="K3" s="1" t="str">
        <f>'Formulation Name Data'!A98&amp;"_T2"</f>
        <v>ComSor1830503_T2</v>
      </c>
      <c r="L3" s="1" t="str">
        <f>'Formulation Name Data'!A99&amp;"_T1"</f>
        <v>ComSor_26990-95B_T1</v>
      </c>
      <c r="M3" s="1" t="str">
        <f>'Formulation Name Data'!A100&amp;"_T1"</f>
        <v>ComSor_26990-95C_T1</v>
      </c>
      <c r="N3" s="1" t="str">
        <f>'Formulation Name Data'!A100&amp;"_T2"</f>
        <v>ComSor_26990-95C_T2</v>
      </c>
      <c r="O3" s="1" t="str">
        <f>'Formulation Name Data'!A101&amp;"_T1"</f>
        <v>ComSor_26990-95D_T1</v>
      </c>
      <c r="P3" s="1" t="str">
        <f>'Formulation Name Data'!A101&amp;"_T2"</f>
        <v>ComSor_26990-95D_T2</v>
      </c>
      <c r="Q3" s="1" t="str">
        <f>'Formulation Name Data'!A102&amp;"_T1"</f>
        <v>D502W_C8SG2_DGBE_0.2_0.19_0.5_T1</v>
      </c>
      <c r="R3" s="1" t="str">
        <f>'Formulation Name Data'!A102&amp;"_T2"</f>
        <v>D502W_C8SG2_DGBE_0.2_0.19_0.5_T2</v>
      </c>
      <c r="S3" s="1" t="str">
        <f>'Formulation Name Data'!A102&amp;"_T3"</f>
        <v>D502W_C8SG2_DGBE_0.2_0.19_0.5_T3</v>
      </c>
      <c r="T3" s="1" t="str">
        <f>'Formulation Name Data'!A103&amp;"_T1"</f>
        <v>D502W_Cymal_DGBE_0.2_0.19_0.5_T1</v>
      </c>
      <c r="U3" s="1" t="str">
        <f>'Formulation Name Data'!A103&amp;"_T2"</f>
        <v>D502W_Cymal_DGBE_0.2_0.19_0.5_T2</v>
      </c>
      <c r="V3" s="1" t="str">
        <f>'Formulation Name Data'!A103&amp;"_T3"</f>
        <v>D502W_Cymal_DGBE_0.2_0.19_0.5_T3</v>
      </c>
      <c r="W3" s="1" t="str">
        <f>'Formulation Name Data'!A104&amp;"_T1"</f>
        <v>D502W_iC8G2_DGBE_0.2_0.19_0.5_T1</v>
      </c>
      <c r="X3" s="1" t="str">
        <f>'Formulation Name Data'!A104&amp;"_T2"</f>
        <v>D502W_iC8G2_DGBE_0.2_0.19_0.5_T2</v>
      </c>
      <c r="Y3" s="1" t="str">
        <f>'Formulation Name Data'!A104&amp;"_T3"</f>
        <v>D502W_iC8G2_DGBE_0.2_0.19_0.5_T3</v>
      </c>
      <c r="Z3" s="1" t="str">
        <f>'Formulation Name Data'!A105&amp;"_T1"</f>
        <v>D502W_C6G2_DGBE_0.2_0.19_0.5_T1</v>
      </c>
      <c r="AA3" s="1" t="str">
        <f>'Formulation Name Data'!A105&amp;"_T2"</f>
        <v>D502W_C6G2_DGBE_0.2_0.19_0.5_T2</v>
      </c>
      <c r="AB3" s="1" t="str">
        <f>'Formulation Name Data'!A105&amp;"_T3"</f>
        <v>D502W_C6G2_DGBE_0.2_0.19_0.5_T3</v>
      </c>
      <c r="AC3" s="1" t="str">
        <f>'Formulation Name Data'!A106&amp;"_T1"</f>
        <v>D502W_C9G2_DGBE_0.2_0.19_0.5_T1</v>
      </c>
      <c r="AD3" s="1" t="str">
        <f>'Formulation Name Data'!A106&amp;"_T2"</f>
        <v>D502W_C9G2_DGBE_0.2_0.19_0.5_T2</v>
      </c>
      <c r="AE3" s="1" t="str">
        <f>'Formulation Name Data'!A106&amp;"_T3"</f>
        <v>D502W_C9G2_DGBE_0.2_0.19_0.5_T3</v>
      </c>
      <c r="AF3" s="1" t="str">
        <f>'Formulation Name Data'!A107&amp;"_T1"</f>
        <v>D502W_C6G1_DGBE_0.2_0.19_0.5_T1</v>
      </c>
      <c r="AG3" s="1" t="str">
        <f>'Formulation Name Data'!A107&amp;"_T2"</f>
        <v>D502W_C6G1_DGBE_0.2_0.19_0.5_T2</v>
      </c>
      <c r="AH3" s="1" t="str">
        <f>'Formulation Name Data'!A107&amp;"_T3"</f>
        <v>D502W_C6G1_DGBE_0.2_0.19_0.5_T3</v>
      </c>
      <c r="AI3" s="1" t="str">
        <f>'Formulation Name Data'!A108&amp;"_T1"</f>
        <v>D502W_C7G1_DGBE_0.2_0.19_0.5_T1</v>
      </c>
      <c r="AJ3" s="1" t="str">
        <f>'Formulation Name Data'!A108&amp;"_T2"</f>
        <v>D502W_C7G1_DGBE_0.2_0.19_0.5_T2</v>
      </c>
      <c r="AK3" s="1" t="str">
        <f>'Formulation Name Data'!A108&amp;"_T3"</f>
        <v>D502W_C7G1_DGBE_0.2_0.19_0.5_T3</v>
      </c>
      <c r="AL3" s="1" t="str">
        <f>'Formulation Name Data'!A44&amp;"_T1"</f>
        <v>Cap_0.5_T1</v>
      </c>
      <c r="AM3" s="12" t="str">
        <f>'Formulation Name Data'!A44&amp;"_T2"</f>
        <v>Cap_0.5_T2</v>
      </c>
      <c r="AN3" s="1" t="str">
        <f>'Formulation Name Data'!A44&amp;"_T3"</f>
        <v>Cap_0.5_T3</v>
      </c>
      <c r="AO3" s="1" t="str">
        <f>'Formulation Name Data'!A41&amp;"_T1"</f>
        <v>G225_0.5_T1</v>
      </c>
      <c r="AP3" s="1" t="str">
        <f>'Formulation Name Data'!A41&amp;"_T2"</f>
        <v>G225_0.5_T2</v>
      </c>
      <c r="AQ3" s="1" t="str">
        <f>'Formulation Name Data'!A41&amp;"_T3"</f>
        <v>G225_0.5_T3</v>
      </c>
      <c r="AR3" s="1" t="str">
        <f>'Formulation Name Data'!A38&amp;"_T1"</f>
        <v>D502W_G225_0.2_0.3_T1</v>
      </c>
      <c r="AS3" s="1" t="str">
        <f>'Formulation Name Data'!A38&amp;"_T2"</f>
        <v>D502W_G225_0.2_0.3_T2</v>
      </c>
      <c r="AT3" s="1" t="str">
        <f>'Formulation Name Data'!A38&amp;"_T3"</f>
        <v>D502W_G225_0.2_0.3_T3</v>
      </c>
      <c r="AU3" s="1" t="str">
        <f>'Formulation Name Data'!A37&amp;"_T5"</f>
        <v>D502W_G225_DGBE_0.2_0.3_0.5_T5</v>
      </c>
      <c r="AV3" s="1" t="str">
        <f>'Formulation Name Data'!A37&amp;"_T6"</f>
        <v>D502W_G225_DGBE_0.2_0.3_0.5_T6</v>
      </c>
      <c r="AW3" s="1" t="str">
        <f>'Formulation Name Data'!A37&amp;"_T7"</f>
        <v>D502W_G225_DGBE_0.2_0.3_0.5_T7</v>
      </c>
      <c r="AX3" s="1" t="str">
        <f>'Formulation Name Data'!A109&amp;"_T1"</f>
        <v>G225_DGBE_0.3_0.5_T1</v>
      </c>
      <c r="AY3" s="1" t="str">
        <f>'Formulation Name Data'!A109&amp;"_T2"</f>
        <v>G225_DGBE_0.3_0.5_T2</v>
      </c>
      <c r="AZ3" s="1" t="str">
        <f>'Formulation Name Data'!A64&amp;"_T1"</f>
        <v>Avio®F3 Green KHC_T1</v>
      </c>
      <c r="BA3" s="1" t="str">
        <f>'Formulation Name Data'!A64&amp;"_T2"</f>
        <v>Avio®F3 Green KHC_T2</v>
      </c>
      <c r="BB3" s="1" t="str">
        <f>'Formulation Name Data'!A64&amp;"_T3"</f>
        <v>Avio®F3 Green KHC_T3</v>
      </c>
      <c r="BC3" s="1" t="str">
        <f>'Formulation Name Data'!A65&amp;"_T1"</f>
        <v>JetFoam 3%_T1</v>
      </c>
      <c r="BD3" s="1" t="str">
        <f>'Formulation Name Data'!A65&amp;"_T2"</f>
        <v>JetFoam 3%_T2</v>
      </c>
      <c r="BE3" s="1" t="str">
        <f>'Formulation Name Data'!A110&amp;"_T1"</f>
        <v>ComSor_EXP-21-CH1035-B_T1</v>
      </c>
      <c r="BF3" s="1" t="str">
        <f>'Formulation Name Data'!A110&amp;"_T2"</f>
        <v>ComSor_EXP-21-CH1035-B_T2</v>
      </c>
      <c r="BG3" s="1" t="str">
        <f>'Formulation Name Data'!A117&amp;"_T1"</f>
        <v>ComSor_EXP-21-CH1035-A_T1</v>
      </c>
      <c r="BH3" s="1" t="str">
        <f>'Formulation Name Data'!A117&amp;"_T2"</f>
        <v>ComSor_EXP-21-CH1035-A_T2</v>
      </c>
      <c r="BI3" s="12" t="str">
        <f>'Formulation Name Data'!A118&amp;"_T1"</f>
        <v>ComSor_EXP-21-CH1035-C_T1</v>
      </c>
      <c r="BJ3" s="1" t="str">
        <f>'Formulation Name Data'!A63&amp;"_T1"</f>
        <v>ComSor_EXP-21-1_T1</v>
      </c>
      <c r="BK3" s="6" t="str">
        <f>'Formulation Name Data'!A63&amp;"_T2"</f>
        <v>ComSor_EXP-21-1_T2</v>
      </c>
      <c r="BL3" s="12" t="str">
        <f>'Formulation Name Data'!A62&amp;"_T1"</f>
        <v>ComSor_EXP-21-2_T1</v>
      </c>
      <c r="BM3" s="12" t="str">
        <f>'Formulation Name Data'!A62&amp;"_T2"</f>
        <v>ComSor_EXP-21-2_T2</v>
      </c>
      <c r="BN3" s="1" t="str">
        <f>'Formulation Name Data'!A68&amp;"_T1"</f>
        <v>ComSor_EXP-21-3_T1</v>
      </c>
      <c r="BO3" s="6" t="str">
        <f>'Formulation Name Data'!A69&amp;"_T1"</f>
        <v>ComSor_EXP-21-5_T1</v>
      </c>
      <c r="BP3" s="1" t="str">
        <f>'Formulation Name Data'!A69&amp;"_T2"</f>
        <v>ComSor_EXP-21-5_T2</v>
      </c>
      <c r="BQ3" s="1" t="str">
        <f>'Formulation Name Data'!A70&amp;"_T1"</f>
        <v>ComSor_EXP-21-6_T1</v>
      </c>
      <c r="BR3" s="1" t="str">
        <f>'Formulation Name Data'!A70&amp;"_T2"</f>
        <v>ComSor_EXP-21-6_T2</v>
      </c>
      <c r="BS3" s="6" t="str">
        <f>'Formulation Name Data'!A71&amp;"_T1"</f>
        <v>ComSor_EXP-21-7_T1</v>
      </c>
      <c r="BT3" s="1" t="str">
        <f>'Formulation Name Data'!A71&amp;"_T2"</f>
        <v>ComSor_EXP-21-7_T2</v>
      </c>
      <c r="BU3" s="1" t="str">
        <f>'Formulation Name Data'!A8&amp;"_T1"</f>
        <v>Cap_G215_DGBE_0.3_0.2_0.5_T1</v>
      </c>
      <c r="BV3" s="1" t="str">
        <f>'Formulation Name Data'!A8&amp;"_T2"</f>
        <v>Cap_G215_DGBE_0.3_0.2_0.5_T2</v>
      </c>
      <c r="BW3" s="1" t="str">
        <f>'Formulation Name Data'!A37&amp;"_T1"</f>
        <v>D502W_G225_DGBE_0.2_0.3_0.5_T1</v>
      </c>
      <c r="BX3" s="1" t="str">
        <f>'Formulation Name Data'!A37&amp;"_T2"</f>
        <v>D502W_G225_DGBE_0.2_0.3_0.5_T2</v>
      </c>
      <c r="BY3" s="1" t="str">
        <f>'Formulation Name Data'!A37&amp;"_T3"</f>
        <v>D502W_G225_DGBE_0.2_0.3_0.5_T3</v>
      </c>
      <c r="BZ3" s="1" t="str">
        <f>'Formulation Name Data'!A37&amp;"_T4"</f>
        <v>D502W_G225_DGBE_0.2_0.3_0.5_T4</v>
      </c>
      <c r="CA3" s="1" t="str">
        <f>'Formulation Name Data'!A54&amp;"_T1"</f>
        <v>D502W_0.5_T1</v>
      </c>
      <c r="CB3" s="1" t="str">
        <f>'Formulation Name Data'!A54&amp;"_T2"</f>
        <v>D502W_0.5_T2</v>
      </c>
      <c r="CC3" s="1" t="str">
        <f>'Formulation Name Data'!A54&amp;"_T3"</f>
        <v>D502W_0.5_T3</v>
      </c>
      <c r="CD3" s="1" t="str">
        <f>'Formulation Name Data'!A55&amp;"_T1"</f>
        <v>D193_0.5_T1</v>
      </c>
      <c r="CE3" s="1" t="str">
        <f>'Formulation Name Data'!A55&amp;"_T2"</f>
        <v>D193_0.5_T2</v>
      </c>
      <c r="CF3" s="1" t="str">
        <f>'Formulation Name Data'!A42&amp;"_T1"</f>
        <v>D501W_0.5_T1</v>
      </c>
      <c r="CG3" s="1" t="str">
        <f>'Formulation Name Data'!A42&amp;"_T2"</f>
        <v>D501W_0.5_T2</v>
      </c>
      <c r="CH3" s="1" t="str">
        <f>'Formulation Name Data'!A42&amp;"_T3"</f>
        <v>D501W_0.5_T3</v>
      </c>
      <c r="CI3" s="1" t="str">
        <f>'Formulation Name Data'!A52&amp;"_T1"</f>
        <v>L77_0.5_T1</v>
      </c>
      <c r="CJ3" s="1" t="str">
        <f>'Formulation Name Data'!A52&amp;"_T2"</f>
        <v>L77_0.5_T2</v>
      </c>
      <c r="CK3" s="1" t="str">
        <f>'Formulation Name Data'!A52&amp;"_T3"</f>
        <v>L77_0.5_T3</v>
      </c>
      <c r="CL3" s="1" t="str">
        <f>'Formulation Name Data'!A43&amp;"_T2"</f>
        <v>D67_0.5_T2</v>
      </c>
      <c r="CM3" s="1" t="str">
        <f>'Formulation Name Data'!A43&amp;"_T3"</f>
        <v>D67_0.5_T3</v>
      </c>
      <c r="CN3" s="1" t="str">
        <f>'Formulation Name Data'!A53&amp;"_T1"</f>
        <v>Gel6185_0.5_T1</v>
      </c>
      <c r="CO3" s="1" t="str">
        <f>'Formulation Name Data'!A53&amp;"_T2"</f>
        <v>Gel6185_0.5_T2</v>
      </c>
      <c r="CP3" s="1" t="str">
        <f>'Formulation Name Data'!A53&amp;"_T3"</f>
        <v>Gel6185_0.5_T3</v>
      </c>
      <c r="CQ3" s="1" t="str">
        <f>'Formulation Name Data'!A32&amp;"_T1"</f>
        <v>D501W_G215_DGBE_0.04_0.027_0.5_T1</v>
      </c>
      <c r="CR3" s="1" t="str">
        <f>'Formulation Name Data'!A32&amp;"_T2"</f>
        <v>D501W_G215_DGBE_0.04_0.027_0.5_T2</v>
      </c>
      <c r="CS3" s="1" t="str">
        <f>'Formulation Name Data'!A35&amp;"_T1"</f>
        <v>L77_G215_DGBE_0.11_0.08_0.5_T1</v>
      </c>
      <c r="CT3" s="1" t="str">
        <f>'Formulation Name Data'!A35&amp;"_T2"</f>
        <v>L77_G215_DGBE_0.11_0.08_0.5_T2</v>
      </c>
      <c r="CU3" s="1" t="str">
        <f>'Formulation Name Data'!A36&amp;"_T1"</f>
        <v>D67_G215_DGBE_0.06_0.04_0.5_T1</v>
      </c>
      <c r="CV3" s="1" t="str">
        <f>'Formulation Name Data'!A36&amp;"_T2"</f>
        <v>D67_G215_DGBE_0.06_0.04_0.5_T2</v>
      </c>
      <c r="CW3" s="1" t="str">
        <f>'Formulation Name Data'!A36&amp;"_T3"</f>
        <v>D67_G215_DGBE_0.06_0.04_0.5_T3</v>
      </c>
      <c r="CX3" s="6" t="str">
        <f>'Formulation Name Data'!A45&amp;"_T1"</f>
        <v>Gel6185_G215_DGBE_0.06_0.04_0.5_T1</v>
      </c>
      <c r="CY3" s="1" t="str">
        <f>'Formulation Name Data'!A45&amp;"_T2"</f>
        <v>Gel6185_G215_DGBE_0.06_0.04_0.5_T2</v>
      </c>
      <c r="CZ3" s="1" t="str">
        <f>'Formulation Name Data'!A45&amp;"_T3"</f>
        <v>Gel6185_G215_DGBE_0.06_0.04_0.5_T3</v>
      </c>
      <c r="DA3" s="12" t="str">
        <f>'Formulation Name Data'!A120&amp;"_T1"</f>
        <v>NRL_N10477-03_G225_DGBE_0.2_0.3_0.5_T1</v>
      </c>
      <c r="DB3" s="12" t="str">
        <f>'Formulation Name Data'!A120&amp;"_T2"</f>
        <v>NRL_N10477-03_G225_DGBE_0.2_0.3_0.5_T2</v>
      </c>
      <c r="DC3" s="12" t="str">
        <f>'Formulation Name Data'!A120&amp;"_T3"</f>
        <v>NRL_N10477-03_G225_DGBE_0.2_0.3_0.5_T3</v>
      </c>
      <c r="DD3" s="12" t="str">
        <f>'Formulation Name Data'!A121&amp;"_T1"</f>
        <v>NRL_N10477-01_G225_DGBE_0.2_0.3_0.5_T1</v>
      </c>
      <c r="DE3" s="12" t="str">
        <f>'Formulation Name Data'!A121&amp;"_T2"</f>
        <v>NRL_N10477-01_G225_DGBE_0.2_0.3_0.5_T2</v>
      </c>
      <c r="DF3" s="12" t="str">
        <f>'Formulation Name Data'!A75&amp;"_T1"</f>
        <v>D193_G215_DGBE_0.3_0.2_0.5_T1</v>
      </c>
      <c r="DG3" s="12" t="str">
        <f>'Formulation Name Data'!A75&amp;"_T2"</f>
        <v>D193_G215_DGBE_0.3_0.2_0.5_T2</v>
      </c>
      <c r="DH3" s="12" t="str">
        <f>'Formulation Name Data'!A92&amp;"_T1"</f>
        <v>NRL_N10477-09_G225_DGBE_0.2_0.3_0.5_T1</v>
      </c>
      <c r="DI3" s="12" t="str">
        <f>'Formulation Name Data'!A92&amp;"_T2"</f>
        <v>NRL_N10477-09_G225_DGBE_0.2_0.3_0.5_T2</v>
      </c>
      <c r="DJ3" s="12" t="str">
        <f>'Formulation Name Data'!A92&amp;"_T3"</f>
        <v>NRL_N10477-09_G225_DGBE_0.2_0.3_0.5_T3</v>
      </c>
      <c r="DK3" s="12" t="str">
        <f>'Formulation Name Data'!A93&amp;"_T1"</f>
        <v>TrX100_G215_DGBE_0.06_0.04_0.5_T1</v>
      </c>
      <c r="DL3" s="12" t="str">
        <f>'Formulation Name Data'!A93&amp;"_T2"</f>
        <v>TrX100_G215_DGBE_0.06_0.04_0.5_T2</v>
      </c>
      <c r="DM3" s="12" t="str">
        <f>'Formulation Name Data'!A93&amp;"_T3"</f>
        <v>TrX100_G215_DGBE_0.06_0.04_0.5_T3</v>
      </c>
      <c r="DN3" s="12" t="str">
        <f>'Formulation Name Data'!A21&amp;"_T1"</f>
        <v>TrX45_G215_DGBE_0.022_0.015_0.5_T1</v>
      </c>
      <c r="DO3" s="12" t="str">
        <f>'Formulation Name Data'!A21&amp;"_T2"</f>
        <v>TrX45_G215_DGBE_0.022_0.015_0.5_T2</v>
      </c>
      <c r="DP3" s="6" t="str">
        <f>'Formulation Name Data'!A21&amp;"_T3"</f>
        <v>TrX45_G215_DGBE_0.022_0.015_0.5_T3</v>
      </c>
      <c r="DQ3" s="12" t="str">
        <f>'Formulation Name Data'!A22&amp;"_T1"</f>
        <v>TrX114_G215_DGBE_0.04_0.027_0.5_T1</v>
      </c>
      <c r="DR3" s="6" t="str">
        <f>'Formulation Name Data'!A22&amp;"_T2"</f>
        <v>TrX114_G215_DGBE_0.04_0.027_0.5_T2</v>
      </c>
      <c r="DS3" s="12" t="str">
        <f>'Formulation Name Data'!A22&amp;"_T3"</f>
        <v>TrX114_G215_DGBE_0.04_0.027_0.5_T3</v>
      </c>
      <c r="DT3" s="12" t="str">
        <f>'Formulation Name Data'!A20&amp;"_T1"</f>
        <v>T15-S-7_G215_DGBE_0.03_0.02_0.5_T1</v>
      </c>
      <c r="DU3" s="12" t="str">
        <f>'Formulation Name Data'!A20&amp;"_T2"</f>
        <v>T15-S-7_G215_DGBE_0.03_0.02_0.5_T2</v>
      </c>
      <c r="DV3" s="12" t="str">
        <f>'Formulation Name Data'!A20&amp;"_T3"</f>
        <v>T15-S-7_G215_DGBE_0.03_0.02_0.5_T3</v>
      </c>
      <c r="DW3" s="6" t="str">
        <f>'Formulation Name Data'!A114&amp;"_T1"</f>
        <v>T15-S-9_G215_DGBE_0.03_0.02_0.5_T1</v>
      </c>
      <c r="DX3" s="12" t="str">
        <f>'Formulation Name Data'!A114&amp;"_T2"</f>
        <v>T15-S-9_G215_DGBE_0.03_0.02_0.5_T2</v>
      </c>
      <c r="DY3" s="12" t="str">
        <f>'Formulation Name Data'!A114&amp;"_T3"</f>
        <v>T15-S-9_G215_DGBE_0.03_0.02_0.5_T3</v>
      </c>
      <c r="DZ3" s="12" t="str">
        <f>'Formulation Name Data'!A115&amp;"_T1"</f>
        <v>T15-S-12_G215_DGBE_0.03_0.02_0.5_T1</v>
      </c>
      <c r="EA3" s="12" t="str">
        <f>'Formulation Name Data'!A115&amp;"_T2"</f>
        <v>T15-S-12_G215_DGBE_0.03_0.02_0.5_T2</v>
      </c>
      <c r="EB3" s="12" t="str">
        <f>'Formulation Name Data'!A115&amp;"_T3"</f>
        <v>T15-S-12_G215_DGBE_0.03_0.02_0.5_T3</v>
      </c>
      <c r="EC3" s="12" t="str">
        <f>'Formulation Name Data'!A95&amp;"_T2"</f>
        <v>SDS_G215_DGBE_0.22_0.15_0.5_T2</v>
      </c>
      <c r="ED3" s="12" t="str">
        <f>'Formulation Name Data'!A95&amp;"_T3"</f>
        <v>SDS_G215_DGBE_0.22_0.15_0.5_T3</v>
      </c>
      <c r="EE3" s="12" t="str">
        <f>'Formulation Name Data'!A28&amp;"_T1"</f>
        <v>Mys_G215_DGBE_0.068_0.045_0.5_T1</v>
      </c>
      <c r="EF3" s="12" t="str">
        <f>'Formulation Name Data'!A28&amp;"_T2"</f>
        <v>Mys_G215_DGBE_0.068_0.045_0.5_T2</v>
      </c>
      <c r="EG3" s="12" t="str">
        <f>'Formulation Name Data'!A28&amp;"_T3"</f>
        <v>Mys_G215_DGBE_0.068_0.045_0.5_T3</v>
      </c>
      <c r="EH3" s="12" t="str">
        <f>'Formulation Name Data'!A94&amp;"_T1"</f>
        <v>Gel6492.6_G215_DGBE_0.06_0.04_0.5_T1</v>
      </c>
      <c r="EI3" s="12" t="str">
        <f>'Formulation Name Data'!A94&amp;"_T2"</f>
        <v>Gel6492.6_G215_DGBE_0.06_0.04_0.5_T2</v>
      </c>
      <c r="EJ3" s="12" t="str">
        <f>'Formulation Name Data'!A94&amp;"_T3"</f>
        <v>Gel6492.6_G215_DGBE_0.06_0.04_0.5_T3</v>
      </c>
      <c r="EK3" s="12" t="str">
        <f>'Formulation Name Data'!A96&amp;"_T1"</f>
        <v>NRL_N10477-12_G225_DGBE_0.2_0.3_0.5_T1</v>
      </c>
      <c r="EL3" s="12" t="str">
        <f>'Formulation Name Data'!A96&amp;"_T2"</f>
        <v>NRL_N10477-12_G225_DGBE_0.2_0.3_0.5_T2</v>
      </c>
      <c r="EM3" s="12" t="str">
        <f>'Formulation Name Data'!A96&amp;"_T3"</f>
        <v>NRL_N10477-12_G225_DGBE_0.2_0.3_0.5_T3</v>
      </c>
      <c r="EN3" s="12" t="str">
        <f>'Formulation Name Data'!A97&amp;"_T1"</f>
        <v>NRL_N10477-07_G225_DGBE_0.2_0.3_0.5_T1</v>
      </c>
      <c r="EO3" s="12" t="str">
        <f>'Formulation Name Data'!A97&amp;"_T2"</f>
        <v>NRL_N10477-07_G225_DGBE_0.2_0.3_0.5_T2</v>
      </c>
      <c r="EP3" s="12" t="str">
        <f>'Formulation Name Data'!A97&amp;"_T3"</f>
        <v>NRL_N10477-07_G225_DGBE_0.2_0.3_0.5_T3</v>
      </c>
      <c r="EQ3" s="12" t="str">
        <f>'Formulation Name Data'!A39&amp;"_T1"</f>
        <v>NRL_N10358-176_G225_DGBE_0.2_0.3_0.5_T1</v>
      </c>
      <c r="ER3" s="12" t="str">
        <f>'Formulation Name Data'!A39&amp;"_T2"</f>
        <v>NRL_N10358-176_G225_DGBE_0.2_0.3_0.5_T2</v>
      </c>
      <c r="ES3" s="12" t="str">
        <f>'Formulation Name Data'!A39&amp;"_T3"</f>
        <v>NRL_N10358-176_G225_DGBE_0.2_0.3_0.5_T3</v>
      </c>
      <c r="ET3" s="12" t="str">
        <f>'Formulation Name Data'!A116&amp;"_T1"</f>
        <v>NRL_N10477-05_G215_DGBE_0.2_0.3_0.5_T1</v>
      </c>
      <c r="EU3" s="12" t="str">
        <f>'Formulation Name Data'!A116&amp;"_T2"</f>
        <v>NRL_N10477-05_G215_DGBE_0.2_0.3_0.5_T2</v>
      </c>
      <c r="EV3" s="12" t="str">
        <f>'Formulation Name Data'!A116&amp;"_T3"</f>
        <v>NRL_N10477-05_G215_DGBE_0.2_0.3_0.5_T3</v>
      </c>
      <c r="EW3" s="12" t="str">
        <f>'Formulation Name Data'!A40&amp;"_T1"</f>
        <v>NRL_N10358-174_G225_DGBE_0.2_0.3_0.5_T1</v>
      </c>
      <c r="EX3" s="12" t="str">
        <f>'Formulation Name Data'!A40&amp;"_T2"</f>
        <v>NRL_N10358-174_G225_DGBE_0.2_0.3_0.5_T2</v>
      </c>
      <c r="EY3" s="12" t="str">
        <f>'Formulation Name Data'!A40&amp;"_T3"</f>
        <v>NRL_N10358-174_G225_DGBE_0.2_0.3_0.5_T3</v>
      </c>
      <c r="EZ3" s="6" t="str">
        <f>'Formulation Name Data'!A46&amp;"_T1"</f>
        <v>ComSor181360_G225_DGBE_0.2_0.3_0.5_T1</v>
      </c>
      <c r="FA3" s="12" t="str">
        <f>'Formulation Name Data'!A48&amp;"_T1"</f>
        <v>D502W_C8G2_DGBE_0.2_0.19_0.5_T1</v>
      </c>
      <c r="FB3" s="12" t="str">
        <f>'Formulation Name Data'!A48&amp;"_T2"</f>
        <v>D502W_C8G2_DGBE_0.2_0.19_0.5_T2</v>
      </c>
      <c r="FC3" s="12" t="str">
        <f>'Formulation Name Data'!A48&amp;"_T3"</f>
        <v>D502W_C8G2_DGBE_0.2_0.19_0.5_T3</v>
      </c>
      <c r="FD3" s="12" t="str">
        <f>'Formulation Name Data'!A51&amp;"_T1"</f>
        <v>D502W_C8G1_DGBE_0.2_0.19_0.5_T1</v>
      </c>
      <c r="FE3" s="12" t="str">
        <f>'Formulation Name Data'!A51&amp;"_T2"</f>
        <v>D502W_C8G1_DGBE_0.2_0.19_0.5_T2</v>
      </c>
      <c r="FF3" s="12" t="str">
        <f>'Formulation Name Data'!A51&amp;"_T3"</f>
        <v>D502W_C8G1_DGBE_0.2_0.19_0.5_T3</v>
      </c>
      <c r="FG3" s="12" t="str">
        <f>'Formulation Name Data'!A49&amp;"_T1"</f>
        <v>D502W_C10G2_DGBE_0.2_0.19_0.5_T1</v>
      </c>
      <c r="FH3" s="12" t="str">
        <f>'Formulation Name Data'!A49&amp;"_T2"</f>
        <v>D502W_C10G2_DGBE_0.2_0.19_0.5_T2</v>
      </c>
      <c r="FI3" s="12" t="str">
        <f>'Formulation Name Data'!A50&amp;"_T3"</f>
        <v>D502W_C12G2_DGBE_0.2_0.19_0.5_T3</v>
      </c>
      <c r="FJ3" s="6" t="str">
        <f>'Formulation Name Data'!A187&amp;"_T1"</f>
        <v>NRL_N10478-240_G225_DGBE_#_0.3_0.5_T1</v>
      </c>
      <c r="FK3" s="6" t="str">
        <f>'Formulation Name Data'!A187&amp;"_T2"</f>
        <v>NRL_N10478-240_G225_DGBE_#_0.3_0.5_T2</v>
      </c>
      <c r="FL3" s="6" t="str">
        <f>'Formulation Name Data'!A188&amp;"_T1"</f>
        <v>CL_MD2102-90_G225_DGBE_0.2_0.3_0.5_T1</v>
      </c>
      <c r="FM3" s="6" t="str">
        <f>'Formulation Name Data'!A189&amp;"_T1"</f>
        <v>CL_MD2102-112_G225_DGBE_0.05_0.3_0.5_T1</v>
      </c>
      <c r="FN3" s="12" t="str">
        <f>'Formulation Name Data'!A189&amp;"_T2"</f>
        <v>CL_MD2102-112_G225_DGBE_0.05_0.3_0.5_T2</v>
      </c>
      <c r="FO3" s="12" t="str">
        <f>'Formulation Name Data'!A191&amp;"_T1"</f>
        <v>ComSor_EXP-21-CH1070-1_3_T1</v>
      </c>
      <c r="FP3" s="12" t="str">
        <f>'Formulation Name Data'!A191&amp;"_T2"</f>
        <v>ComSor_EXP-21-CH1070-1_3_T2</v>
      </c>
      <c r="FQ3" s="12" t="str">
        <f>'Formulation Name Data'!A190&amp;"_T1"</f>
        <v>CL_MD2102-118_G225_DGBE_0.2_0.3_0.5_T1</v>
      </c>
      <c r="FR3" s="12" t="str">
        <f>'Formulation Name Data'!A190&amp;"_T2"</f>
        <v>CL_MD2102-118_G225_DGBE_0.2_0.3_0.5_T2</v>
      </c>
      <c r="FS3" s="12" t="str">
        <f>'Formulation Name Data'!A192&amp;"_T1"</f>
        <v>ComSor_EXP-21-CH1070-2_3_T1</v>
      </c>
      <c r="FT3" s="12" t="str">
        <f>'Formulation Name Data'!A192&amp;"_T2"</f>
        <v>ComSor_EXP-21-CH1070-2_3_T2</v>
      </c>
      <c r="FU3" s="6" t="str">
        <f>'Formulation Name Data'!A193&amp;"_T1"</f>
        <v>ComSor_EXP-21-CH1070-4_1_T1</v>
      </c>
      <c r="FV3" s="12" t="str">
        <f>'Formulation Name Data'!A193&amp;"_T2"</f>
        <v>ComSor_EXP-21-CH1070-4_1_T2</v>
      </c>
      <c r="FW3" s="12" t="str">
        <f>'Formulation Name Data'!A182&amp;"_T1"</f>
        <v>NRL_LBII43_G225_DGBE_0.2_0.3_0.5_T1</v>
      </c>
      <c r="FX3" s="12" t="str">
        <f>'Formulation Name Data'!A182&amp;"_T2"</f>
        <v>NRL_LBII43_G225_DGBE_0.2_0.3_0.5_T2</v>
      </c>
      <c r="FY3" s="6" t="str">
        <f>'Formulation Name Data'!A185&amp;"_T1"</f>
        <v>NRL_N10478-227_G225_DGBE_0.063_0.3_0.5_T1</v>
      </c>
      <c r="FZ3" s="1" t="str">
        <f>'Formulation Name Data'!A72&amp;"_T1"</f>
        <v>D502W_DGBE_0.1_0.5_T1</v>
      </c>
      <c r="GA3" s="1" t="str">
        <f>'Formulation Name Data'!A72&amp;"_T2"</f>
        <v>D502W_DGBE_0.1_0.5_T2</v>
      </c>
      <c r="GB3" s="1" t="str">
        <f>'Formulation Name Data'!A72&amp;"_T3"</f>
        <v>D502W_DGBE_0.1_0.5_T3</v>
      </c>
      <c r="GC3" s="1" t="str">
        <f>'Formulation Name Data'!A183&amp;"_T1"</f>
        <v>NRL_CB_DTBTS_SB_G225_DGBE_0.02_0.3_0.5_T1</v>
      </c>
      <c r="GD3" s="1" t="str">
        <f>'Formulation Name Data'!A183&amp;"_T2"</f>
        <v>NRL_CB_DTBTS_SB_G225_DGBE_0.02_0.3_0.5_T2</v>
      </c>
      <c r="GE3" s="6" t="str">
        <f>'Formulation Name Data'!A184&amp;"_T1"</f>
        <v>NRL_CB-1-123_G225_DGBE_0.2_0.3_0.5_T1</v>
      </c>
      <c r="GF3" s="6" t="str">
        <f>'Formulation Name Data'!A138&amp;"_T1"</f>
        <v>CL_MD2086-97_G225_DGBE_0.34_0.56_0.5_T1</v>
      </c>
      <c r="GG3" s="1" t="str">
        <f>'Formulation Name Data'!A67&amp;"_T1"</f>
        <v>FomtecEnviroUSP 3%_T1</v>
      </c>
      <c r="GH3" s="1" t="str">
        <f>'Formulation Name Data'!A67&amp;"_T2"</f>
        <v>FomtecEnviroUSP 3%_T2</v>
      </c>
      <c r="GI3" s="6" t="str">
        <f>'Formulation Name Data'!A66&amp;"_T1"</f>
        <v>Solberg® Rehealing RF3 3%_T1</v>
      </c>
      <c r="GJ3" s="1" t="str">
        <f>'Formulation Name Data'!A66&amp;"_T2"</f>
        <v>Solberg® Rehealing RF3 3%_T2</v>
      </c>
      <c r="GK3" s="12" t="str">
        <f>'Formulation Name Data'!A197&amp;"_T1"</f>
        <v>NRL_CB-1-192_G225_DGBE_0.14_0.21_0.5_T1</v>
      </c>
      <c r="GL3" s="12" t="str">
        <f>'Formulation Name Data'!A197&amp;"_T2"</f>
        <v>NRL_CB-1-192_G225_DGBE_0.14_0.21_0.5_T2</v>
      </c>
      <c r="GM3" s="6" t="str">
        <f>'Formulation Name Data'!A166&amp;"_T1"</f>
        <v>ComSor_EXP-22-CH1050_T1</v>
      </c>
      <c r="GN3" s="6" t="str">
        <f>'Formulation Name Data'!A111&amp;"_T1"</f>
        <v>G225_DGBE_0.5_0.5_T1</v>
      </c>
      <c r="GO3" s="12" t="str">
        <f>'Formulation Name Data'!A111&amp;"_T2"</f>
        <v>G225_DGBE_0.5_0.5_T2</v>
      </c>
      <c r="GP3" s="12" t="str">
        <f>'Formulation Name Data'!A111&amp;"_T3"</f>
        <v>G225_DGBE_0.5_0.5_T3</v>
      </c>
      <c r="GQ3" s="12" t="str">
        <f>'Formulation Name Data'!A112&amp;"_T1"</f>
        <v>G600_DGBE_0.5_0.5_T1</v>
      </c>
      <c r="GR3" s="12" t="str">
        <f>'Formulation Name Data'!A112&amp;"_T2"</f>
        <v>G600_DGBE_0.5_0.5_T2</v>
      </c>
      <c r="GS3" s="12" t="str">
        <f>'Formulation Name Data'!A112&amp;"_T3"</f>
        <v>G600_DGBE_0.5_0.5_T3</v>
      </c>
    </row>
    <row r="4" spans="1:201" x14ac:dyDescent="0.35">
      <c r="A4" s="42">
        <v>1.11647309277226E-2</v>
      </c>
      <c r="B4" s="42">
        <v>1.0478597433527701E-2</v>
      </c>
      <c r="C4" s="42">
        <v>5.0743263924103599E-3</v>
      </c>
      <c r="D4" s="42">
        <v>8.8801753008890805E-4</v>
      </c>
      <c r="E4" s="42">
        <v>6.1429773792452203E-4</v>
      </c>
      <c r="F4" s="42">
        <v>6.2591330560242398E-4</v>
      </c>
      <c r="G4" s="42">
        <v>1.1645518865156499E-3</v>
      </c>
      <c r="H4" s="42">
        <v>1.12001659170596E-3</v>
      </c>
      <c r="I4" s="42">
        <v>1.03292799258167E-3</v>
      </c>
      <c r="J4" s="42">
        <v>7.5822112333180803E-3</v>
      </c>
      <c r="K4" s="42">
        <v>6.8322742739718098E-3</v>
      </c>
      <c r="L4" s="42">
        <v>3.78565272431394E-3</v>
      </c>
      <c r="M4" s="42">
        <v>5.2036112502488602E-3</v>
      </c>
      <c r="N4" s="42">
        <v>7.8921511421303908E-3</v>
      </c>
      <c r="O4" s="42">
        <v>2.6127533180747798E-3</v>
      </c>
      <c r="P4" s="42">
        <v>2.9938271612258201E-3</v>
      </c>
      <c r="Q4" s="42">
        <v>1.14933873903582E-2</v>
      </c>
      <c r="R4" s="42">
        <v>1.2431977636402801E-2</v>
      </c>
      <c r="S4" s="42">
        <v>1.3399259396305201E-2</v>
      </c>
      <c r="T4" s="42">
        <v>1.01210236678081E-2</v>
      </c>
      <c r="U4" s="42">
        <v>1.11860742171825E-2</v>
      </c>
      <c r="V4" s="42">
        <v>3.3787080958698402E-2</v>
      </c>
      <c r="W4" s="42">
        <v>1.35105694648609E-2</v>
      </c>
      <c r="X4" s="42">
        <v>1.8360951433960101E-2</v>
      </c>
      <c r="Y4" s="42">
        <v>1.18278110214164E-2</v>
      </c>
      <c r="Z4" s="42">
        <v>1.00495276904486E-2</v>
      </c>
      <c r="AA4" s="42">
        <v>7.3262740896774901E-3</v>
      </c>
      <c r="AB4" s="42">
        <v>1.0656454687948499E-2</v>
      </c>
      <c r="AC4" s="42">
        <v>1.4553363921556201E-2</v>
      </c>
      <c r="AD4" s="42">
        <v>8.2057385786644399E-3</v>
      </c>
      <c r="AE4" s="42">
        <v>1.39270846414132E-2</v>
      </c>
      <c r="AF4" s="42">
        <v>7.7680673113154396E-3</v>
      </c>
      <c r="AG4" s="42">
        <v>8.1354414161467093E-3</v>
      </c>
      <c r="AH4" s="42">
        <v>7.5743624662194704E-3</v>
      </c>
      <c r="AI4" s="42">
        <v>1.3436643379418099E-2</v>
      </c>
      <c r="AJ4" s="42">
        <v>1.2023055260413199E-2</v>
      </c>
      <c r="AK4" s="42">
        <v>1.0208829913741601E-2</v>
      </c>
      <c r="AL4" s="42">
        <v>4.0210580277747702E-4</v>
      </c>
      <c r="AM4" s="43">
        <v>5.5788506542042097E-4</v>
      </c>
      <c r="AN4" s="42">
        <v>9.0729380313370395E-4</v>
      </c>
      <c r="AO4" s="42">
        <v>4.2561818104735598E-4</v>
      </c>
      <c r="AP4" s="42">
        <v>6.1559258701752604E-4</v>
      </c>
      <c r="AQ4" s="42">
        <v>4.9359179164509099E-4</v>
      </c>
      <c r="AR4" s="42">
        <v>1.12624676891708E-3</v>
      </c>
      <c r="AS4" s="42">
        <v>1.0112754400229101E-3</v>
      </c>
      <c r="AT4" s="42">
        <v>1.0878645556755199E-3</v>
      </c>
      <c r="AU4" s="42">
        <v>1.26631147088671E-3</v>
      </c>
      <c r="AV4" s="42">
        <v>1.5804581884513601E-3</v>
      </c>
      <c r="AW4" s="42">
        <v>1.13397728739941E-3</v>
      </c>
      <c r="AX4" s="42">
        <v>1.73046266346013E-3</v>
      </c>
      <c r="AY4" s="42">
        <v>8.64228960320879E-4</v>
      </c>
      <c r="AZ4" s="42">
        <v>1.0619126218534101E-3</v>
      </c>
      <c r="BA4" s="42">
        <v>1.72816620938918E-3</v>
      </c>
      <c r="BB4" s="42">
        <v>3.8583198909757403E-4</v>
      </c>
      <c r="BC4" s="42">
        <v>7.28718747507731E-4</v>
      </c>
      <c r="BD4" s="42">
        <v>8.66921512686872E-4</v>
      </c>
      <c r="BE4" s="42">
        <v>1.7076334359616301E-2</v>
      </c>
      <c r="BF4" s="42">
        <v>2.9993957883375898E-2</v>
      </c>
      <c r="BG4" s="42">
        <v>5.0097706332728198E-3</v>
      </c>
      <c r="BH4" s="42">
        <v>5.1096520657419901E-3</v>
      </c>
      <c r="BI4" s="43">
        <v>5.7928932064682803E-3</v>
      </c>
      <c r="BJ4" s="42">
        <v>5.6656869331212498E-4</v>
      </c>
      <c r="BK4" s="29">
        <v>1.1999578681870101E-4</v>
      </c>
      <c r="BL4" s="43">
        <v>2.9114473565809598E-4</v>
      </c>
      <c r="BM4" s="43">
        <v>2.3942032202629201E-4</v>
      </c>
      <c r="BN4" s="23">
        <v>1.0075390357618201E-5</v>
      </c>
      <c r="BO4" s="46">
        <v>9.4006563026556496E-5</v>
      </c>
      <c r="BP4" s="23">
        <v>6.4484498286754104E-5</v>
      </c>
      <c r="BQ4" s="42">
        <v>1.6663313542179299E-4</v>
      </c>
      <c r="BR4" s="42">
        <v>1.06652491392567E-4</v>
      </c>
      <c r="BS4" s="29">
        <v>1.7086971347263899E-4</v>
      </c>
      <c r="BT4" s="42">
        <v>1.75776234191601E-4</v>
      </c>
      <c r="BU4" s="42">
        <v>1.34700236282608E-4</v>
      </c>
      <c r="BV4" s="42">
        <v>1.2746812673998799E-4</v>
      </c>
      <c r="BW4" s="42">
        <v>1.54119753381289E-3</v>
      </c>
      <c r="BX4" s="42">
        <v>1.4851379323585E-3</v>
      </c>
      <c r="BY4" s="42">
        <v>1.2017896591773999E-3</v>
      </c>
      <c r="BZ4" s="42">
        <v>9.3361266648453499E-4</v>
      </c>
      <c r="CA4" s="42">
        <v>4.6660486265778598E-3</v>
      </c>
      <c r="CB4" s="42">
        <v>4.5381775948849599E-3</v>
      </c>
      <c r="CC4" s="42">
        <v>3.08721527202229E-3</v>
      </c>
      <c r="CD4" s="42">
        <v>3.3000208052350699E-3</v>
      </c>
      <c r="CE4" s="42">
        <v>4.14187996365696E-3</v>
      </c>
      <c r="CF4" s="42">
        <v>2.3777424311105001E-3</v>
      </c>
      <c r="CG4" s="42">
        <v>1.54427643645567E-3</v>
      </c>
      <c r="CH4" s="42">
        <v>2.4308353343126901E-3</v>
      </c>
      <c r="CI4" s="42">
        <v>1.6500900405416101E-3</v>
      </c>
      <c r="CJ4" s="42">
        <v>2.6233947243193998E-3</v>
      </c>
      <c r="CK4" s="42">
        <v>2.7196658352777099E-3</v>
      </c>
      <c r="CL4" s="42">
        <v>5.1595090099734698E-4</v>
      </c>
      <c r="CM4" s="42">
        <v>5.4529318869271496E-4</v>
      </c>
      <c r="CN4" s="42">
        <v>1.57194735032494E-3</v>
      </c>
      <c r="CO4" s="42">
        <v>1.3741722031316999E-3</v>
      </c>
      <c r="CP4" s="42">
        <v>9.8851047227208402E-4</v>
      </c>
      <c r="CQ4" s="42">
        <v>1.07809283354247E-4</v>
      </c>
      <c r="CR4" s="42">
        <v>4.3171911613845303E-4</v>
      </c>
      <c r="CS4" s="42">
        <v>2.3459242437187501E-4</v>
      </c>
      <c r="CT4" s="42">
        <v>3.77438298086822E-4</v>
      </c>
      <c r="CU4" s="42">
        <v>3.8533446428195401E-4</v>
      </c>
      <c r="CV4" s="42">
        <v>5.4875565718075898E-4</v>
      </c>
      <c r="CW4" s="42">
        <v>4.2630363614514101E-4</v>
      </c>
      <c r="CX4" s="29">
        <v>1.74320335206921E-4</v>
      </c>
      <c r="CY4" s="42">
        <v>4.6133565008742302E-4</v>
      </c>
      <c r="CZ4" s="42">
        <v>4.5631988009748199E-4</v>
      </c>
      <c r="DA4" s="42">
        <v>2.5168791191990499E-4</v>
      </c>
      <c r="DB4" s="42">
        <v>7.2757481305270604E-4</v>
      </c>
      <c r="DC4" s="42">
        <v>3.7683347103190199E-4</v>
      </c>
      <c r="DD4" s="42">
        <v>1.2600489370811999E-3</v>
      </c>
      <c r="DE4" s="42">
        <v>9.5975596521339496E-4</v>
      </c>
      <c r="DF4" s="42">
        <v>6.9066014304351297E-4</v>
      </c>
      <c r="DG4" s="42">
        <v>7.8604882087308502E-4</v>
      </c>
      <c r="DH4" s="42">
        <v>1.04007453770197E-3</v>
      </c>
      <c r="DI4" s="42">
        <v>1.29406978494086E-3</v>
      </c>
      <c r="DJ4" s="42">
        <v>1.36960522683625E-3</v>
      </c>
      <c r="DK4" s="42">
        <v>8.89192404172749E-4</v>
      </c>
      <c r="DL4" s="42">
        <v>1.6107439421896999E-3</v>
      </c>
      <c r="DM4" s="42">
        <v>1.81277221757405E-3</v>
      </c>
      <c r="DN4" s="43">
        <v>2.87583504406125E-4</v>
      </c>
      <c r="DO4" s="42">
        <v>4.19965330297069E-4</v>
      </c>
      <c r="DP4" s="29">
        <v>8.6596650842176597E-4</v>
      </c>
      <c r="DQ4" s="42">
        <v>4.2500125709057799E-4</v>
      </c>
      <c r="DR4" s="29">
        <v>6.33127585399418E-4</v>
      </c>
      <c r="DS4" s="42">
        <v>7.06590632671967E-4</v>
      </c>
      <c r="DT4" s="42">
        <v>6.9242159752501702E-4</v>
      </c>
      <c r="DU4" s="42">
        <v>2.2057038039829499E-3</v>
      </c>
      <c r="DV4" s="42">
        <v>7.4646851271391605E-4</v>
      </c>
      <c r="DW4" s="29">
        <v>2.2253661367070401E-3</v>
      </c>
      <c r="DX4" s="42">
        <v>7.2833168158948703E-4</v>
      </c>
      <c r="DY4" s="42">
        <v>4.0016043991657798E-4</v>
      </c>
      <c r="DZ4" s="43">
        <v>7.9316627407587798E-4</v>
      </c>
      <c r="EA4" s="42">
        <v>8.4701938267019703E-4</v>
      </c>
      <c r="EB4" s="43">
        <v>1.45632015467891E-3</v>
      </c>
      <c r="EC4" s="42">
        <v>5.8819764115569098E-4</v>
      </c>
      <c r="ED4" s="42">
        <v>4.1963849857897602E-4</v>
      </c>
      <c r="EE4" s="42">
        <v>4.7485546857315499E-4</v>
      </c>
      <c r="EF4" s="42">
        <v>8.0289366652476003E-4</v>
      </c>
      <c r="EG4" s="42">
        <v>2.9491236421196298E-4</v>
      </c>
      <c r="EH4" s="43">
        <v>4.7810751830061198E-4</v>
      </c>
      <c r="EI4" s="42">
        <v>4.2691189410862203E-4</v>
      </c>
      <c r="EJ4" s="42">
        <v>2.4848953511403399E-4</v>
      </c>
      <c r="EK4" s="42">
        <v>8.4665444758973696E-3</v>
      </c>
      <c r="EL4" s="42">
        <v>1.0910020247761601E-3</v>
      </c>
      <c r="EM4" s="43">
        <v>1.10427101919267E-3</v>
      </c>
      <c r="EN4" s="42">
        <v>1.2153239719850501E-3</v>
      </c>
      <c r="EO4" s="42">
        <v>8.86657384417742E-4</v>
      </c>
      <c r="EP4" s="42">
        <v>1.4250663207569399E-3</v>
      </c>
      <c r="EQ4" s="42">
        <v>1.0730421024939499E-3</v>
      </c>
      <c r="ER4" s="42">
        <v>1.25581293250472E-3</v>
      </c>
      <c r="ES4" s="42">
        <v>8.7008350294333499E-4</v>
      </c>
      <c r="ET4" s="42">
        <v>1.4566460103341899E-3</v>
      </c>
      <c r="EU4" s="42">
        <v>1.69153797173435E-3</v>
      </c>
      <c r="EV4" s="42">
        <v>2.0650091578336902E-3</v>
      </c>
      <c r="EW4" s="42">
        <v>2.0514477729587301E-3</v>
      </c>
      <c r="EX4" s="42">
        <v>2.1258863742512199E-3</v>
      </c>
      <c r="EY4" s="42">
        <v>8.9029083402881798E-4</v>
      </c>
      <c r="EZ4" s="29">
        <v>1.2647560564984801E-3</v>
      </c>
      <c r="FA4" s="42">
        <v>8.1940851541157309E-3</v>
      </c>
      <c r="FB4" s="42">
        <v>9.64035939353175E-3</v>
      </c>
      <c r="FC4" s="42">
        <v>1.42624458842599E-2</v>
      </c>
      <c r="FD4" s="42">
        <v>1.16188982305116E-2</v>
      </c>
      <c r="FE4" s="42">
        <v>8.5569513041149296E-3</v>
      </c>
      <c r="FF4" s="42">
        <v>9.3393128922447596E-3</v>
      </c>
      <c r="FG4" s="42">
        <v>1.1380850848098799E-2</v>
      </c>
      <c r="FH4" s="42">
        <v>1.11681394745154E-2</v>
      </c>
      <c r="FI4" s="42">
        <v>5.9620818054242197E-3</v>
      </c>
      <c r="FJ4" s="29">
        <v>9.8099779486561208E-4</v>
      </c>
      <c r="FK4" s="29">
        <v>1.4465535111344099E-4</v>
      </c>
      <c r="FL4" s="29">
        <v>8.4174139436722097E-4</v>
      </c>
      <c r="FM4" s="29">
        <v>3.7269008161415701E-4</v>
      </c>
      <c r="FN4" s="42">
        <v>2.2226251112644901E-4</v>
      </c>
      <c r="FO4" s="23">
        <v>7.9687494624219998E-5</v>
      </c>
      <c r="FP4" s="23">
        <v>6.5483346918705104E-5</v>
      </c>
      <c r="FQ4" s="42">
        <v>1.4222287986142499E-4</v>
      </c>
      <c r="FR4" s="42">
        <v>2.3911771012446E-4</v>
      </c>
      <c r="FS4" s="42">
        <v>1.7493496443145001E-3</v>
      </c>
      <c r="FT4" s="23">
        <v>5.7474202652939201E-5</v>
      </c>
      <c r="FU4" s="29">
        <v>1.7414062193269199E-4</v>
      </c>
      <c r="FV4" s="42">
        <v>3.4854421875000103E-4</v>
      </c>
      <c r="FW4" s="42">
        <v>2.4786776654543998E-3</v>
      </c>
      <c r="FX4" s="42">
        <v>1.5220384919444299E-3</v>
      </c>
      <c r="FY4" s="46">
        <v>9.6157553654517504E+20</v>
      </c>
      <c r="FZ4" s="42">
        <v>4.1623114987036301E-4</v>
      </c>
      <c r="GA4" s="42">
        <v>4.5121051705699702E-3</v>
      </c>
      <c r="GB4" s="42">
        <v>5.5469078732373802E-3</v>
      </c>
      <c r="GC4" s="42">
        <v>1.82662840175623E-4</v>
      </c>
      <c r="GD4" s="42">
        <v>1.76906215931901E-4</v>
      </c>
      <c r="GE4" s="29">
        <v>0.214035457616119</v>
      </c>
      <c r="GF4" s="29">
        <v>1.0094163847217E-4</v>
      </c>
      <c r="GG4" s="42">
        <v>1.51421931730784E-4</v>
      </c>
      <c r="GH4" s="42">
        <v>3.5872383957531398E-4</v>
      </c>
      <c r="GI4" s="29">
        <v>3.2141472195957701E-3</v>
      </c>
      <c r="GJ4" s="42">
        <v>4.5970202065317399E-3</v>
      </c>
      <c r="GK4" s="42">
        <v>2.9795618502519599E-3</v>
      </c>
      <c r="GL4" s="42">
        <v>2.9038859992121602E-3</v>
      </c>
      <c r="GM4" s="46">
        <v>2.0822233162853901E-5</v>
      </c>
      <c r="GN4" s="46">
        <v>1.3112076570921999E-5</v>
      </c>
      <c r="GO4" s="42">
        <v>3.4973719857884301E-4</v>
      </c>
      <c r="GP4" s="42">
        <v>2.1721989727237299E-4</v>
      </c>
      <c r="GQ4" s="42">
        <v>1.8944628014934601E-4</v>
      </c>
      <c r="GR4" s="42">
        <v>2.27686393655588E-4</v>
      </c>
      <c r="GS4" s="42">
        <v>2.5228006473188101E-4</v>
      </c>
    </row>
    <row r="5" spans="1:201" x14ac:dyDescent="0.35">
      <c r="A5" s="42">
        <v>0.98599418864546295</v>
      </c>
      <c r="B5" s="42">
        <v>0.95345648782581605</v>
      </c>
      <c r="C5" s="42">
        <v>0.993119593118859</v>
      </c>
      <c r="D5" s="42">
        <v>0.99512866203269001</v>
      </c>
      <c r="E5" s="42">
        <v>0.99556943836862699</v>
      </c>
      <c r="F5" s="42">
        <v>0.97517686588231201</v>
      </c>
      <c r="G5" s="42">
        <v>0.97803050747131004</v>
      </c>
      <c r="H5" s="42">
        <v>0.99342628374308395</v>
      </c>
      <c r="I5" s="42">
        <v>0.98817619633377296</v>
      </c>
      <c r="J5" s="42">
        <v>0.98624148605204898</v>
      </c>
      <c r="K5" s="42">
        <v>0.98324186230698996</v>
      </c>
      <c r="L5" s="42">
        <v>0.99436178199594405</v>
      </c>
      <c r="M5" s="42">
        <v>0.99901255457609395</v>
      </c>
      <c r="N5" s="42">
        <v>0.98718733057498598</v>
      </c>
      <c r="O5" s="42">
        <v>0.999158387593853</v>
      </c>
      <c r="P5" s="42">
        <v>0.99590542256220305</v>
      </c>
      <c r="Q5" s="42">
        <v>0.98447670242801999</v>
      </c>
      <c r="R5" s="42">
        <v>0.98181077177871301</v>
      </c>
      <c r="S5" s="42">
        <v>0.92584946221411202</v>
      </c>
      <c r="T5" s="42">
        <v>0.99803713144286199</v>
      </c>
      <c r="U5" s="42">
        <v>0.99958980206975101</v>
      </c>
      <c r="V5" s="42">
        <v>0.98107390358436197</v>
      </c>
      <c r="W5" s="42">
        <v>0.99536723094020696</v>
      </c>
      <c r="X5" s="42">
        <v>0.99718626831066504</v>
      </c>
      <c r="Y5" s="42">
        <v>0.99611468523996805</v>
      </c>
      <c r="Z5" s="42">
        <v>0.98948010726397495</v>
      </c>
      <c r="AA5" s="42">
        <v>0.976273145654176</v>
      </c>
      <c r="AB5" s="42">
        <v>0.99391487258145905</v>
      </c>
      <c r="AC5" s="42">
        <v>0.99729911440007701</v>
      </c>
      <c r="AD5" s="42">
        <v>0.95547276153761396</v>
      </c>
      <c r="AE5" s="42">
        <v>0.99799939210815802</v>
      </c>
      <c r="AF5" s="42">
        <v>0.99392771421160098</v>
      </c>
      <c r="AG5" s="42">
        <v>0.99340788607254804</v>
      </c>
      <c r="AH5" s="42">
        <v>0.99436190390092805</v>
      </c>
      <c r="AI5" s="42">
        <v>0.99243394635860804</v>
      </c>
      <c r="AJ5" s="42">
        <v>0.98934836131543802</v>
      </c>
      <c r="AK5" s="42">
        <v>0.99888650088477904</v>
      </c>
      <c r="AL5" s="42">
        <v>0.83401016462157496</v>
      </c>
      <c r="AM5" s="43">
        <v>0.79531935801390696</v>
      </c>
      <c r="AN5" s="42">
        <v>0.98383395686194097</v>
      </c>
      <c r="AO5" s="42">
        <v>0.96333071282609395</v>
      </c>
      <c r="AP5" s="42">
        <v>0.99554721631450604</v>
      </c>
      <c r="AQ5" s="42">
        <v>0.99352094430003202</v>
      </c>
      <c r="AR5" s="42">
        <v>0.88884475161624399</v>
      </c>
      <c r="AS5" s="42">
        <v>0.98276413278744801</v>
      </c>
      <c r="AT5" s="42">
        <v>0.991182777638829</v>
      </c>
      <c r="AU5" s="42">
        <v>0.99790150639495101</v>
      </c>
      <c r="AV5" s="42">
        <v>0.98209417524786002</v>
      </c>
      <c r="AW5" s="42">
        <v>0.99543701022250797</v>
      </c>
      <c r="AX5" s="42">
        <v>0.99498855249974405</v>
      </c>
      <c r="AY5" s="42">
        <v>0.83098536917445898</v>
      </c>
      <c r="AZ5" s="42">
        <v>0.85206229448954196</v>
      </c>
      <c r="BA5" s="42">
        <v>0.97932732379500098</v>
      </c>
      <c r="BB5" s="42">
        <v>0.974808485776545</v>
      </c>
      <c r="BC5" s="42">
        <v>0.94020140348249603</v>
      </c>
      <c r="BD5" s="42">
        <v>0.987762427047012</v>
      </c>
      <c r="BE5" s="42">
        <v>0.92604260680394201</v>
      </c>
      <c r="BF5" s="42">
        <v>0.92460493470338001</v>
      </c>
      <c r="BG5" s="42">
        <v>0.99115734340089801</v>
      </c>
      <c r="BH5" s="42">
        <v>0.974649812848153</v>
      </c>
      <c r="BI5" s="43">
        <v>0.70837750102971797</v>
      </c>
      <c r="BJ5" s="42">
        <v>0.80865655337155995</v>
      </c>
      <c r="BK5" s="46">
        <v>0.59049964679134703</v>
      </c>
      <c r="BL5" s="70">
        <v>0.67557126442246396</v>
      </c>
      <c r="BM5" s="70">
        <v>0.66778056021036902</v>
      </c>
      <c r="BN5" s="42">
        <v>0.96964620809741697</v>
      </c>
      <c r="BO5" s="29">
        <v>0.28344466586796002</v>
      </c>
      <c r="BP5" s="42">
        <v>0.97921390022918797</v>
      </c>
      <c r="BQ5" s="42">
        <v>0.94060679619961896</v>
      </c>
      <c r="BR5" s="42">
        <v>0.94279252253114398</v>
      </c>
      <c r="BS5" s="29">
        <v>0.223379247889987</v>
      </c>
      <c r="BT5" s="42">
        <v>0.88619720406663904</v>
      </c>
      <c r="BU5" s="42">
        <v>0.98420909601546802</v>
      </c>
      <c r="BV5" s="42">
        <v>0.98579850848733597</v>
      </c>
      <c r="BW5" s="42">
        <v>0.99802649500696905</v>
      </c>
      <c r="BX5" s="42">
        <v>0.978127780535756</v>
      </c>
      <c r="BY5" s="42">
        <v>0.99812066289095003</v>
      </c>
      <c r="BZ5" s="42">
        <v>0.99249272865925098</v>
      </c>
      <c r="CA5" s="42">
        <v>0.99790126539258395</v>
      </c>
      <c r="CB5" s="42">
        <v>0.996556094749521</v>
      </c>
      <c r="CC5" s="42">
        <v>0.99757844199759305</v>
      </c>
      <c r="CD5" s="42">
        <v>0.99952515261903496</v>
      </c>
      <c r="CE5" s="42">
        <v>0.98198782544326202</v>
      </c>
      <c r="CF5" s="42">
        <v>0.99232817337919699</v>
      </c>
      <c r="CG5" s="42">
        <v>0.98294161916059797</v>
      </c>
      <c r="CH5" s="42">
        <v>0.93184897370072695</v>
      </c>
      <c r="CI5" s="42">
        <v>0.96111769347109099</v>
      </c>
      <c r="CJ5" s="42">
        <v>0.99373063455612898</v>
      </c>
      <c r="CK5" s="42">
        <v>0.96919280823413001</v>
      </c>
      <c r="CL5" s="42">
        <v>0.97996257247199603</v>
      </c>
      <c r="CM5" s="42">
        <v>0.97302877353336503</v>
      </c>
      <c r="CN5" s="42">
        <v>0.96256955652813103</v>
      </c>
      <c r="CO5" s="42">
        <v>0.98706076239753704</v>
      </c>
      <c r="CP5" s="42">
        <v>0.98842579911453798</v>
      </c>
      <c r="CQ5" s="42">
        <v>0.98147559647279103</v>
      </c>
      <c r="CR5" s="42">
        <v>0.94615386006008895</v>
      </c>
      <c r="CS5" s="42">
        <v>0.90340031310720403</v>
      </c>
      <c r="CT5" s="42">
        <v>0.91439508385442803</v>
      </c>
      <c r="CU5" s="42">
        <v>0.977930608064702</v>
      </c>
      <c r="CV5" s="42">
        <v>0.99009872858544901</v>
      </c>
      <c r="CW5" s="42">
        <v>0.99767818628833305</v>
      </c>
      <c r="CX5" s="29">
        <v>0.32901805805761902</v>
      </c>
      <c r="CY5" s="42">
        <v>0.931981480454109</v>
      </c>
      <c r="CZ5" s="42">
        <v>0.97507318438307999</v>
      </c>
      <c r="DA5" s="42">
        <v>0.99794077260839698</v>
      </c>
      <c r="DB5" s="42">
        <v>0.98534512433775401</v>
      </c>
      <c r="DC5" s="42">
        <v>0.83182833997443995</v>
      </c>
      <c r="DD5" s="42">
        <v>0.99632886890019001</v>
      </c>
      <c r="DE5" s="42">
        <v>0.99227948215428496</v>
      </c>
      <c r="DF5" s="42">
        <v>0.96997850822776399</v>
      </c>
      <c r="DG5" s="42">
        <v>0.89258930906969802</v>
      </c>
      <c r="DH5" s="42">
        <v>0.90240429147964996</v>
      </c>
      <c r="DI5" s="42">
        <v>0.99351248702907002</v>
      </c>
      <c r="DJ5" s="42">
        <v>0.99867712383503504</v>
      </c>
      <c r="DK5" s="42">
        <v>0.85346281164798898</v>
      </c>
      <c r="DL5" s="42">
        <v>0.82947792784861596</v>
      </c>
      <c r="DM5" s="42">
        <v>0.94419568060595804</v>
      </c>
      <c r="DN5" s="43">
        <v>0.78020051917133804</v>
      </c>
      <c r="DO5" s="42">
        <v>0.98357680262222302</v>
      </c>
      <c r="DP5" s="29" t="s">
        <v>76</v>
      </c>
      <c r="DQ5" s="42">
        <v>0.93075445154523595</v>
      </c>
      <c r="DR5" s="29">
        <v>0.51343765645152295</v>
      </c>
      <c r="DS5" s="42">
        <v>0.96326887334200995</v>
      </c>
      <c r="DT5" s="42">
        <v>0.94924211787852097</v>
      </c>
      <c r="DU5" s="42">
        <v>0.94121537698732305</v>
      </c>
      <c r="DV5" s="42">
        <v>0.90118738138411503</v>
      </c>
      <c r="DW5" s="29" t="s">
        <v>76</v>
      </c>
      <c r="DX5" s="42">
        <v>0.99234791601395</v>
      </c>
      <c r="DY5" s="42">
        <v>0.89158442183508801</v>
      </c>
      <c r="DZ5" s="43">
        <v>0.72311655843489797</v>
      </c>
      <c r="EA5" s="42">
        <v>0.899039353765127</v>
      </c>
      <c r="EB5" s="43">
        <v>0.74354867821997495</v>
      </c>
      <c r="EC5" s="42">
        <v>0.99090506706292103</v>
      </c>
      <c r="ED5" s="42">
        <v>0.96233870476801497</v>
      </c>
      <c r="EE5" s="42">
        <v>0.89438124213644599</v>
      </c>
      <c r="EF5" s="42">
        <v>0.87802528448883099</v>
      </c>
      <c r="EG5" s="42">
        <v>0.93185563438196295</v>
      </c>
      <c r="EH5" s="43">
        <v>0.75309441301092905</v>
      </c>
      <c r="EI5" s="42">
        <v>0.91962844568024504</v>
      </c>
      <c r="EJ5" s="42">
        <v>0.97216112442092395</v>
      </c>
      <c r="EK5" s="42">
        <v>0.96251540530299795</v>
      </c>
      <c r="EL5" s="42">
        <v>0.95564706669222699</v>
      </c>
      <c r="EM5" s="43">
        <v>0.79245654359400097</v>
      </c>
      <c r="EN5" s="42">
        <v>0.99518220017151104</v>
      </c>
      <c r="EO5" s="42">
        <v>0.99892490863914296</v>
      </c>
      <c r="EP5" s="42">
        <v>0.98438445436569999</v>
      </c>
      <c r="EQ5" s="42">
        <v>0.97992285229835596</v>
      </c>
      <c r="ER5" s="42">
        <v>0.99888134428256803</v>
      </c>
      <c r="ES5" s="42">
        <v>0.99060838518062699</v>
      </c>
      <c r="ET5" s="42">
        <v>0.99872887741405603</v>
      </c>
      <c r="EU5" s="42">
        <v>0.99692515126104397</v>
      </c>
      <c r="EV5" s="42">
        <v>0.99510721992084805</v>
      </c>
      <c r="EW5" s="42">
        <v>0.96158198129345895</v>
      </c>
      <c r="EX5" s="42">
        <v>0.976087122001007</v>
      </c>
      <c r="EY5" s="42">
        <v>0.99492087354463898</v>
      </c>
      <c r="EZ5" s="29">
        <v>0.59758014191051201</v>
      </c>
      <c r="FA5" s="42">
        <v>0.99127396313446003</v>
      </c>
      <c r="FB5" s="42">
        <v>0.99807780782558797</v>
      </c>
      <c r="FC5" s="42">
        <v>0.99951802211851004</v>
      </c>
      <c r="FD5" s="42">
        <v>0.94629849051703596</v>
      </c>
      <c r="FE5" s="42">
        <v>0.96359739245291898</v>
      </c>
      <c r="FF5" s="42">
        <v>0.97690330647708501</v>
      </c>
      <c r="FG5" s="42">
        <v>0.99350477734443099</v>
      </c>
      <c r="FH5" s="42">
        <v>0.99870428004586598</v>
      </c>
      <c r="FI5" s="42">
        <v>0.99737840245043197</v>
      </c>
      <c r="FJ5" s="29" t="s">
        <v>76</v>
      </c>
      <c r="FK5" s="29">
        <v>0.28668105504886898</v>
      </c>
      <c r="FL5" s="29" t="s">
        <v>76</v>
      </c>
      <c r="FM5" s="29">
        <v>0.468067213919097</v>
      </c>
      <c r="FN5" s="42">
        <v>0.98321284820849697</v>
      </c>
      <c r="FO5" s="23">
        <v>0.76963587300305003</v>
      </c>
      <c r="FP5" s="23">
        <v>0.68807865689230496</v>
      </c>
      <c r="FQ5" s="42">
        <v>0.94384277816856699</v>
      </c>
      <c r="FR5" s="42">
        <v>0.75838041995862904</v>
      </c>
      <c r="FS5" s="42">
        <v>0.63506474004325097</v>
      </c>
      <c r="FT5" s="23">
        <v>0.82084801553842901</v>
      </c>
      <c r="FU5" s="29">
        <v>0.56717009410319896</v>
      </c>
      <c r="FV5" s="42">
        <v>0.78602458346425896</v>
      </c>
      <c r="FW5" s="42">
        <v>0.67509542353040297</v>
      </c>
      <c r="FX5" s="42">
        <v>0.86559160603212104</v>
      </c>
      <c r="FY5" s="29" t="s">
        <v>76</v>
      </c>
      <c r="FZ5" s="42">
        <v>0.67399768517891201</v>
      </c>
      <c r="GA5" s="42">
        <v>0.82960373568980506</v>
      </c>
      <c r="GB5" s="42">
        <v>0.98452721882029104</v>
      </c>
      <c r="GC5" s="42">
        <v>0.97045673808079602</v>
      </c>
      <c r="GD5" s="42">
        <v>0.97173569044668195</v>
      </c>
      <c r="GE5" s="29" t="s">
        <v>76</v>
      </c>
      <c r="GF5" s="29">
        <v>0.36373804513821401</v>
      </c>
      <c r="GG5" s="42">
        <v>0.83986018944582397</v>
      </c>
      <c r="GH5" s="42">
        <v>0.845505278434732</v>
      </c>
      <c r="GI5" s="29">
        <v>0.32686499225932703</v>
      </c>
      <c r="GJ5" s="42">
        <v>0.84649333538298499</v>
      </c>
      <c r="GK5" s="42">
        <v>0.89552417746958402</v>
      </c>
      <c r="GL5" s="42">
        <v>0.82068070361116596</v>
      </c>
      <c r="GM5" s="46">
        <v>3.8248315767496301E-2</v>
      </c>
      <c r="GN5" s="46">
        <v>0.133938356755503</v>
      </c>
      <c r="GO5" s="42">
        <v>0.98557819864657004</v>
      </c>
      <c r="GP5" s="42">
        <v>0.83225856719080504</v>
      </c>
      <c r="GQ5" s="42">
        <v>0.87798352964069604</v>
      </c>
      <c r="GR5" s="42">
        <v>0.74801507163328396</v>
      </c>
      <c r="GS5" s="42">
        <v>0.87617119866895299</v>
      </c>
    </row>
    <row r="8" spans="1:201" x14ac:dyDescent="0.35">
      <c r="FM8" s="23"/>
      <c r="FS8" s="23"/>
      <c r="FW8" s="23"/>
    </row>
    <row r="9" spans="1:201" x14ac:dyDescent="0.35">
      <c r="FM9" s="23"/>
      <c r="FS9" s="23"/>
      <c r="FW9" s="23"/>
    </row>
    <row r="10" spans="1:201" x14ac:dyDescent="0.35">
      <c r="FM10" s="23"/>
      <c r="FS10" s="23"/>
    </row>
    <row r="11" spans="1:201" x14ac:dyDescent="0.35">
      <c r="GJ11" s="23"/>
    </row>
    <row r="12" spans="1:201" x14ac:dyDescent="0.35">
      <c r="GJ12" s="23"/>
    </row>
    <row r="13" spans="1:201" x14ac:dyDescent="0.35">
      <c r="FS13" s="23"/>
    </row>
    <row r="14" spans="1:201" x14ac:dyDescent="0.35">
      <c r="FS14" s="23"/>
    </row>
    <row r="18" spans="179:192" x14ac:dyDescent="0.35">
      <c r="GJ18" s="23"/>
    </row>
    <row r="19" spans="179:192" x14ac:dyDescent="0.35">
      <c r="GJ19" s="23"/>
    </row>
    <row r="20" spans="179:192" x14ac:dyDescent="0.35">
      <c r="FW20" s="23"/>
    </row>
    <row r="21" spans="179:192" x14ac:dyDescent="0.35">
      <c r="FW21" s="2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V15"/>
  <sheetViews>
    <sheetView topLeftCell="LF1" zoomScale="130" zoomScaleNormal="130" workbookViewId="0">
      <selection activeCell="A3" sqref="A3:LT3"/>
    </sheetView>
  </sheetViews>
  <sheetFormatPr defaultRowHeight="14.5" x14ac:dyDescent="0.35"/>
  <cols>
    <col min="1" max="1" width="14" customWidth="1"/>
    <col min="2" max="2" width="13.453125" customWidth="1"/>
    <col min="3" max="3" width="14.36328125" customWidth="1"/>
    <col min="4" max="4" width="15.6328125" customWidth="1"/>
    <col min="5" max="6" width="14.54296875" bestFit="1" customWidth="1"/>
    <col min="7" max="9" width="14.36328125" bestFit="1" customWidth="1"/>
    <col min="10" max="12" width="13.453125" bestFit="1" customWidth="1"/>
    <col min="13" max="15" width="13.36328125" bestFit="1" customWidth="1"/>
    <col min="16" max="18" width="14.36328125" bestFit="1" customWidth="1"/>
    <col min="19" max="21" width="19.6328125" bestFit="1" customWidth="1"/>
    <col min="24" max="24" width="13.36328125" bestFit="1" customWidth="1"/>
    <col min="27" max="27" width="14.08984375" bestFit="1" customWidth="1"/>
    <col min="45" max="45" width="21.08984375" bestFit="1" customWidth="1"/>
    <col min="46" max="46" width="21.08984375" customWidth="1"/>
    <col min="49" max="49" width="21.08984375" bestFit="1" customWidth="1"/>
    <col min="52" max="52" width="29.6328125" bestFit="1" customWidth="1"/>
    <col min="55" max="55" width="11.54296875" bestFit="1" customWidth="1"/>
    <col min="61" max="61" width="14.36328125" bestFit="1" customWidth="1"/>
    <col min="64" max="64" width="10.36328125" bestFit="1" customWidth="1"/>
    <col min="67" max="67" width="32.90625" bestFit="1" customWidth="1"/>
    <col min="68" max="68" width="30.6328125" bestFit="1" customWidth="1"/>
    <col min="70" max="70" width="33.6328125" bestFit="1" customWidth="1"/>
    <col min="73" max="73" width="30.6328125" bestFit="1" customWidth="1"/>
    <col min="76" max="76" width="31.6328125" bestFit="1" customWidth="1"/>
    <col min="79" max="79" width="34.6328125" bestFit="1" customWidth="1"/>
    <col min="82" max="82" width="38.36328125" bestFit="1" customWidth="1"/>
    <col min="85" max="85" width="12.36328125" bestFit="1" customWidth="1"/>
    <col min="88" max="88" width="34.6328125" bestFit="1" customWidth="1"/>
    <col min="91" max="91" width="35.453125" bestFit="1" customWidth="1"/>
    <col min="94" max="94" width="25.08984375" bestFit="1" customWidth="1"/>
    <col min="95" max="97" width="25.08984375" customWidth="1"/>
    <col min="98" max="98" width="13.6328125" bestFit="1" customWidth="1"/>
    <col min="100" max="100" width="12.36328125" bestFit="1" customWidth="1"/>
    <col min="103" max="103" width="40.36328125" bestFit="1" customWidth="1"/>
    <col min="106" max="106" width="34.08984375" bestFit="1" customWidth="1"/>
    <col min="109" max="109" width="28.90625" bestFit="1" customWidth="1"/>
    <col min="110" max="110" width="28.90625" customWidth="1"/>
    <col min="113" max="113" width="21.6328125" bestFit="1" customWidth="1"/>
    <col min="116" max="116" width="22" bestFit="1" customWidth="1"/>
    <col min="119" max="119" width="19.90625" bestFit="1" customWidth="1"/>
    <col min="122" max="122" width="30.6328125" bestFit="1" customWidth="1"/>
    <col min="123" max="126" width="30.6328125" customWidth="1"/>
    <col min="129" max="129" width="30.6328125" bestFit="1" customWidth="1"/>
    <col min="132" max="132" width="30" bestFit="1" customWidth="1"/>
    <col min="135" max="135" width="33.36328125" bestFit="1" customWidth="1"/>
    <col min="138" max="138" width="37" bestFit="1" customWidth="1"/>
    <col min="142" max="142" width="33" bestFit="1" customWidth="1"/>
    <col min="145" max="145" width="39.36328125" bestFit="1" customWidth="1"/>
    <col min="147" max="147" width="38.54296875" bestFit="1" customWidth="1"/>
    <col min="150" max="150" width="23" bestFit="1" customWidth="1"/>
    <col min="153" max="153" width="24.08984375" bestFit="1" customWidth="1"/>
    <col min="154" max="154" width="21.6328125" bestFit="1" customWidth="1"/>
    <col min="156" max="156" width="21.6328125" bestFit="1" customWidth="1"/>
    <col min="159" max="159" width="33.08984375" bestFit="1" customWidth="1"/>
    <col min="161" max="161" width="21.6328125" bestFit="1" customWidth="1"/>
    <col min="164" max="164" width="40.36328125" bestFit="1" customWidth="1"/>
    <col min="167" max="167" width="39.36328125" bestFit="1" customWidth="1"/>
    <col min="170" max="170" width="39.36328125" bestFit="1" customWidth="1"/>
    <col min="173" max="173" width="40.36328125" bestFit="1" customWidth="1"/>
    <col min="176" max="176" width="39.36328125" bestFit="1" customWidth="1"/>
    <col min="179" max="179" width="39.36328125" bestFit="1" customWidth="1"/>
    <col min="182" max="182" width="16.08984375" bestFit="1" customWidth="1"/>
    <col min="183" max="183" width="16.08984375" customWidth="1"/>
    <col min="184" max="184" width="16.08984375" bestFit="1" customWidth="1"/>
    <col min="186" max="186" width="16.08984375" bestFit="1" customWidth="1"/>
    <col min="188" max="188" width="16.08984375" bestFit="1" customWidth="1"/>
    <col min="190" max="190" width="16.08984375" bestFit="1" customWidth="1"/>
    <col min="192" max="192" width="40.6328125" bestFit="1" customWidth="1"/>
    <col min="196" max="196" width="18.36328125" bestFit="1" customWidth="1"/>
    <col min="199" max="199" width="8.54296875" customWidth="1"/>
    <col min="201" max="201" width="12.6328125" bestFit="1" customWidth="1"/>
    <col min="204" max="204" width="14.6328125" bestFit="1" customWidth="1"/>
    <col min="206" max="206" width="21.08984375" bestFit="1" customWidth="1"/>
    <col min="209" max="209" width="33.08984375" bestFit="1" customWidth="1"/>
    <col min="212" max="212" width="33.08984375" bestFit="1" customWidth="1"/>
    <col min="215" max="215" width="33.08984375" bestFit="1" customWidth="1"/>
    <col min="218" max="218" width="33.54296875" bestFit="1" customWidth="1"/>
    <col min="221" max="221" width="33.6328125" bestFit="1" customWidth="1"/>
    <col min="224" max="224" width="34" bestFit="1" customWidth="1"/>
    <col min="226" max="226" width="15" bestFit="1" customWidth="1"/>
    <col min="228" max="228" width="17.6328125" bestFit="1" customWidth="1"/>
    <col min="230" max="230" width="17.6328125" bestFit="1" customWidth="1"/>
    <col min="232" max="232" width="17.90625" bestFit="1" customWidth="1"/>
    <col min="235" max="235" width="30.36328125" bestFit="1" customWidth="1"/>
    <col min="238" max="238" width="34.90625" bestFit="1" customWidth="1"/>
    <col min="241" max="241" width="34.54296875" customWidth="1"/>
    <col min="244" max="244" width="32.6328125" bestFit="1" customWidth="1"/>
    <col min="247" max="247" width="34.36328125" bestFit="1" customWidth="1"/>
    <col min="250" max="250" width="32.08984375" bestFit="1" customWidth="1"/>
    <col min="253" max="253" width="34.36328125" bestFit="1" customWidth="1"/>
    <col min="256" max="256" width="33.6328125" bestFit="1" customWidth="1"/>
    <col min="259" max="259" width="21.08984375" bestFit="1" customWidth="1"/>
    <col min="260" max="262" width="21.08984375" customWidth="1"/>
    <col min="265" max="265" width="32.08984375" bestFit="1" customWidth="1"/>
    <col min="268" max="268" width="32.08984375" bestFit="1" customWidth="1"/>
    <col min="271" max="271" width="34.36328125" bestFit="1" customWidth="1"/>
    <col min="274" max="274" width="39.54296875" bestFit="1" customWidth="1"/>
    <col min="277" max="277" width="35.36328125" bestFit="1" customWidth="1"/>
    <col min="280" max="280" width="33.08984375" bestFit="1" customWidth="1"/>
    <col min="283" max="283" width="33.08984375" bestFit="1" customWidth="1"/>
    <col min="285" max="285" width="34.36328125" bestFit="1" customWidth="1"/>
    <col min="288" max="288" width="34.36328125" bestFit="1" customWidth="1"/>
    <col min="291" max="291" width="33.08984375" bestFit="1" customWidth="1"/>
    <col min="293" max="293" width="23.453125" bestFit="1" customWidth="1"/>
    <col min="295" max="295" width="23.54296875" bestFit="1" customWidth="1"/>
    <col min="297" max="297" width="23.36328125" bestFit="1" customWidth="1"/>
  </cols>
  <sheetData>
    <row r="1" spans="1:334" s="60" customFormat="1" x14ac:dyDescent="0.35">
      <c r="A1" s="60" t="s">
        <v>545</v>
      </c>
    </row>
    <row r="2" spans="1:334" s="60" customFormat="1" x14ac:dyDescent="0.35"/>
    <row r="3" spans="1:334" s="1" customFormat="1" ht="87" x14ac:dyDescent="0.35">
      <c r="A3" s="1" t="str">
        <f>'Formulation Name Data'!A10&amp;"_T1"</f>
        <v>Buckeye 3%_3_T1</v>
      </c>
      <c r="B3" s="1" t="str">
        <f>'Formulation Name Data'!A10&amp;"_T2"</f>
        <v>Buckeye 3%_3_T2</v>
      </c>
      <c r="C3" s="1" t="str">
        <f>'Formulation Name Data'!A10&amp;"_T3"</f>
        <v>Buckeye 3%_3_T3</v>
      </c>
      <c r="D3" s="1" t="str">
        <f>'Formulation Name Data'!A82&amp;"_T1"</f>
        <v>Silsurf_0.014_T1</v>
      </c>
      <c r="E3" s="1" t="str">
        <f>'Formulation Name Data'!A82&amp;"_T2"</f>
        <v>Silsurf_0.014_T2</v>
      </c>
      <c r="F3" s="1" t="str">
        <f>'Formulation Name Data'!A82&amp;"_T3"</f>
        <v>Silsurf_0.014_T3</v>
      </c>
      <c r="G3" s="1" t="str">
        <f>'Formulation Name Data'!A129&amp;"_T1"</f>
        <v>D501W_0.05_T1</v>
      </c>
      <c r="H3" s="1" t="str">
        <f>'Formulation Name Data'!A129&amp;"_T2"</f>
        <v>D501W_0.05_T2</v>
      </c>
      <c r="I3" s="44" t="str">
        <f>'Formulation Name Data'!A129&amp;"_T3"</f>
        <v>D501W_0.05_T3</v>
      </c>
      <c r="J3" s="1" t="str">
        <f>'Formulation Name Data'!A79&amp;"_T1"</f>
        <v>TMN6_0.4_T1</v>
      </c>
      <c r="K3" s="1" t="str">
        <f>'Formulation Name Data'!A79&amp;"_T2"</f>
        <v>TMN6_0.4_T2</v>
      </c>
      <c r="L3" s="44" t="str">
        <f>'Formulation Name Data'!A79&amp;"_T3"</f>
        <v>TMN6_0.4_T3</v>
      </c>
      <c r="M3" s="1" t="str">
        <f>'Formulation Name Data'!A81&amp;"_T1"</f>
        <v>Silphos_0.3_T1</v>
      </c>
      <c r="N3" s="1" t="str">
        <f>'Formulation Name Data'!A81&amp;"_T2"</f>
        <v>Silphos_0.3_T2</v>
      </c>
      <c r="O3" s="44" t="str">
        <f>'Formulation Name Data'!A81&amp;"_T3"</f>
        <v>Silphos_0.3_T3</v>
      </c>
      <c r="P3" s="1" t="str">
        <f>'Formulation Name Data'!A77&amp;"_T1"</f>
        <v>D502W_0.1_T1</v>
      </c>
      <c r="Q3" s="1" t="str">
        <f>'Formulation Name Data'!A77&amp;"_T2"</f>
        <v>D502W_0.1_T2</v>
      </c>
      <c r="R3" s="44" t="str">
        <f>'Formulation Name Data'!A77&amp;"_T3"</f>
        <v>D502W_0.1_T3</v>
      </c>
      <c r="S3" s="1" t="str">
        <f>'Formulation Name Data'!A80&amp;"_T1"</f>
        <v>AlphaFoam_1.3_T1</v>
      </c>
      <c r="T3" s="1" t="str">
        <f>'Formulation Name Data'!A80&amp;"_T2"</f>
        <v>AlphaFoam_1.3_T2</v>
      </c>
      <c r="U3" s="44" t="str">
        <f>'Formulation Name Data'!A80&amp;"_T3"</f>
        <v>AlphaFoam_1.3_T3</v>
      </c>
      <c r="V3" s="1" t="str">
        <f>'Formulation Name Data'!A78&amp;"_T1"</f>
        <v>T15-S-7_0.05_T1</v>
      </c>
      <c r="W3" s="1" t="str">
        <f>'Formulation Name Data'!A78&amp;"_T2"</f>
        <v>T15-S-7_0.05_T2</v>
      </c>
      <c r="X3" s="44" t="str">
        <f>'Formulation Name Data'!A78&amp;"_T3"</f>
        <v>T15-S-7_0.05_T3</v>
      </c>
      <c r="Y3" s="1" t="str">
        <f>'Formulation Name Data'!A56&amp;"_T1"</f>
        <v>G215_0.5_T1</v>
      </c>
      <c r="Z3" s="1" t="str">
        <f>'Formulation Name Data'!A56&amp;"_T2"</f>
        <v>G215_0.5_T2</v>
      </c>
      <c r="AA3" s="44" t="str">
        <f>'Formulation Name Data'!A56&amp;"_T3"</f>
        <v>G215_0.5_T3</v>
      </c>
      <c r="AB3" s="1" t="str">
        <f>'Formulation Name Data'!A11&amp;"_T1"</f>
        <v>RF6_6_T1</v>
      </c>
      <c r="AC3" s="1" t="str">
        <f>'Formulation Name Data'!A11&amp;"_T2"</f>
        <v>RF6_6_T2</v>
      </c>
      <c r="AD3" s="44" t="str">
        <f>'Formulation Name Data'!A11&amp;"_T3"</f>
        <v>RF6_6_T3</v>
      </c>
      <c r="AE3" s="1" t="str">
        <f>'Formulation Name Data'!A12&amp;"_T1"</f>
        <v>SDS_1_T1</v>
      </c>
      <c r="AF3" s="1" t="str">
        <f>'Formulation Name Data'!A12&amp;"_T2"</f>
        <v>SDS_1_T2</v>
      </c>
      <c r="AG3" s="44" t="str">
        <f>'Formulation Name Data'!A12&amp;"_T3"</f>
        <v>SDS_1_T3</v>
      </c>
      <c r="AH3" s="1" t="str">
        <f>'Formulation Name Data'!A76&amp;"_T1"</f>
        <v>TrX100_0.5_T1</v>
      </c>
      <c r="AI3" s="1" t="str">
        <f>'Formulation Name Data'!A76&amp;"_T2"</f>
        <v>TrX100_0.5_T2</v>
      </c>
      <c r="AJ3" s="44" t="str">
        <f>'Formulation Name Data'!A76&amp;"_T3"</f>
        <v>TrX100_0.5_T3</v>
      </c>
      <c r="AK3" s="1" t="str">
        <f>'Formulation Name Data'!A73&amp;"_T1"</f>
        <v>Cap_0.225_T1</v>
      </c>
      <c r="AL3" s="1" t="str">
        <f>'Formulation Name Data'!A73&amp;"_T2"</f>
        <v>Cap_0.225_T2</v>
      </c>
      <c r="AM3" s="44" t="str">
        <f>'Formulation Name Data'!A73&amp;"_T3"</f>
        <v>Cap_0.225_T3</v>
      </c>
      <c r="AN3" s="1" t="str">
        <f>'Formulation Name Data'!A44&amp;"_T1"</f>
        <v>Cap_0.5_T1</v>
      </c>
      <c r="AO3" s="1" t="str">
        <f>'Formulation Name Data'!A44&amp;"_T2"</f>
        <v>Cap_0.5_T2</v>
      </c>
      <c r="AP3" s="44" t="str">
        <f>'Formulation Name Data'!A44&amp;"_T3"</f>
        <v>Cap_0.5_T3</v>
      </c>
      <c r="AQ3" s="1" t="str">
        <f>'Formulation Name Data'!A111&amp;"_T1"</f>
        <v>G225_DGBE_0.5_0.5_T1</v>
      </c>
      <c r="AR3" s="1" t="str">
        <f>'Formulation Name Data'!A111&amp;"_T2"</f>
        <v>G225_DGBE_0.5_0.5_T2</v>
      </c>
      <c r="AS3" s="44" t="str">
        <f>'Formulation Name Data'!A111&amp;"_T3"</f>
        <v>G225_DGBE_0.5_0.5_T3</v>
      </c>
      <c r="AT3" s="44" t="str">
        <f>'Formulation Name Data'!A111&amp;"_T4"</f>
        <v>G225_DGBE_0.5_0.5_T4</v>
      </c>
      <c r="AU3" s="1" t="str">
        <f>'Formulation Name Data'!A112&amp;"_T1"</f>
        <v>G600_DGBE_0.5_0.5_T1</v>
      </c>
      <c r="AV3" s="1" t="str">
        <f>'Formulation Name Data'!A112&amp;"_T2"</f>
        <v>G600_DGBE_0.5_0.5_T2</v>
      </c>
      <c r="AW3" s="44" t="str">
        <f>'Formulation Name Data'!A112&amp;"_T3"</f>
        <v>G600_DGBE_0.5_0.5_T3</v>
      </c>
      <c r="AX3" s="1" t="str">
        <f>'Formulation Name Data'!A4&amp;"_T1"</f>
        <v>Cap_TrX100_DGBE_0.3_0.2_0.5_T1</v>
      </c>
      <c r="AY3" s="1" t="str">
        <f>'Formulation Name Data'!A4&amp;"_T2"</f>
        <v>Cap_TrX100_DGBE_0.3_0.2_0.5_T2</v>
      </c>
      <c r="AZ3" s="44" t="str">
        <f>'Formulation Name Data'!A4&amp;"_T3"</f>
        <v>Cap_TrX100_DGBE_0.3_0.2_0.5_T3</v>
      </c>
      <c r="BA3" s="1" t="str">
        <f>'Formulation Name Data'!A55&amp;"_T1"</f>
        <v>D193_0.5_T1</v>
      </c>
      <c r="BB3" s="1" t="str">
        <f>'Formulation Name Data'!A55&amp;"_T2"</f>
        <v>D193_0.5_T2</v>
      </c>
      <c r="BC3" s="44" t="str">
        <f>'Formulation Name Data'!A55&amp;"_T3"</f>
        <v>D193_0.5_T3</v>
      </c>
      <c r="BD3" s="1" t="str">
        <f>'Formulation Name Data'!A43&amp;"_T1"</f>
        <v>D67_0.5_T1</v>
      </c>
      <c r="BE3" s="1" t="str">
        <f>'Formulation Name Data'!A43&amp;"_T2"</f>
        <v>D67_0.5_T2</v>
      </c>
      <c r="BF3" s="44" t="str">
        <f>'Formulation Name Data'!A43&amp;"_T3"</f>
        <v>D67_0.5_T3</v>
      </c>
      <c r="BG3" s="1" t="str">
        <f>'Formulation Name Data'!A53&amp;"_T1"</f>
        <v>Gel6185_0.5_T1</v>
      </c>
      <c r="BH3" s="1" t="str">
        <f>'Formulation Name Data'!A53&amp;"_T2"</f>
        <v>Gel6185_0.5_T2</v>
      </c>
      <c r="BI3" s="44" t="str">
        <f>'Formulation Name Data'!A53&amp;"_T3"</f>
        <v>Gel6185_0.5_T3</v>
      </c>
      <c r="BJ3" s="1" t="str">
        <f>'Formulation Name Data'!A52&amp;"_T1"</f>
        <v>L77_0.5_T1</v>
      </c>
      <c r="BK3" s="1" t="str">
        <f>'Formulation Name Data'!A52&amp;"_T2"</f>
        <v>L77_0.5_T2</v>
      </c>
      <c r="BL3" s="44" t="str">
        <f>'Formulation Name Data'!A52&amp;"_T3"</f>
        <v>L77_0.5_T3</v>
      </c>
      <c r="BM3" s="1" t="str">
        <f>'Formulation Name Data'!A17&amp;"_T1"</f>
        <v>Silsurf_G215_DGBE_0.14_0.09_0.5_T1</v>
      </c>
      <c r="BN3" s="1" t="str">
        <f>'Formulation Name Data'!A17&amp;"_T2"</f>
        <v>Silsurf_G215_DGBE_0.14_0.09_0.5_T2</v>
      </c>
      <c r="BO3" s="44" t="str">
        <f>'Formulation Name Data'!A17&amp;"_T3"</f>
        <v>Silsurf_G215_DGBE_0.14_0.09_0.5_T3</v>
      </c>
      <c r="BP3" s="1" t="str">
        <f>'Formulation Name Data'!A32&amp;"_T1"</f>
        <v>D501W_G215_DGBE_0.04_0.027_0.5_T1</v>
      </c>
      <c r="BQ3" s="1" t="str">
        <f>'Formulation Name Data'!A32&amp;"_T2"</f>
        <v>D501W_G215_DGBE_0.04_0.027_0.5_T2</v>
      </c>
      <c r="BR3" s="44" t="str">
        <f>'Formulation Name Data'!A32&amp;"_T3"</f>
        <v>D501W_G215_DGBE_0.04_0.027_0.5_T3</v>
      </c>
      <c r="BS3" s="1" t="str">
        <f>'Formulation Name Data'!A19&amp;"_T1"</f>
        <v>TMN6_G215_DGBE_0.3_0.2_0.5_T1</v>
      </c>
      <c r="BT3" s="1" t="str">
        <f>'Formulation Name Data'!A19&amp;"_T2"</f>
        <v>TMN6_G215_DGBE_0.3_0.2_0.5_T2</v>
      </c>
      <c r="BU3" s="44" t="str">
        <f>'Formulation Name Data'!A19&amp;"_T3"</f>
        <v>TMN6_G215_DGBE_0.3_0.2_0.5_T3</v>
      </c>
      <c r="BV3" s="1" t="str">
        <f>'Formulation Name Data'!A18&amp;"_T1"</f>
        <v>Silphos_G215_DGBE_0.3_0.2_0.5_T1</v>
      </c>
      <c r="BW3" s="1" t="str">
        <f>'Formulation Name Data'!A18&amp;"_T2"</f>
        <v>Silphos_G215_DGBE_0.3_0.2_0.5_T2</v>
      </c>
      <c r="BX3" s="44" t="str">
        <f>'Formulation Name Data'!A18&amp;"_T3"</f>
        <v>Silphos_G215_DGBE_0.3_0.2_0.5_T3</v>
      </c>
      <c r="BY3" s="1" t="str">
        <f>'Formulation Name Data'!A33&amp;"_T1"</f>
        <v>D502W_G215_DGBE_0.075_0.05_0.5_T1</v>
      </c>
      <c r="BZ3" s="1" t="str">
        <f>'Formulation Name Data'!A33&amp;"_T2"</f>
        <v>D502W_G215_DGBE_0.075_0.05_0.5_T2</v>
      </c>
      <c r="CA3" s="44" t="str">
        <f>'Formulation Name Data'!A33&amp;"_T3"</f>
        <v>D502W_G215_DGBE_0.075_0.05_0.5_T3</v>
      </c>
      <c r="CB3" s="1" t="str">
        <f>'Formulation Name Data'!A135&amp;"_T1"</f>
        <v>AlphaFoam_G215_DGBE_1.3_0.2_0.5_T1</v>
      </c>
      <c r="CC3" s="1" t="str">
        <f>'Formulation Name Data'!A135&amp;"_T2"</f>
        <v>AlphaFoam_G215_DGBE_1.3_0.2_0.5_T2</v>
      </c>
      <c r="CD3" s="44" t="str">
        <f>'Formulation Name Data'!A135&amp;"_T3"</f>
        <v>AlphaFoam_G215_DGBE_1.3_0.2_0.5_T3</v>
      </c>
      <c r="CE3" s="1" t="str">
        <f>'Formulation Name Data'!A42&amp;"_T1"</f>
        <v>D501W_0.5_T1</v>
      </c>
      <c r="CF3" s="1" t="str">
        <f>'Formulation Name Data'!A42&amp;"_T2"</f>
        <v>D501W_0.5_T2</v>
      </c>
      <c r="CG3" s="44" t="str">
        <f>'Formulation Name Data'!A42&amp;"_T3"</f>
        <v>D501W_0.5_T3</v>
      </c>
      <c r="CH3" s="1" t="str">
        <f>'Formulation Name Data'!A84&amp;"_T1"</f>
        <v>D502W_G215_DGBE_0.05_0.075_0.5_T1</v>
      </c>
      <c r="CI3" s="1" t="str">
        <f>'Formulation Name Data'!A84&amp;"_T2"</f>
        <v>D502W_G215_DGBE_0.05_0.075_0.5_T2</v>
      </c>
      <c r="CJ3" s="44" t="str">
        <f>'Formulation Name Data'!A84&amp;"_T3"</f>
        <v>D502W_G215_DGBE_0.05_0.075_0.5_T3</v>
      </c>
      <c r="CK3" s="1" t="str">
        <f>'Formulation Name Data'!A83&amp;"_T1"</f>
        <v>D502W_TrX100_DGBE_0.1_0.08_0.5_T1</v>
      </c>
      <c r="CL3" s="1" t="str">
        <f>'Formulation Name Data'!A83&amp;"_T2"</f>
        <v>D502W_TrX100_DGBE_0.1_0.08_0.5_T2</v>
      </c>
      <c r="CM3" s="44" t="str">
        <f>'Formulation Name Data'!A83&amp;"_T3"</f>
        <v>D502W_TrX100_DGBE_0.1_0.08_0.5_T3</v>
      </c>
      <c r="CN3" s="1" t="str">
        <f>'Formulation Name Data'!A72&amp;"_T1"</f>
        <v>D502W_DGBE_0.1_0.5_T1</v>
      </c>
      <c r="CO3" s="1" t="str">
        <f>'Formulation Name Data'!A72&amp;"_T2"</f>
        <v>D502W_DGBE_0.1_0.5_T2</v>
      </c>
      <c r="CP3" s="44" t="str">
        <f>'Formulation Name Data'!A72&amp;"_T3"</f>
        <v>D502W_DGBE_0.1_0.5_T3</v>
      </c>
      <c r="CQ3" s="44" t="str">
        <f>'Formulation Name Data'!A72&amp;"_T4"</f>
        <v>D502W_DGBE_0.1_0.5_T4</v>
      </c>
      <c r="CR3" s="44" t="str">
        <f>'Formulation Name Data'!A72&amp;"_T5"</f>
        <v>D502W_DGBE_0.1_0.5_T5</v>
      </c>
      <c r="CS3" s="44" t="str">
        <f>'Formulation Name Data'!A72&amp;"_T6"</f>
        <v>D502W_DGBE_0.1_0.5_T6</v>
      </c>
      <c r="CT3" s="44" t="str">
        <f>'Formulation Name Data'!A54&amp;"_T1"</f>
        <v>D502W_0.5_T1</v>
      </c>
      <c r="CU3" s="44" t="str">
        <f>'Formulation Name Data'!A54&amp;"_T2"</f>
        <v>D502W_0.5_T2</v>
      </c>
      <c r="CV3" s="44" t="str">
        <f>'Formulation Name Data'!A54&amp;"_T3"</f>
        <v>D502W_0.5_T3</v>
      </c>
      <c r="CW3" s="44" t="str">
        <f>'Formulation Name Data'!A27&amp;"_T1"</f>
        <v>AlphaFoam_G215_DGBE_0.52_0.35_0.5_T1</v>
      </c>
      <c r="CX3" s="44" t="str">
        <f>'Formulation Name Data'!A27&amp;"_T2"</f>
        <v>AlphaFoam_G215_DGBE_0.52_0.35_0.5_T2</v>
      </c>
      <c r="CY3" s="44" t="str">
        <f>'Formulation Name Data'!A27&amp;"_T3"</f>
        <v>AlphaFoam_G215_DGBE_0.52_0.35_0.5_T3</v>
      </c>
      <c r="CZ3" s="44" t="str">
        <f>'Formulation Name Data'!A20&amp;"_T1"</f>
        <v>T15-S-7_G215_DGBE_0.03_0.02_0.5_T1</v>
      </c>
      <c r="DA3" s="44" t="str">
        <f>'Formulation Name Data'!A20&amp;"_T2"</f>
        <v>T15-S-7_G215_DGBE_0.03_0.02_0.5_T2</v>
      </c>
      <c r="DB3" s="44" t="str">
        <f>'Formulation Name Data'!A20&amp;"_T3"</f>
        <v>T15-S-7_G215_DGBE_0.03_0.02_0.5_T3</v>
      </c>
      <c r="DC3" s="44" t="str">
        <f>'Formulation Name Data'!A8&amp;"_T1"</f>
        <v>Cap_G215_DGBE_0.3_0.2_0.5_T1</v>
      </c>
      <c r="DD3" s="44" t="str">
        <f>'Formulation Name Data'!A8&amp;"_T2"</f>
        <v>Cap_G215_DGBE_0.3_0.2_0.5_T2</v>
      </c>
      <c r="DE3" s="44" t="str">
        <f>'Formulation Name Data'!A8&amp;"_T3"</f>
        <v>Cap_G215_DGBE_0.3_0.2_0.5_T3</v>
      </c>
      <c r="DF3" s="44" t="str">
        <f>'Formulation Name Data'!A8&amp;"_T4"</f>
        <v>Cap_G215_DGBE_0.3_0.2_0.5_T4</v>
      </c>
      <c r="DG3" s="44" t="str">
        <f>'Formulation Name Data'!A5&amp;"_T1"</f>
        <v>TrX100_DGBE_0.5_0.5_T1</v>
      </c>
      <c r="DH3" s="44" t="str">
        <f>'Formulation Name Data'!A5&amp;"_T2"</f>
        <v>TrX100_DGBE_0.5_0.5_T2</v>
      </c>
      <c r="DI3" s="44" t="str">
        <f>'Formulation Name Data'!A5&amp;"_T3"</f>
        <v>TrX100_DGBE_0.5_0.5_T3</v>
      </c>
      <c r="DJ3" s="44" t="str">
        <f>'Formulation Name Data'!A74&amp;"_T1"</f>
        <v>Cap_DGBE_0.225_0.5_T1</v>
      </c>
      <c r="DK3" s="44" t="str">
        <f>'Formulation Name Data'!A74&amp;"_T2"</f>
        <v>Cap_DGBE_0.225_0.5_T2</v>
      </c>
      <c r="DL3" s="44" t="str">
        <f>'Formulation Name Data'!A74&amp;"_T3"</f>
        <v>Cap_DGBE_0.225_0.5_T3</v>
      </c>
      <c r="DM3" s="44" t="str">
        <f>'Formulation Name Data'!A6&amp;"_T1"</f>
        <v>Cap_DGBE_0.5_0.5_T1</v>
      </c>
      <c r="DN3" s="44" t="str">
        <f>'Formulation Name Data'!A6&amp;"_T2"</f>
        <v>Cap_DGBE_0.5_0.5_T2</v>
      </c>
      <c r="DO3" s="44" t="str">
        <f>'Formulation Name Data'!A6&amp;"_T3"</f>
        <v>Cap_DGBE_0.5_0.5_T3</v>
      </c>
      <c r="DP3" s="44" t="str">
        <f>'Formulation Name Data'!A37&amp;"_T1"</f>
        <v>D502W_G225_DGBE_0.2_0.3_0.5_T1</v>
      </c>
      <c r="DQ3" s="44" t="str">
        <f>'Formulation Name Data'!A37&amp;"_T2"</f>
        <v>D502W_G225_DGBE_0.2_0.3_0.5_T2</v>
      </c>
      <c r="DR3" s="44" t="str">
        <f>'Formulation Name Data'!A37&amp;"_T3"</f>
        <v>D502W_G225_DGBE_0.2_0.3_0.5_T3</v>
      </c>
      <c r="DS3" s="44" t="str">
        <f>'Formulation Name Data'!A37&amp;"_T4"</f>
        <v>D502W_G225_DGBE_0.2_0.3_0.5_T4</v>
      </c>
      <c r="DT3" s="44" t="str">
        <f>'Formulation Name Data'!A37&amp;"_T5"</f>
        <v>D502W_G225_DGBE_0.2_0.3_0.5_T5</v>
      </c>
      <c r="DU3" s="44" t="str">
        <f>'Formulation Name Data'!A37&amp;"_T6"</f>
        <v>D502W_G225_DGBE_0.2_0.3_0.5_T6</v>
      </c>
      <c r="DV3" s="44" t="str">
        <f>'Formulation Name Data'!A37&amp;"_T7"</f>
        <v>D502W_G225_DGBE_0.2_0.3_0.5_T7</v>
      </c>
      <c r="DW3" s="44" t="str">
        <f>'Formulation Name Data'!A89&amp;"_T1"</f>
        <v>D502W_G600_DGBE_0.2_0.3_0.5_T1</v>
      </c>
      <c r="DX3" s="44" t="str">
        <f>'Formulation Name Data'!A89&amp;"_T2"</f>
        <v>D502W_G600_DGBE_0.2_0.3_0.5_T2</v>
      </c>
      <c r="DY3" s="44" t="str">
        <f>'Formulation Name Data'!A89&amp;"_T3"</f>
        <v>D502W_G600_DGBE_0.2_0.3_0.5_T3</v>
      </c>
      <c r="DZ3" s="44" t="str">
        <f>'Formulation Name Data'!A75&amp;"_T1"</f>
        <v>D193_G215_DGBE_0.3_0.2_0.5_T1</v>
      </c>
      <c r="EA3" s="44" t="str">
        <f>'Formulation Name Data'!A75&amp;"_T2"</f>
        <v>D193_G215_DGBE_0.3_0.2_0.5_T2</v>
      </c>
      <c r="EB3" s="44" t="str">
        <f>'Formulation Name Data'!A75&amp;"_T3"</f>
        <v>D193_G215_DGBE_0.3_0.2_0.5_T3</v>
      </c>
      <c r="EC3" s="44" t="str">
        <f>'Formulation Name Data'!A36&amp;"_T1"</f>
        <v>D67_G215_DGBE_0.06_0.04_0.5_T1</v>
      </c>
      <c r="ED3" s="44" t="str">
        <f>'Formulation Name Data'!A36&amp;"_T2"</f>
        <v>D67_G215_DGBE_0.06_0.04_0.5_T2</v>
      </c>
      <c r="EE3" s="44" t="str">
        <f>'Formulation Name Data'!A36&amp;"_T3"</f>
        <v>D67_G215_DGBE_0.06_0.04_0.5_T3</v>
      </c>
      <c r="EF3" s="44" t="str">
        <f>'Formulation Name Data'!A45&amp;"_T1"</f>
        <v>Gel6185_G215_DGBE_0.06_0.04_0.5_T1</v>
      </c>
      <c r="EG3" s="44" t="str">
        <f>'Formulation Name Data'!A45&amp;"_T2"</f>
        <v>Gel6185_G215_DGBE_0.06_0.04_0.5_T2</v>
      </c>
      <c r="EH3" s="44" t="str">
        <f>'Formulation Name Data'!A45&amp;"_T3"</f>
        <v>Gel6185_G215_DGBE_0.06_0.04_0.5_T3</v>
      </c>
      <c r="EI3" s="44" t="str">
        <f>'Formulation Name Data'!A35&amp;"_T1"</f>
        <v>L77_G215_DGBE_0.11_0.08_0.5_T1</v>
      </c>
      <c r="EJ3" s="44" t="str">
        <f>'Formulation Name Data'!A35&amp;"_T2"</f>
        <v>L77_G215_DGBE_0.11_0.08_0.5_T2</v>
      </c>
      <c r="EK3" s="44" t="str">
        <f>'Formulation Name Data'!A35&amp;"_T3"</f>
        <v>L77_G215_DGBE_0.11_0.08_0.5_T3</v>
      </c>
      <c r="EL3" s="44" t="str">
        <f>'Formulation Name Data'!A35&amp;"_T4"</f>
        <v>L77_G215_DGBE_0.11_0.08_0.5_T4</v>
      </c>
      <c r="EM3" s="44" t="str">
        <f>'Formulation Name Data'!A92&amp;"_T1"</f>
        <v>NRL_N10477-09_G225_DGBE_0.2_0.3_0.5_T1</v>
      </c>
      <c r="EN3" s="44" t="str">
        <f>'Formulation Name Data'!A92&amp;"_T2"</f>
        <v>NRL_N10477-09_G225_DGBE_0.2_0.3_0.5_T2</v>
      </c>
      <c r="EO3" s="44" t="str">
        <f>'Formulation Name Data'!A92&amp;"_T3"</f>
        <v>NRL_N10477-09_G225_DGBE_0.2_0.3_0.5_T3</v>
      </c>
      <c r="EP3" s="44" t="str">
        <f>'Formulation Name Data'!A94&amp;"_T1"</f>
        <v>Gel6492.6_G215_DGBE_0.06_0.04_0.5_T1</v>
      </c>
      <c r="EQ3" s="44" t="str">
        <f>'Formulation Name Data'!A94&amp;"_T3"</f>
        <v>Gel6492.6_G215_DGBE_0.06_0.04_0.5_T3</v>
      </c>
      <c r="ER3" s="44" t="str">
        <f>'Formulation Name Data'!A194&amp;"_T1"</f>
        <v>T15-S-9_DGBE_0.5_0.5_T1</v>
      </c>
      <c r="ES3" s="44" t="str">
        <f>'Formulation Name Data'!A194&amp;"_T2"</f>
        <v>T15-S-9_DGBE_0.5_0.5_T2</v>
      </c>
      <c r="ET3" s="44" t="str">
        <f>'Formulation Name Data'!A194&amp;"_T3"</f>
        <v>T15-S-9_DGBE_0.5_0.5_T3</v>
      </c>
      <c r="EU3" s="44" t="str">
        <f>'Formulation Name Data'!A195&amp;"_T1"</f>
        <v>T15-S-12_DGBE_0.5_0.5_T1</v>
      </c>
      <c r="EV3" s="44" t="str">
        <f>'Formulation Name Data'!A195&amp;"_T2"</f>
        <v>T15-S-12_DGBE_0.5_0.5_T2</v>
      </c>
      <c r="EW3" s="44" t="str">
        <f>'Formulation Name Data'!A195&amp;"_T3"</f>
        <v>T15-S-12_DGBE_0.5_0.5_T3</v>
      </c>
      <c r="EX3" s="44" t="str">
        <f>'Formulation Name Data'!A196&amp;"_T1"</f>
        <v>TrX114_DGBE_0.5_0.5_T1</v>
      </c>
      <c r="EY3" s="44" t="str">
        <f>'Formulation Name Data'!A196&amp;"_T2"</f>
        <v>TrX114_DGBE_0.5_0.5_T2</v>
      </c>
      <c r="EZ3" s="44" t="str">
        <f>'Formulation Name Data'!A196&amp;"_T3"</f>
        <v>TrX114_DGBE_0.5_0.5_T3</v>
      </c>
      <c r="FA3" s="44" t="str">
        <f>'Formulation Name Data'!A21&amp;"_T1"</f>
        <v>TrX45_G215_DGBE_0.022_0.015_0.5_T1</v>
      </c>
      <c r="FB3" s="44" t="str">
        <f>'Formulation Name Data'!A21&amp;"_T2"</f>
        <v>TrX45_G215_DGBE_0.022_0.015_0.5_T2</v>
      </c>
      <c r="FC3" s="44" t="str">
        <f>'Formulation Name Data'!A21&amp;"_T3"</f>
        <v>TrX45_G215_DGBE_0.022_0.015_0.5_T3</v>
      </c>
      <c r="FD3" s="44" t="str">
        <f>'Formulation Name Data'!A113&amp;"_T1"</f>
        <v>D502W_DGBE_0.5_0.5_T1</v>
      </c>
      <c r="FE3" s="44" t="str">
        <f>'Formulation Name Data'!A113&amp;"_T2"</f>
        <v>D502W_DGBE_0.5_0.5_T2</v>
      </c>
      <c r="FF3" s="44" t="str">
        <f>'Formulation Name Data'!A40&amp;"_T1"</f>
        <v>NRL_N10358-174_G225_DGBE_0.2_0.3_0.5_T1</v>
      </c>
      <c r="FG3" s="44" t="str">
        <f>'Formulation Name Data'!A40&amp;"_T2"</f>
        <v>NRL_N10358-174_G225_DGBE_0.2_0.3_0.5_T2</v>
      </c>
      <c r="FH3" s="44" t="str">
        <f>'Formulation Name Data'!A40&amp;"_T3"</f>
        <v>NRL_N10358-174_G225_DGBE_0.2_0.3_0.5_T3</v>
      </c>
      <c r="FI3" s="44" t="str">
        <f>'Formulation Name Data'!A120&amp;"_T1"</f>
        <v>NRL_N10477-03_G225_DGBE_0.2_0.3_0.5_T1</v>
      </c>
      <c r="FJ3" s="44" t="str">
        <f>'Formulation Name Data'!A120&amp;"_T2"</f>
        <v>NRL_N10477-03_G225_DGBE_0.2_0.3_0.5_T2</v>
      </c>
      <c r="FK3" s="44" t="str">
        <f>'Formulation Name Data'!A120&amp;"_T3"</f>
        <v>NRL_N10477-03_G225_DGBE_0.2_0.3_0.5_T3</v>
      </c>
      <c r="FL3" s="44" t="str">
        <f>'Formulation Name Data'!A116&amp;"_T1"</f>
        <v>NRL_N10477-05_G215_DGBE_0.2_0.3_0.5_T1</v>
      </c>
      <c r="FM3" s="44" t="str">
        <f>'Formulation Name Data'!A116&amp;"_T2"</f>
        <v>NRL_N10477-05_G215_DGBE_0.2_0.3_0.5_T2</v>
      </c>
      <c r="FN3" s="44" t="str">
        <f>'Formulation Name Data'!A116&amp;"_T3"</f>
        <v>NRL_N10477-05_G215_DGBE_0.2_0.3_0.5_T3</v>
      </c>
      <c r="FO3" s="44" t="str">
        <f>'Formulation Name Data'!A39&amp;"_T1"</f>
        <v>NRL_N10358-176_G225_DGBE_0.2_0.3_0.5_T1</v>
      </c>
      <c r="FP3" s="44" t="str">
        <f>'Formulation Name Data'!A39&amp;"_T2"</f>
        <v>NRL_N10358-176_G225_DGBE_0.2_0.3_0.5_T2</v>
      </c>
      <c r="FQ3" s="44" t="str">
        <f>'Formulation Name Data'!A39&amp;"_T3"</f>
        <v>NRL_N10358-176_G225_DGBE_0.2_0.3_0.5_T3</v>
      </c>
      <c r="FR3" s="44" t="str">
        <f>'Formulation Name Data'!A96&amp;"_T1"</f>
        <v>NRL_N10477-12_G225_DGBE_0.2_0.3_0.5_T1</v>
      </c>
      <c r="FS3" s="44" t="str">
        <f>'Formulation Name Data'!A96&amp;"_T2"</f>
        <v>NRL_N10477-12_G225_DGBE_0.2_0.3_0.5_T2</v>
      </c>
      <c r="FT3" s="44" t="str">
        <f>'Formulation Name Data'!A96&amp;"_T3"</f>
        <v>NRL_N10477-12_G225_DGBE_0.2_0.3_0.5_T3</v>
      </c>
      <c r="FU3" s="44" t="str">
        <f>'Formulation Name Data'!A97&amp;"_T1"</f>
        <v>NRL_N10477-07_G225_DGBE_0.2_0.3_0.5_T1</v>
      </c>
      <c r="FV3" s="44" t="str">
        <f>'Formulation Name Data'!A97&amp;"_T2"</f>
        <v>NRL_N10477-07_G225_DGBE_0.2_0.3_0.5_T2</v>
      </c>
      <c r="FW3" s="44" t="str">
        <f>'Formulation Name Data'!A97&amp;"_T3"</f>
        <v>NRL_N10477-07_G225_DGBE_0.2_0.3_0.5_T3</v>
      </c>
      <c r="FX3" s="44" t="str">
        <f>'Formulation Name Data'!A71&amp;"_T1"</f>
        <v>ComSor_EXP-21-7_T1</v>
      </c>
      <c r="FY3" s="44" t="str">
        <f>'Formulation Name Data'!A70&amp;"_T1"</f>
        <v>ComSor_EXP-21-6_T1</v>
      </c>
      <c r="FZ3" s="44" t="str">
        <f>'Formulation Name Data'!A70&amp;"_T2"</f>
        <v>ComSor_EXP-21-6_T2</v>
      </c>
      <c r="GA3" s="44" t="str">
        <f>'Formulation Name Data'!A70&amp;"_T3"</f>
        <v>ComSor_EXP-21-6_T3</v>
      </c>
      <c r="GB3" s="44" t="str">
        <f>'Formulation Name Data'!A69&amp;"_T1"</f>
        <v>ComSor_EXP-21-5_T1</v>
      </c>
      <c r="GC3" s="44" t="str">
        <f>'Formulation Name Data'!A68&amp;"_T1"</f>
        <v>ComSor_EXP-21-3_T1</v>
      </c>
      <c r="GD3" s="44" t="str">
        <f>'Formulation Name Data'!A68&amp;"_T2"</f>
        <v>ComSor_EXP-21-3_T2</v>
      </c>
      <c r="GE3" s="44" t="str">
        <f>'Formulation Name Data'!A62&amp;"_T1"</f>
        <v>ComSor_EXP-21-2_T1</v>
      </c>
      <c r="GF3" s="44" t="str">
        <f>'Formulation Name Data'!A62&amp;"_T2"</f>
        <v>ComSor_EXP-21-2_T2</v>
      </c>
      <c r="GG3" s="44" t="str">
        <f>'Formulation Name Data'!A63&amp;"_T1"</f>
        <v>ComSor_EXP-21-1_T1</v>
      </c>
      <c r="GH3" s="44" t="str">
        <f>'Formulation Name Data'!A63&amp;"_T2"</f>
        <v>ComSor_EXP-21-1_T2</v>
      </c>
      <c r="GI3" s="44" t="str">
        <f>'Formulation Name Data'!A138&amp;"_T1"</f>
        <v>CL_MD2086-97_G225_DGBE_0.34_0.56_0.5_T1</v>
      </c>
      <c r="GJ3" s="44" t="str">
        <f>'Formulation Name Data'!A138&amp;"_T2"</f>
        <v>CL_MD2086-97_G225_DGBE_0.34_0.56_0.5_T2</v>
      </c>
      <c r="GK3" s="44" t="str">
        <f>'Formulation Name Data'!A139&amp;"_T1"</f>
        <v>CL_MD2086-97_0.5_T1</v>
      </c>
      <c r="GL3" s="44" t="str">
        <f>'Formulation Name Data'!A67&amp;"_T1"</f>
        <v>FomtecEnviroUSP 3%_T1</v>
      </c>
      <c r="GM3" s="44" t="str">
        <f>'Formulation Name Data'!A67&amp;"_T2"</f>
        <v>FomtecEnviroUSP 3%_T2</v>
      </c>
      <c r="GN3" s="44" t="str">
        <f>'Formulation Name Data'!A67&amp;"_T3"</f>
        <v>FomtecEnviroUSP 3%_T3</v>
      </c>
      <c r="GO3" s="44" t="str">
        <f>'Formulation Name Data'!A66&amp;"_T1"</f>
        <v>Solberg® Rehealing RF3 3%_T1</v>
      </c>
      <c r="GP3" s="44" t="str">
        <f>'Formulation Name Data'!A66&amp;"_T2"</f>
        <v>Solberg® Rehealing RF3 3%_T2</v>
      </c>
      <c r="GQ3" s="44" t="str">
        <f>'Formulation Name Data'!A66&amp;"_T3"</f>
        <v>Solberg® Rehealing RF3 3%_T3</v>
      </c>
      <c r="GR3" s="44" t="str">
        <f>'Formulation Name Data'!A65&amp;"_T1"</f>
        <v>JetFoam 3%_T1</v>
      </c>
      <c r="GS3" s="44" t="str">
        <f>'Formulation Name Data'!A65&amp;"_T2"</f>
        <v>JetFoam 3%_T2</v>
      </c>
      <c r="GT3" s="44" t="str">
        <f>'Formulation Name Data'!A64&amp;"_T1"</f>
        <v>Avio®F3 Green KHC_T1</v>
      </c>
      <c r="GU3" s="44" t="str">
        <f>'Formulation Name Data'!A64&amp;"_T2"</f>
        <v>Avio®F3 Green KHC_T2</v>
      </c>
      <c r="GV3" s="44" t="str">
        <f>'Formulation Name Data'!A64&amp;"_T3"</f>
        <v>Avio®F3 Green KHC_T3</v>
      </c>
      <c r="GW3" s="44" t="str">
        <f>'Formulation Name Data'!A109&amp;"_T1"</f>
        <v>G225_DGBE_0.3_0.5_T1</v>
      </c>
      <c r="GX3" s="44" t="str">
        <f>'Formulation Name Data'!A109&amp;"_T2"</f>
        <v>G225_DGBE_0.3_0.5_T2</v>
      </c>
      <c r="GY3" s="44" t="str">
        <f>'Formulation Name Data'!A108&amp;"_T1"</f>
        <v>D502W_C7G1_DGBE_0.2_0.19_0.5_T1</v>
      </c>
      <c r="GZ3" s="44" t="str">
        <f>'Formulation Name Data'!A108&amp;"_T2"</f>
        <v>D502W_C7G1_DGBE_0.2_0.19_0.5_T2</v>
      </c>
      <c r="HA3" s="44" t="str">
        <f>'Formulation Name Data'!A108&amp;"_T3"</f>
        <v>D502W_C7G1_DGBE_0.2_0.19_0.5_T3</v>
      </c>
      <c r="HB3" s="44" t="str">
        <f>'Formulation Name Data'!A106&amp;"_T1"</f>
        <v>D502W_C9G2_DGBE_0.2_0.19_0.5_T1</v>
      </c>
      <c r="HC3" s="44" t="str">
        <f>'Formulation Name Data'!A106&amp;"_T2"</f>
        <v>D502W_C9G2_DGBE_0.2_0.19_0.5_T2</v>
      </c>
      <c r="HD3" s="44" t="str">
        <f>'Formulation Name Data'!A106&amp;"_T3"</f>
        <v>D502W_C9G2_DGBE_0.2_0.19_0.5_T3</v>
      </c>
      <c r="HE3" s="44" t="str">
        <f>'Formulation Name Data'!A105&amp;"_T1"</f>
        <v>D502W_C6G2_DGBE_0.2_0.19_0.5_T1</v>
      </c>
      <c r="HF3" s="44" t="str">
        <f>'Formulation Name Data'!A105&amp;"_T2"</f>
        <v>D502W_C6G2_DGBE_0.2_0.19_0.5_T2</v>
      </c>
      <c r="HG3" s="44" t="str">
        <f>'Formulation Name Data'!A105&amp;"_T3"</f>
        <v>D502W_C6G2_DGBE_0.2_0.19_0.5_T3</v>
      </c>
      <c r="HH3" s="44" t="str">
        <f>'Formulation Name Data'!A104&amp;"_T1"</f>
        <v>D502W_iC8G2_DGBE_0.2_0.19_0.5_T1</v>
      </c>
      <c r="HI3" s="44" t="str">
        <f>'Formulation Name Data'!A104&amp;"_T2"</f>
        <v>D502W_iC8G2_DGBE_0.2_0.19_0.5_T2</v>
      </c>
      <c r="HJ3" s="44" t="str">
        <f>'Formulation Name Data'!A104&amp;"_T3"</f>
        <v>D502W_iC8G2_DGBE_0.2_0.19_0.5_T3</v>
      </c>
      <c r="HK3" s="44" t="str">
        <f>'Formulation Name Data'!A103&amp;"_T1"</f>
        <v>D502W_Cymal_DGBE_0.2_0.19_0.5_T1</v>
      </c>
      <c r="HL3" s="44" t="str">
        <f>'Formulation Name Data'!A103&amp;"_T2"</f>
        <v>D502W_Cymal_DGBE_0.2_0.19_0.5_T2</v>
      </c>
      <c r="HM3" s="44" t="str">
        <f>'Formulation Name Data'!A103&amp;"_T3"</f>
        <v>D502W_Cymal_DGBE_0.2_0.19_0.5_T3</v>
      </c>
      <c r="HN3" s="44" t="str">
        <f>'Formulation Name Data'!A102&amp;"_T1"</f>
        <v>D502W_C8SG2_DGBE_0.2_0.19_0.5_T1</v>
      </c>
      <c r="HO3" s="44" t="str">
        <f>'Formulation Name Data'!A102&amp;"_T2"</f>
        <v>D502W_C8SG2_DGBE_0.2_0.19_0.5_T2</v>
      </c>
      <c r="HP3" s="44" t="str">
        <f>'Formulation Name Data'!A102&amp;"_T3"</f>
        <v>D502W_C8SG2_DGBE_0.2_0.19_0.5_T3</v>
      </c>
      <c r="HQ3" s="17" t="str">
        <f>'Formulation Name Data'!A98&amp;"_T1"</f>
        <v>ComSor1830503_T1</v>
      </c>
      <c r="HR3" s="17" t="str">
        <f>'Formulation Name Data'!A98&amp;"_T2"</f>
        <v>ComSor1830503_T2</v>
      </c>
      <c r="HS3" s="1" t="str">
        <f>'Formulation Name Data'!A99&amp;"_T1"</f>
        <v>ComSor_26990-95B_T1</v>
      </c>
      <c r="HT3" s="1" t="str">
        <f>'Formulation Name Data'!A99&amp;"_T2"</f>
        <v>ComSor_26990-95B_T2</v>
      </c>
      <c r="HU3" s="1" t="str">
        <f>'Formulation Name Data'!A100&amp;"_T1"</f>
        <v>ComSor_26990-95C_T1</v>
      </c>
      <c r="HV3" s="1" t="str">
        <f>'Formulation Name Data'!A100&amp;"_T2"</f>
        <v>ComSor_26990-95C_T2</v>
      </c>
      <c r="HW3" s="1" t="str">
        <f>'Formulation Name Data'!A101&amp;"_T1"</f>
        <v>ComSor_26990-95D_T1</v>
      </c>
      <c r="HX3" s="1" t="str">
        <f>'Formulation Name Data'!A101&amp;"_T2"</f>
        <v>ComSor_26990-95D_T2</v>
      </c>
      <c r="HY3" s="1" t="str">
        <f>'Formulation Name Data'!A160&amp;"_T1"</f>
        <v>D502W_CL_C8G3_DGBE_0.2_0.19_0.5_T1</v>
      </c>
      <c r="HZ3" s="1" t="str">
        <f>'Formulation Name Data'!A160&amp;"_T2"</f>
        <v>D502W_CL_C8G3_DGBE_0.2_0.19_0.5_T2</v>
      </c>
      <c r="IA3" s="1" t="str">
        <f>'Formulation Name Data'!A160&amp;"_T3"</f>
        <v>D502W_CL_C8G3_DGBE_0.2_0.19_0.5_T3</v>
      </c>
      <c r="IB3" s="1" t="str">
        <f>'Formulation Name Data'!A22&amp;"_T1"</f>
        <v>TrX114_G215_DGBE_0.04_0.027_0.5_T1</v>
      </c>
      <c r="IC3" s="1" t="str">
        <f>'Formulation Name Data'!A22&amp;"_T2"</f>
        <v>TrX114_G215_DGBE_0.04_0.027_0.5_T2</v>
      </c>
      <c r="ID3" s="12" t="str">
        <f>'Formulation Name Data'!A22&amp;"_T3"</f>
        <v>TrX114_G215_DGBE_0.04_0.027_0.5_T3</v>
      </c>
      <c r="IE3" s="1" t="str">
        <f>'Formulation Name Data'!A114&amp;"_T1"</f>
        <v>T15-S-9_G215_DGBE_0.03_0.02_0.5_T1</v>
      </c>
      <c r="IF3" s="1" t="str">
        <f>'Formulation Name Data'!A114&amp;"_T2"</f>
        <v>T15-S-9_G215_DGBE_0.03_0.02_0.5_T2</v>
      </c>
      <c r="IG3" s="12" t="str">
        <f>'Formulation Name Data'!A114&amp;"_T3"</f>
        <v>T15-S-9_G215_DGBE_0.03_0.02_0.5_T3</v>
      </c>
      <c r="IH3" s="1" t="str">
        <f>'Formulation Name Data'!A137&amp;"_T1"</f>
        <v>Gel6185_G215_DGBE_1.8_1.2_0.5_T1</v>
      </c>
      <c r="II3" s="1" t="str">
        <f>'Formulation Name Data'!A137&amp;"_T2"</f>
        <v>Gel6185_G215_DGBE_1.8_1.2_0.5_T2</v>
      </c>
      <c r="IJ3" s="12" t="str">
        <f>'Formulation Name Data'!A137&amp;"_T3"</f>
        <v>Gel6185_G215_DGBE_1.8_1.2_0.5_T3</v>
      </c>
      <c r="IK3" s="1" t="str">
        <f>'Formulation Name Data'!A88&amp;"_T1"</f>
        <v>D502W_G600_DGBE_0.25_0.25_0.5_T1</v>
      </c>
      <c r="IL3" s="1" t="str">
        <f>'Formulation Name Data'!A88&amp;"_T2"</f>
        <v>D502W_G600_DGBE_0.25_0.25_0.5_T2</v>
      </c>
      <c r="IM3" s="12" t="str">
        <f>'Formulation Name Data'!A88&amp;"_T3"</f>
        <v>D502W_G600_DGBE_0.25_0.25_0.5_T3</v>
      </c>
      <c r="IN3" s="1" t="str">
        <f>'Formulation Name Data'!A85&amp;"_T1"</f>
        <v>D502W_G225_DGBE_0.5_0.5_0.5_T1</v>
      </c>
      <c r="IO3" s="1" t="str">
        <f>'Formulation Name Data'!A85&amp;"_T2"</f>
        <v>D502W_G225_DGBE_0.5_0.5_0.5_T2</v>
      </c>
      <c r="IP3" s="12" t="str">
        <f>'Formulation Name Data'!A85&amp;"_T3"</f>
        <v>D502W_G225_DGBE_0.5_0.5_0.5_T3</v>
      </c>
      <c r="IQ3" s="1" t="str">
        <f>'Formulation Name Data'!A90&amp;"_T1"</f>
        <v>D502W_G225_DGBE_0.25_0.25_0.5_T1</v>
      </c>
      <c r="IR3" s="1" t="str">
        <f>'Formulation Name Data'!A90&amp;"_T2"</f>
        <v>D502W_G225_DGBE_0.25_0.25_0.5_T2</v>
      </c>
      <c r="IS3" s="12" t="str">
        <f>'Formulation Name Data'!A90&amp;"_T3"</f>
        <v>D502W_G225_DGBE_0.25_0.25_0.5_T3</v>
      </c>
      <c r="IT3" s="1" t="str">
        <f>'Formulation Name Data'!A93&amp;"_T1"</f>
        <v>TrX100_G215_DGBE_0.06_0.04_0.5_T1</v>
      </c>
      <c r="IU3" s="1" t="str">
        <f>'Formulation Name Data'!A93&amp;"_T2"</f>
        <v>TrX100_G215_DGBE_0.06_0.04_0.5_T2</v>
      </c>
      <c r="IV3" s="12" t="str">
        <f>'Formulation Name Data'!A93&amp;"_T3"</f>
        <v>TrX100_G215_DGBE_0.06_0.04_0.5_T3</v>
      </c>
      <c r="IW3" s="1" t="str">
        <f>'Formulation Name Data'!A7&amp;"_T1"</f>
        <v>G215_DGBE_0.5_0.5_T1</v>
      </c>
      <c r="IX3" s="1" t="str">
        <f>'Formulation Name Data'!A7&amp;"_T2"</f>
        <v>G215_DGBE_0.5_0.5_T2</v>
      </c>
      <c r="IY3" s="12" t="str">
        <f>'Formulation Name Data'!A7&amp;"_T3"</f>
        <v>G215_DGBE_0.5_0.5_T3</v>
      </c>
      <c r="IZ3" s="1" t="str">
        <f>'Formulation Name Data'!A7&amp;"_T4"</f>
        <v>G215_DGBE_0.5_0.5_T4</v>
      </c>
      <c r="JA3" s="1" t="str">
        <f>'Formulation Name Data'!A7&amp;"_T5"</f>
        <v>G215_DGBE_0.5_0.5_T5</v>
      </c>
      <c r="JB3" s="12" t="str">
        <f>'Formulation Name Data'!A7&amp;"_T6"</f>
        <v>G215_DGBE_0.5_0.5_T6</v>
      </c>
      <c r="JC3" s="1" t="str">
        <f>'Formulation Name Data'!A86&amp;"_T1"</f>
        <v>D502W_G215_DGBE_0.5_0.5_0.5_T1</v>
      </c>
      <c r="JD3" s="1" t="str">
        <f>'Formulation Name Data'!A86&amp;"_T2"</f>
        <v>D502W_G215_DGBE_0.5_0.5_0.5_T2</v>
      </c>
      <c r="JE3" s="12" t="str">
        <f>'Formulation Name Data'!A86&amp;"_T3"</f>
        <v>D502W_G215_DGBE_0.5_0.5_0.5_T3</v>
      </c>
      <c r="JF3" s="1" t="str">
        <f>'Formulation Name Data'!A87&amp;"_T1"</f>
        <v>D502W_G215_DGBE_0.2_0.3_0.5_T1</v>
      </c>
      <c r="JG3" s="1" t="str">
        <f>'Formulation Name Data'!A87&amp;"_T2"</f>
        <v>D502W_G215_DGBE_0.2_0.3_0.5_T2</v>
      </c>
      <c r="JH3" s="12" t="str">
        <f>'Formulation Name Data'!A87&amp;"_T3"</f>
        <v>D502W_G215_DGBE_0.2_0.3_0.5_T3</v>
      </c>
      <c r="JI3" s="1" t="str">
        <f>'Formulation Name Data'!A91&amp;"_T1"</f>
        <v>D502W_G215_DGBE_0.25_0.25_0.5_T1</v>
      </c>
      <c r="JJ3" s="1" t="str">
        <f>'Formulation Name Data'!A91&amp;"_T2"</f>
        <v>D502W_G215_DGBE_0.25_0.25_0.5_T2</v>
      </c>
      <c r="JK3" s="12" t="str">
        <f>'Formulation Name Data'!A91&amp;"_T3"</f>
        <v>D502W_G215_DGBE_0.25_0.25_0.5_T3</v>
      </c>
      <c r="JL3" s="1" t="str">
        <f>'Formulation Name Data'!A121&amp;"_T1"</f>
        <v>NRL_N10477-01_G225_DGBE_0.2_0.3_0.5_T1</v>
      </c>
      <c r="JM3" s="1" t="str">
        <f>'Formulation Name Data'!A121&amp;"_T2"</f>
        <v>NRL_N10477-01_G225_DGBE_0.2_0.3_0.5_T2</v>
      </c>
      <c r="JN3" s="12" t="str">
        <f>'Formulation Name Data'!A121&amp;"_T3"</f>
        <v>NRL_N10477-01_G225_DGBE_0.2_0.3_0.5_T3</v>
      </c>
      <c r="JO3" s="1" t="str">
        <f>'Formulation Name Data'!A115&amp;"_T1"</f>
        <v>T15-S-12_G215_DGBE_0.03_0.02_0.5_T1</v>
      </c>
      <c r="JP3" s="1" t="str">
        <f>'Formulation Name Data'!A115&amp;"_T2"</f>
        <v>T15-S-12_G215_DGBE_0.03_0.02_0.5_T2</v>
      </c>
      <c r="JQ3" s="12" t="str">
        <f>'Formulation Name Data'!A115&amp;"_T3"</f>
        <v>T15-S-12_G215_DGBE_0.03_0.02_0.5_T3</v>
      </c>
      <c r="JR3" s="1" t="str">
        <f>'Formulation Name Data'!A48&amp;"_T1"</f>
        <v>D502W_C8G2_DGBE_0.2_0.19_0.5_T1</v>
      </c>
      <c r="JS3" s="1" t="str">
        <f>'Formulation Name Data'!A48&amp;"_T2"</f>
        <v>D502W_C8G2_DGBE_0.2_0.19_0.5_T2</v>
      </c>
      <c r="JT3" s="12" t="str">
        <f>'Formulation Name Data'!A48&amp;"_T3"</f>
        <v>D502W_C8G2_DGBE_0.2_0.19_0.5_T3</v>
      </c>
      <c r="JU3" s="1" t="str">
        <f>'Formulation Name Data'!A51&amp;"_T1"</f>
        <v>D502W_C8G1_DGBE_0.2_0.19_0.5_T1</v>
      </c>
      <c r="JV3" s="1" t="str">
        <f>'Formulation Name Data'!A51&amp;"_T2"</f>
        <v>D502W_C8G1_DGBE_0.2_0.19_0.5_T2</v>
      </c>
      <c r="JW3" s="12" t="str">
        <f>'Formulation Name Data'!A51&amp;"_T3"</f>
        <v>D502W_C8G1_DGBE_0.2_0.19_0.5_T3</v>
      </c>
      <c r="JX3" s="1" t="str">
        <f>'Formulation Name Data'!A49&amp;"_T1"</f>
        <v>D502W_C10G2_DGBE_0.2_0.19_0.5_T1</v>
      </c>
      <c r="JY3" s="1" t="str">
        <f>'Formulation Name Data'!A49&amp;"_T2"</f>
        <v>D502W_C10G2_DGBE_0.2_0.19_0.5_T2</v>
      </c>
      <c r="JZ3" s="1" t="str">
        <f>'Formulation Name Data'!A50&amp;"_T1"</f>
        <v>D502W_C12G2_DGBE_0.2_0.19_0.5_T1</v>
      </c>
      <c r="KA3" s="1" t="str">
        <f>'Formulation Name Data'!A50&amp;"_T2"</f>
        <v>D502W_C12G2_DGBE_0.2_0.19_0.5_T2</v>
      </c>
      <c r="KB3" s="12" t="str">
        <f>'Formulation Name Data'!A50&amp;"_T3"</f>
        <v>D502W_C12G2_DGBE_0.2_0.19_0.5_T3</v>
      </c>
      <c r="KC3" s="1" t="str">
        <f>'Formulation Name Data'!A107&amp;"_T1"</f>
        <v>D502W_C6G1_DGBE_0.2_0.19_0.5_T1</v>
      </c>
      <c r="KD3" s="1" t="str">
        <f>'Formulation Name Data'!A107&amp;"_T2"</f>
        <v>D502W_C6G1_DGBE_0.2_0.19_0.5_T2</v>
      </c>
      <c r="KE3" s="12" t="str">
        <f>'Formulation Name Data'!A107&amp;"_T3"</f>
        <v>D502W_C6G1_DGBE_0.2_0.19_0.5_T3</v>
      </c>
      <c r="KF3" s="12" t="str">
        <f>'Formulation Name Data'!A110&amp;"_T1"</f>
        <v>ComSor_EXP-21-CH1035-B_T1</v>
      </c>
      <c r="KG3" s="12" t="str">
        <f>'Formulation Name Data'!A110&amp;"_T2"</f>
        <v>ComSor_EXP-21-CH1035-B_T2</v>
      </c>
      <c r="KH3" s="12" t="str">
        <f>'Formulation Name Data'!A117&amp;"_T1"</f>
        <v>ComSor_EXP-21-CH1035-A_T1</v>
      </c>
      <c r="KI3" s="12" t="str">
        <f>'Formulation Name Data'!A117&amp;"_T2"</f>
        <v>ComSor_EXP-21-CH1035-A_T2</v>
      </c>
      <c r="KJ3" s="12" t="str">
        <f>'Formulation Name Data'!A118&amp;"_T1"</f>
        <v>ComSor_EXP-21-CH1035-C_T1</v>
      </c>
      <c r="KK3" s="12" t="str">
        <f>'Formulation Name Data'!A118&amp;"_T2"</f>
        <v>ComSor_EXP-21-CH1035-C_T2</v>
      </c>
      <c r="KL3" s="12" t="str">
        <f>'Formulation Name Data'!A148&amp;"_T1"</f>
        <v>ComSor_EXP-21-CM7837-5_T1</v>
      </c>
      <c r="KM3" s="12" t="str">
        <f>'Formulation Name Data'!A148&amp;"_T2"</f>
        <v>ComSor_EXP-21-CM7837-5_T2</v>
      </c>
      <c r="KN3" s="12" t="str">
        <f>'Formulation Name Data'!A149&amp;"_T1"</f>
        <v>ComSor_EXP-21-CM7837-4_T1</v>
      </c>
      <c r="KO3" s="12" t="str">
        <f>'Formulation Name Data'!A149&amp;"_T2"</f>
        <v>ComSor_EXP-21-CM7837-4_T2</v>
      </c>
      <c r="KP3" s="12" t="str">
        <f>'Formulation Name Data'!A152&amp;"_T1"</f>
        <v>ComSor_EXP-21-CM7837-3_T1</v>
      </c>
      <c r="KQ3" s="12" t="str">
        <f>'Formulation Name Data'!A152&amp;"_T2"</f>
        <v>ComSor_EXP-21-CM7837-3_T2</v>
      </c>
      <c r="KR3" s="12" t="str">
        <f>'Formulation Name Data'!A154&amp;"_T1"</f>
        <v>CL_MD2012-16_G225_DGBE_0.52_0.78_0.5_T1</v>
      </c>
      <c r="KS3" s="12" t="str">
        <f>'Formulation Name Data'!A154&amp;"_T2"</f>
        <v>CL_MD2012-16_G225_DGBE_0.52_0.78_0.5_T2</v>
      </c>
      <c r="KT3" s="12" t="str">
        <f>'Formulation Name Data'!A155&amp;"_T1"</f>
        <v>NRL_N10478-198_G225_DGBE_0.065_0.3_0.5_T1</v>
      </c>
      <c r="KU3" s="12" t="str">
        <f>'Formulation Name Data'!A155&amp;"_T2"</f>
        <v>NRL_N10478-198_G225_DGBE_0.065_0.3_0.5_T2</v>
      </c>
      <c r="KV3" s="1" t="str">
        <f>'Formulation Name Data'!A158&amp;"_T1"</f>
        <v>CL_MD2102-54_G225_DGBE_0.2_0.3_0.5_T1</v>
      </c>
      <c r="KW3" s="1" t="str">
        <f>'Formulation Name Data'!A158&amp;"_T2"</f>
        <v>CL_MD2102-54_G225_DGBE_0.2_0.3_0.5_T2</v>
      </c>
      <c r="KX3" s="1" t="str">
        <f>'Formulation Name Data'!A182&amp;"_T1"</f>
        <v>NRL_LBII43_G225_DGBE_0.2_0.3_0.5_T1</v>
      </c>
      <c r="KY3" s="1" t="str">
        <f>'Formulation Name Data'!A182&amp;"_T2"</f>
        <v>NRL_LBII43_G225_DGBE_0.2_0.3_0.5_T2</v>
      </c>
      <c r="KZ3" s="1" t="str">
        <f>'Formulation Name Data'!A184&amp;"_T1"</f>
        <v>NRL_CB-1-123_G225_DGBE_0.2_0.3_0.5_T1</v>
      </c>
      <c r="LA3" s="1" t="str">
        <f>'Formulation Name Data'!A183&amp;"_T1"</f>
        <v>NRL_CB_DTBTS_SB_G225_DGBE_0.02_0.3_0.5_T1</v>
      </c>
      <c r="LB3" s="1" t="str">
        <f>'Formulation Name Data'!A183&amp;"_T2"</f>
        <v>NRL_CB_DTBTS_SB_G225_DGBE_0.02_0.3_0.5_T2</v>
      </c>
      <c r="LC3" s="1" t="str">
        <f>'Formulation Name Data'!A185&amp;"_T1"</f>
        <v>NRL_N10478-227_G225_DGBE_0.063_0.3_0.5_T1</v>
      </c>
      <c r="LD3" s="1" t="str">
        <f>'Formulation Name Data'!A186&amp;"_T1"</f>
        <v>NRL_N10478-233_G225_DGBE_0.03_0.3_0.5_T1</v>
      </c>
      <c r="LE3" s="1" t="str">
        <f>'Formulation Name Data'!A187&amp;"_T1"</f>
        <v>NRL_N10478-240_G225_DGBE_#_0.3_0.5_T1</v>
      </c>
      <c r="LF3" s="1" t="str">
        <f>'Formulation Name Data'!A187&amp;"_T2"</f>
        <v>NRL_N10478-240_G225_DGBE_#_0.3_0.5_T2</v>
      </c>
      <c r="LG3" s="1" t="str">
        <f>'Formulation Name Data'!A188&amp;"_T1"</f>
        <v>CL_MD2102-90_G225_DGBE_0.2_0.3_0.5_T1</v>
      </c>
      <c r="LH3" s="1" t="str">
        <f>'Formulation Name Data'!A188&amp;"_T2"</f>
        <v>CL_MD2102-90_G225_DGBE_0.2_0.3_0.5_T2</v>
      </c>
      <c r="LI3" s="1" t="str">
        <f>'Formulation Name Data'!A189&amp;"_T1"</f>
        <v>CL_MD2102-112_G225_DGBE_0.05_0.3_0.5_T1</v>
      </c>
      <c r="LJ3" s="1" t="str">
        <f>'Formulation Name Data'!A189&amp;"_T2"</f>
        <v>CL_MD2102-112_G225_DGBE_0.05_0.3_0.5_T2</v>
      </c>
      <c r="LK3" s="1" t="str">
        <f>'Formulation Name Data'!A190&amp;"_T1"</f>
        <v>CL_MD2102-118_G225_DGBE_0.2_0.3_0.5_T1</v>
      </c>
      <c r="LL3" s="1" t="str">
        <f>'Formulation Name Data'!A190&amp;"_T2"</f>
        <v>CL_MD2102-118_G225_DGBE_0.2_0.3_0.5_T2</v>
      </c>
      <c r="LM3" s="1" t="str">
        <f>'Formulation Name Data'!A191&amp;"_T1"</f>
        <v>ComSor_EXP-21-CH1070-1_3_T1</v>
      </c>
      <c r="LN3" s="1" t="str">
        <f>'Formulation Name Data'!A191&amp;"_T2"</f>
        <v>ComSor_EXP-21-CH1070-1_3_T2</v>
      </c>
      <c r="LO3" s="1" t="str">
        <f>'Formulation Name Data'!A192&amp;"_T1"</f>
        <v>ComSor_EXP-21-CH1070-2_3_T1</v>
      </c>
      <c r="LP3" s="1" t="str">
        <f>'Formulation Name Data'!A192&amp;"_T2"</f>
        <v>ComSor_EXP-21-CH1070-2_3_T2</v>
      </c>
      <c r="LQ3" s="1" t="str">
        <f>'Formulation Name Data'!A193&amp;"_T1"</f>
        <v>ComSor_EXP-21-CH1070-4_1_T1</v>
      </c>
      <c r="LR3" s="1" t="str">
        <f>'Formulation Name Data'!A193&amp;"_T2"</f>
        <v>ComSor_EXP-21-CH1070-4_1_T2</v>
      </c>
      <c r="LS3" s="1" t="str">
        <f>'Formulation Name Data'!A197&amp;"_T1"</f>
        <v>NRL_CB-1-192_G225_DGBE_0.14_0.21_0.5_T1</v>
      </c>
      <c r="LT3" s="1" t="str">
        <f>'Formulation Name Data'!A197&amp;"_T2"</f>
        <v>NRL_CB-1-192_G225_DGBE_0.14_0.21_0.5_T2</v>
      </c>
    </row>
    <row r="4" spans="1:334" x14ac:dyDescent="0.35">
      <c r="A4">
        <v>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s="11">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s="11">
        <v>0</v>
      </c>
      <c r="CR4" s="11">
        <v>0</v>
      </c>
      <c r="CS4" s="11">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s="11">
        <v>0</v>
      </c>
      <c r="DT4" s="11">
        <v>0</v>
      </c>
      <c r="DU4" s="11">
        <v>0</v>
      </c>
      <c r="DV4" s="11">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s="28">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s="11">
        <v>0</v>
      </c>
      <c r="HZ4" s="11">
        <v>0</v>
      </c>
      <c r="IA4" s="11">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s="11">
        <v>0</v>
      </c>
      <c r="JA4" s="11">
        <v>0</v>
      </c>
      <c r="JB4" s="11">
        <v>0</v>
      </c>
      <c r="JC4">
        <v>0</v>
      </c>
      <c r="JD4">
        <v>0</v>
      </c>
      <c r="JE4">
        <v>0</v>
      </c>
      <c r="JF4">
        <v>0</v>
      </c>
      <c r="JG4">
        <v>0</v>
      </c>
      <c r="JH4">
        <v>0</v>
      </c>
      <c r="JI4">
        <v>0</v>
      </c>
      <c r="JJ4">
        <v>0</v>
      </c>
      <c r="JK4">
        <v>0</v>
      </c>
      <c r="JL4" s="11">
        <v>0</v>
      </c>
      <c r="JM4" s="11">
        <v>0</v>
      </c>
      <c r="JN4" s="11">
        <v>0</v>
      </c>
      <c r="JO4" s="24">
        <v>0</v>
      </c>
      <c r="JP4" s="24">
        <v>0</v>
      </c>
      <c r="JQ4" s="24">
        <v>0</v>
      </c>
      <c r="JR4" s="11">
        <v>0</v>
      </c>
      <c r="JS4" s="11">
        <v>0</v>
      </c>
      <c r="JT4" s="11">
        <v>0</v>
      </c>
      <c r="JU4" s="11">
        <v>0</v>
      </c>
      <c r="JV4" s="11">
        <v>0</v>
      </c>
      <c r="JW4" s="11">
        <v>0</v>
      </c>
      <c r="JX4" s="24">
        <v>0</v>
      </c>
      <c r="JY4" s="24">
        <v>0</v>
      </c>
      <c r="JZ4" s="11">
        <v>0</v>
      </c>
      <c r="KA4" s="11">
        <v>0</v>
      </c>
      <c r="KB4" s="11">
        <v>0</v>
      </c>
      <c r="KC4" s="11">
        <v>0</v>
      </c>
      <c r="KD4" s="11">
        <v>0</v>
      </c>
      <c r="KE4" s="11">
        <v>0</v>
      </c>
      <c r="KF4" s="11">
        <v>0</v>
      </c>
      <c r="KG4" s="11">
        <v>0</v>
      </c>
      <c r="KH4" s="11">
        <v>0</v>
      </c>
      <c r="KI4" s="11">
        <v>0</v>
      </c>
      <c r="KJ4" s="11">
        <v>0</v>
      </c>
      <c r="KK4" s="11">
        <v>0</v>
      </c>
      <c r="KL4" s="11">
        <v>0</v>
      </c>
      <c r="KM4" s="11">
        <v>0</v>
      </c>
      <c r="KN4" s="11">
        <v>0</v>
      </c>
      <c r="KO4" s="11">
        <v>0</v>
      </c>
      <c r="KP4" s="11">
        <v>0</v>
      </c>
      <c r="KQ4" s="11">
        <v>0</v>
      </c>
      <c r="KR4">
        <v>0</v>
      </c>
      <c r="KS4">
        <v>0</v>
      </c>
      <c r="KT4">
        <v>0</v>
      </c>
      <c r="KU4">
        <v>0</v>
      </c>
      <c r="KV4" s="42">
        <v>0</v>
      </c>
      <c r="KW4" s="42">
        <v>0</v>
      </c>
      <c r="KX4" s="42">
        <v>0</v>
      </c>
      <c r="KY4" s="42">
        <v>0</v>
      </c>
      <c r="KZ4">
        <v>0</v>
      </c>
      <c r="LA4">
        <v>0</v>
      </c>
      <c r="LB4" s="42">
        <v>0</v>
      </c>
      <c r="LC4">
        <v>0</v>
      </c>
      <c r="LD4" s="42">
        <v>0</v>
      </c>
      <c r="LE4" s="42">
        <v>0</v>
      </c>
      <c r="LF4" s="42">
        <v>0</v>
      </c>
      <c r="LG4">
        <v>0</v>
      </c>
      <c r="LH4">
        <v>0</v>
      </c>
      <c r="LI4">
        <v>0</v>
      </c>
      <c r="LJ4">
        <v>0</v>
      </c>
      <c r="LK4">
        <v>0</v>
      </c>
      <c r="LL4">
        <v>0</v>
      </c>
      <c r="LM4">
        <v>0</v>
      </c>
      <c r="LN4">
        <v>0</v>
      </c>
      <c r="LO4" s="42">
        <v>0</v>
      </c>
      <c r="LP4" s="42">
        <v>0</v>
      </c>
      <c r="LQ4" s="42">
        <v>0</v>
      </c>
      <c r="LR4" s="42">
        <v>0</v>
      </c>
      <c r="LS4" s="42">
        <v>0</v>
      </c>
      <c r="LT4" s="42">
        <v>0</v>
      </c>
      <c r="LU4" s="60"/>
      <c r="LV4" s="60"/>
    </row>
    <row r="5" spans="1:334" x14ac:dyDescent="0.35">
      <c r="A5">
        <v>5</v>
      </c>
      <c r="B5">
        <v>5</v>
      </c>
      <c r="C5">
        <v>5</v>
      </c>
      <c r="D5">
        <v>0.17</v>
      </c>
      <c r="E5">
        <v>0.17</v>
      </c>
      <c r="F5">
        <v>0.17</v>
      </c>
      <c r="G5">
        <v>0.17</v>
      </c>
      <c r="H5">
        <v>0.17</v>
      </c>
      <c r="I5">
        <v>0.17</v>
      </c>
      <c r="J5">
        <v>0.5</v>
      </c>
      <c r="K5">
        <v>0.5</v>
      </c>
      <c r="L5">
        <v>0.5</v>
      </c>
      <c r="M5">
        <v>0.5</v>
      </c>
      <c r="N5">
        <v>0.5</v>
      </c>
      <c r="O5">
        <v>0.5</v>
      </c>
      <c r="P5">
        <v>2</v>
      </c>
      <c r="Q5">
        <v>2</v>
      </c>
      <c r="R5">
        <v>2</v>
      </c>
      <c r="S5">
        <v>0.5</v>
      </c>
      <c r="T5">
        <v>0.5</v>
      </c>
      <c r="U5">
        <v>0.5</v>
      </c>
      <c r="V5">
        <v>0.5</v>
      </c>
      <c r="W5">
        <v>0.5</v>
      </c>
      <c r="X5">
        <v>0.5</v>
      </c>
      <c r="Y5">
        <v>0.5</v>
      </c>
      <c r="Z5">
        <v>0.5</v>
      </c>
      <c r="AA5">
        <v>0.5</v>
      </c>
      <c r="AB5">
        <v>5</v>
      </c>
      <c r="AC5">
        <v>5</v>
      </c>
      <c r="AD5">
        <v>5</v>
      </c>
      <c r="AE5">
        <f>20/60</f>
        <v>0.33333333333333331</v>
      </c>
      <c r="AF5">
        <f>20/60</f>
        <v>0.33333333333333331</v>
      </c>
      <c r="AG5">
        <f>20/60</f>
        <v>0.33333333333333331</v>
      </c>
      <c r="AH5">
        <v>1</v>
      </c>
      <c r="AI5">
        <v>1</v>
      </c>
      <c r="AJ5">
        <v>1</v>
      </c>
      <c r="AK5">
        <v>5</v>
      </c>
      <c r="AL5">
        <v>5</v>
      </c>
      <c r="AM5">
        <v>5</v>
      </c>
      <c r="AN5">
        <v>5</v>
      </c>
      <c r="AO5">
        <v>5</v>
      </c>
      <c r="AP5">
        <v>5</v>
      </c>
      <c r="AQ5">
        <v>1</v>
      </c>
      <c r="AR5">
        <v>1</v>
      </c>
      <c r="AS5">
        <v>1</v>
      </c>
      <c r="AT5" s="11">
        <v>3</v>
      </c>
      <c r="AU5">
        <v>2</v>
      </c>
      <c r="AV5">
        <v>2</v>
      </c>
      <c r="AW5">
        <v>2</v>
      </c>
      <c r="AX5">
        <v>5</v>
      </c>
      <c r="AY5">
        <v>5</v>
      </c>
      <c r="AZ5">
        <v>5</v>
      </c>
      <c r="BA5">
        <v>1</v>
      </c>
      <c r="BB5">
        <v>1</v>
      </c>
      <c r="BC5">
        <v>1</v>
      </c>
      <c r="BD5">
        <v>0.5</v>
      </c>
      <c r="BE5">
        <v>0.5</v>
      </c>
      <c r="BF5">
        <v>0.5</v>
      </c>
      <c r="BG5">
        <v>0.5</v>
      </c>
      <c r="BH5">
        <v>0.5</v>
      </c>
      <c r="BI5">
        <v>0.5</v>
      </c>
      <c r="BJ5">
        <v>0.5</v>
      </c>
      <c r="BK5">
        <v>0.5</v>
      </c>
      <c r="BL5">
        <v>0.5</v>
      </c>
      <c r="BM5">
        <v>0.5</v>
      </c>
      <c r="BN5">
        <v>0.5</v>
      </c>
      <c r="BO5">
        <v>0.5</v>
      </c>
      <c r="BP5">
        <v>1</v>
      </c>
      <c r="BQ5">
        <v>1</v>
      </c>
      <c r="BR5">
        <v>1</v>
      </c>
      <c r="BS5">
        <v>0.5</v>
      </c>
      <c r="BT5">
        <v>0.5</v>
      </c>
      <c r="BU5">
        <v>0.5</v>
      </c>
      <c r="BV5">
        <v>2</v>
      </c>
      <c r="BW5">
        <v>2</v>
      </c>
      <c r="BX5">
        <v>2</v>
      </c>
      <c r="BY5">
        <v>5</v>
      </c>
      <c r="BZ5">
        <v>5</v>
      </c>
      <c r="CA5">
        <v>5</v>
      </c>
      <c r="CB5">
        <v>0.5</v>
      </c>
      <c r="CC5">
        <v>0.5</v>
      </c>
      <c r="CD5">
        <v>0.5</v>
      </c>
      <c r="CE5">
        <v>0.25</v>
      </c>
      <c r="CF5">
        <v>0.25</v>
      </c>
      <c r="CG5">
        <v>0.25</v>
      </c>
      <c r="CH5">
        <v>1</v>
      </c>
      <c r="CI5">
        <v>1</v>
      </c>
      <c r="CJ5">
        <v>1</v>
      </c>
      <c r="CK5">
        <v>1</v>
      </c>
      <c r="CL5">
        <v>1</v>
      </c>
      <c r="CM5">
        <v>1</v>
      </c>
      <c r="CN5">
        <v>2</v>
      </c>
      <c r="CO5">
        <v>2</v>
      </c>
      <c r="CP5">
        <v>2</v>
      </c>
      <c r="CQ5" s="11">
        <v>2</v>
      </c>
      <c r="CR5" s="11">
        <v>2</v>
      </c>
      <c r="CS5" s="11">
        <v>2</v>
      </c>
      <c r="CT5">
        <v>1</v>
      </c>
      <c r="CU5">
        <v>1</v>
      </c>
      <c r="CV5">
        <v>1</v>
      </c>
      <c r="CW5">
        <v>0.5</v>
      </c>
      <c r="CX5">
        <v>0.5</v>
      </c>
      <c r="CY5">
        <v>0.5</v>
      </c>
      <c r="CZ5">
        <v>1</v>
      </c>
      <c r="DA5">
        <v>1</v>
      </c>
      <c r="DB5">
        <v>1</v>
      </c>
      <c r="DC5">
        <v>10</v>
      </c>
      <c r="DD5">
        <v>10</v>
      </c>
      <c r="DE5">
        <v>10</v>
      </c>
      <c r="DF5">
        <v>10</v>
      </c>
      <c r="DG5">
        <v>1</v>
      </c>
      <c r="DH5">
        <v>1</v>
      </c>
      <c r="DI5">
        <v>1</v>
      </c>
      <c r="DJ5">
        <v>5</v>
      </c>
      <c r="DK5">
        <v>5</v>
      </c>
      <c r="DL5">
        <v>5</v>
      </c>
      <c r="DM5">
        <v>5</v>
      </c>
      <c r="DN5">
        <v>5</v>
      </c>
      <c r="DO5">
        <v>5</v>
      </c>
      <c r="DP5">
        <v>5</v>
      </c>
      <c r="DQ5">
        <v>5</v>
      </c>
      <c r="DR5">
        <v>5</v>
      </c>
      <c r="DS5" s="11">
        <v>5</v>
      </c>
      <c r="DT5" s="11">
        <v>5</v>
      </c>
      <c r="DU5" s="11">
        <v>4</v>
      </c>
      <c r="DV5" s="11">
        <v>4</v>
      </c>
      <c r="DW5">
        <v>2</v>
      </c>
      <c r="DX5">
        <v>2</v>
      </c>
      <c r="DY5">
        <v>2</v>
      </c>
      <c r="DZ5">
        <v>2</v>
      </c>
      <c r="EA5">
        <v>2</v>
      </c>
      <c r="EB5">
        <v>2</v>
      </c>
      <c r="EC5">
        <v>2</v>
      </c>
      <c r="ED5">
        <v>2</v>
      </c>
      <c r="EE5">
        <v>2</v>
      </c>
      <c r="EF5">
        <v>1</v>
      </c>
      <c r="EG5">
        <v>1</v>
      </c>
      <c r="EH5">
        <v>1</v>
      </c>
      <c r="EI5">
        <v>1</v>
      </c>
      <c r="EJ5">
        <v>1</v>
      </c>
      <c r="EK5">
        <v>1</v>
      </c>
      <c r="EL5">
        <v>1</v>
      </c>
      <c r="EM5">
        <v>3</v>
      </c>
      <c r="EN5">
        <v>3</v>
      </c>
      <c r="EO5">
        <v>3</v>
      </c>
      <c r="EP5">
        <v>2</v>
      </c>
      <c r="EQ5">
        <v>2</v>
      </c>
      <c r="ER5">
        <v>1</v>
      </c>
      <c r="ES5">
        <v>1</v>
      </c>
      <c r="ET5">
        <v>1</v>
      </c>
      <c r="EU5">
        <v>1</v>
      </c>
      <c r="EV5">
        <v>1</v>
      </c>
      <c r="EW5">
        <v>1</v>
      </c>
      <c r="EX5">
        <v>1</v>
      </c>
      <c r="EY5">
        <v>1</v>
      </c>
      <c r="EZ5">
        <v>1</v>
      </c>
      <c r="FA5">
        <v>0.5</v>
      </c>
      <c r="FB5">
        <v>0.5</v>
      </c>
      <c r="FC5">
        <v>0.5</v>
      </c>
      <c r="FD5">
        <v>2</v>
      </c>
      <c r="FE5">
        <v>2</v>
      </c>
      <c r="FF5">
        <v>3</v>
      </c>
      <c r="FG5">
        <v>3</v>
      </c>
      <c r="FH5">
        <v>3</v>
      </c>
      <c r="FI5">
        <v>3</v>
      </c>
      <c r="FJ5">
        <v>3</v>
      </c>
      <c r="FK5">
        <v>3</v>
      </c>
      <c r="FL5">
        <v>3</v>
      </c>
      <c r="FM5">
        <v>3</v>
      </c>
      <c r="FN5">
        <v>3</v>
      </c>
      <c r="FO5">
        <v>3</v>
      </c>
      <c r="FP5">
        <v>3</v>
      </c>
      <c r="FQ5">
        <v>3</v>
      </c>
      <c r="FR5">
        <v>2</v>
      </c>
      <c r="FS5">
        <v>2</v>
      </c>
      <c r="FT5">
        <v>2</v>
      </c>
      <c r="FU5">
        <v>3</v>
      </c>
      <c r="FV5">
        <v>3</v>
      </c>
      <c r="FW5">
        <v>3</v>
      </c>
      <c r="FX5">
        <v>10</v>
      </c>
      <c r="FY5">
        <v>10</v>
      </c>
      <c r="FZ5">
        <v>10</v>
      </c>
      <c r="GA5" s="28">
        <v>10</v>
      </c>
      <c r="GB5">
        <v>10</v>
      </c>
      <c r="GC5">
        <v>20</v>
      </c>
      <c r="GD5">
        <v>20</v>
      </c>
      <c r="GE5">
        <v>5</v>
      </c>
      <c r="GF5">
        <v>5</v>
      </c>
      <c r="GG5">
        <v>10</v>
      </c>
      <c r="GH5">
        <v>10</v>
      </c>
      <c r="GI5">
        <v>0.75</v>
      </c>
      <c r="GJ5">
        <v>0.75</v>
      </c>
      <c r="GK5">
        <f>15/60</f>
        <v>0.25</v>
      </c>
      <c r="GL5">
        <v>2</v>
      </c>
      <c r="GM5">
        <v>2</v>
      </c>
      <c r="GN5">
        <v>2</v>
      </c>
      <c r="GO5">
        <v>5</v>
      </c>
      <c r="GP5">
        <v>5</v>
      </c>
      <c r="GQ5">
        <v>5</v>
      </c>
      <c r="GR5">
        <v>3</v>
      </c>
      <c r="GS5">
        <v>3</v>
      </c>
      <c r="GT5">
        <v>3</v>
      </c>
      <c r="GU5">
        <v>3</v>
      </c>
      <c r="GV5">
        <v>3</v>
      </c>
      <c r="GW5">
        <v>5</v>
      </c>
      <c r="GX5">
        <v>5</v>
      </c>
      <c r="GY5">
        <v>1</v>
      </c>
      <c r="GZ5">
        <v>1</v>
      </c>
      <c r="HA5">
        <v>1</v>
      </c>
      <c r="HB5">
        <v>1</v>
      </c>
      <c r="HC5">
        <v>1</v>
      </c>
      <c r="HD5">
        <v>1</v>
      </c>
      <c r="HE5">
        <v>1</v>
      </c>
      <c r="HF5">
        <v>1</v>
      </c>
      <c r="HG5">
        <v>1</v>
      </c>
      <c r="HH5">
        <v>1</v>
      </c>
      <c r="HI5">
        <v>1</v>
      </c>
      <c r="HJ5">
        <v>1</v>
      </c>
      <c r="HK5">
        <v>1</v>
      </c>
      <c r="HL5">
        <v>1</v>
      </c>
      <c r="HM5">
        <v>1</v>
      </c>
      <c r="HN5">
        <v>1</v>
      </c>
      <c r="HO5">
        <v>1</v>
      </c>
      <c r="HP5">
        <v>1</v>
      </c>
      <c r="HQ5">
        <v>2</v>
      </c>
      <c r="HR5">
        <v>2</v>
      </c>
      <c r="HS5">
        <v>2</v>
      </c>
      <c r="HT5">
        <v>2</v>
      </c>
      <c r="HU5">
        <v>3</v>
      </c>
      <c r="HV5">
        <v>3</v>
      </c>
      <c r="HW5">
        <v>1</v>
      </c>
      <c r="HX5">
        <v>1</v>
      </c>
      <c r="HY5" s="11">
        <v>2</v>
      </c>
      <c r="HZ5" s="11">
        <v>2</v>
      </c>
      <c r="IA5" s="11">
        <v>2</v>
      </c>
      <c r="IB5">
        <v>1</v>
      </c>
      <c r="IC5">
        <v>1</v>
      </c>
      <c r="ID5">
        <v>1</v>
      </c>
      <c r="IE5">
        <v>1</v>
      </c>
      <c r="IF5">
        <v>1</v>
      </c>
      <c r="IG5">
        <v>1</v>
      </c>
      <c r="IH5">
        <v>1</v>
      </c>
      <c r="II5">
        <v>1</v>
      </c>
      <c r="IJ5">
        <v>1</v>
      </c>
      <c r="IK5">
        <v>2</v>
      </c>
      <c r="IL5">
        <v>2</v>
      </c>
      <c r="IM5">
        <v>2</v>
      </c>
      <c r="IN5">
        <v>1</v>
      </c>
      <c r="IO5">
        <v>1</v>
      </c>
      <c r="IP5">
        <v>1</v>
      </c>
      <c r="IQ5">
        <v>2</v>
      </c>
      <c r="IR5">
        <v>2</v>
      </c>
      <c r="IS5">
        <v>2</v>
      </c>
      <c r="IT5">
        <v>2</v>
      </c>
      <c r="IU5">
        <v>2</v>
      </c>
      <c r="IV5">
        <v>2</v>
      </c>
      <c r="IW5">
        <v>1</v>
      </c>
      <c r="IX5">
        <v>1</v>
      </c>
      <c r="IY5">
        <v>1</v>
      </c>
      <c r="IZ5" s="11">
        <v>1</v>
      </c>
      <c r="JA5" s="11">
        <v>1</v>
      </c>
      <c r="JB5" s="11">
        <v>1</v>
      </c>
      <c r="JC5">
        <v>2</v>
      </c>
      <c r="JD5">
        <v>2</v>
      </c>
      <c r="JE5">
        <v>2</v>
      </c>
      <c r="JF5">
        <v>1</v>
      </c>
      <c r="JG5">
        <v>1</v>
      </c>
      <c r="JH5">
        <v>1</v>
      </c>
      <c r="JI5">
        <v>2</v>
      </c>
      <c r="JJ5">
        <v>2</v>
      </c>
      <c r="JK5">
        <v>2</v>
      </c>
      <c r="JL5" s="11">
        <v>4</v>
      </c>
      <c r="JM5" s="11">
        <v>4</v>
      </c>
      <c r="JN5" s="11">
        <v>4</v>
      </c>
      <c r="JO5" s="24">
        <v>2</v>
      </c>
      <c r="JP5" s="24">
        <v>2</v>
      </c>
      <c r="JQ5" s="24">
        <v>2</v>
      </c>
      <c r="JR5" s="11">
        <v>1</v>
      </c>
      <c r="JS5" s="11">
        <v>1</v>
      </c>
      <c r="JT5" s="11">
        <v>1</v>
      </c>
      <c r="JU5" s="11">
        <v>1</v>
      </c>
      <c r="JV5" s="11">
        <v>1</v>
      </c>
      <c r="JW5" s="11">
        <v>1</v>
      </c>
      <c r="JX5" s="24">
        <v>1</v>
      </c>
      <c r="JY5" s="24">
        <v>1</v>
      </c>
      <c r="JZ5" s="11">
        <v>1</v>
      </c>
      <c r="KA5" s="11">
        <v>1</v>
      </c>
      <c r="KB5" s="11">
        <v>1</v>
      </c>
      <c r="KC5" s="11">
        <v>3</v>
      </c>
      <c r="KD5" s="11">
        <v>3</v>
      </c>
      <c r="KE5" s="11">
        <v>3</v>
      </c>
      <c r="KF5" s="11">
        <v>2</v>
      </c>
      <c r="KG5" s="11">
        <v>2</v>
      </c>
      <c r="KH5" s="11">
        <v>4</v>
      </c>
      <c r="KI5" s="11">
        <v>4</v>
      </c>
      <c r="KJ5" s="11">
        <v>1</v>
      </c>
      <c r="KK5" s="11">
        <v>1</v>
      </c>
      <c r="KL5" s="11">
        <v>2</v>
      </c>
      <c r="KM5" s="11">
        <v>2</v>
      </c>
      <c r="KN5" s="11">
        <v>10</v>
      </c>
      <c r="KO5" s="11">
        <v>10</v>
      </c>
      <c r="KP5" s="11">
        <v>10</v>
      </c>
      <c r="KQ5" s="11">
        <v>10</v>
      </c>
      <c r="KR5">
        <v>2</v>
      </c>
      <c r="KS5">
        <v>2</v>
      </c>
      <c r="KT5">
        <v>2</v>
      </c>
      <c r="KU5">
        <v>2</v>
      </c>
      <c r="KV5" s="42">
        <v>2</v>
      </c>
      <c r="KW5" s="42">
        <v>2</v>
      </c>
      <c r="KX5" s="42">
        <v>2</v>
      </c>
      <c r="KY5" s="42">
        <v>2</v>
      </c>
      <c r="KZ5">
        <v>0.75</v>
      </c>
      <c r="LA5">
        <v>2</v>
      </c>
      <c r="LB5" s="42">
        <v>2</v>
      </c>
      <c r="LC5">
        <v>0.25</v>
      </c>
      <c r="LD5" s="42">
        <v>0.1</v>
      </c>
      <c r="LE5" s="42">
        <v>1</v>
      </c>
      <c r="LF5" s="42">
        <v>1</v>
      </c>
      <c r="LG5">
        <v>0.75</v>
      </c>
      <c r="LH5">
        <v>0.75</v>
      </c>
      <c r="LI5">
        <v>2</v>
      </c>
      <c r="LJ5">
        <v>2</v>
      </c>
      <c r="LK5">
        <v>1</v>
      </c>
      <c r="LL5">
        <v>1</v>
      </c>
      <c r="LM5">
        <v>10</v>
      </c>
      <c r="LN5">
        <v>10</v>
      </c>
      <c r="LO5" s="42">
        <v>10</v>
      </c>
      <c r="LP5" s="42">
        <v>10</v>
      </c>
      <c r="LQ5" s="42">
        <v>10</v>
      </c>
      <c r="LR5" s="42">
        <v>10</v>
      </c>
      <c r="LS5" s="42">
        <v>3</v>
      </c>
      <c r="LT5" s="42">
        <v>3</v>
      </c>
      <c r="LU5" s="60"/>
      <c r="LV5" s="60"/>
    </row>
    <row r="6" spans="1:334" x14ac:dyDescent="0.35">
      <c r="A6">
        <v>10</v>
      </c>
      <c r="B6">
        <v>10</v>
      </c>
      <c r="C6">
        <v>10</v>
      </c>
      <c r="D6">
        <v>0.3</v>
      </c>
      <c r="E6">
        <v>0.3</v>
      </c>
      <c r="F6">
        <v>0.3</v>
      </c>
      <c r="G6">
        <v>0.33</v>
      </c>
      <c r="H6">
        <v>0.33</v>
      </c>
      <c r="I6">
        <v>0.33</v>
      </c>
      <c r="J6">
        <v>1</v>
      </c>
      <c r="K6">
        <v>1</v>
      </c>
      <c r="L6">
        <v>1</v>
      </c>
      <c r="M6">
        <v>1</v>
      </c>
      <c r="N6">
        <v>1</v>
      </c>
      <c r="O6">
        <v>1</v>
      </c>
      <c r="P6">
        <v>4</v>
      </c>
      <c r="Q6">
        <v>4</v>
      </c>
      <c r="R6">
        <v>4</v>
      </c>
      <c r="S6">
        <v>1</v>
      </c>
      <c r="T6">
        <v>1</v>
      </c>
      <c r="U6">
        <v>1</v>
      </c>
      <c r="V6">
        <v>1</v>
      </c>
      <c r="W6">
        <v>1</v>
      </c>
      <c r="X6">
        <v>1</v>
      </c>
      <c r="Y6">
        <v>1</v>
      </c>
      <c r="Z6">
        <v>1</v>
      </c>
      <c r="AA6">
        <v>1</v>
      </c>
      <c r="AB6">
        <v>10</v>
      </c>
      <c r="AC6">
        <v>10</v>
      </c>
      <c r="AD6">
        <v>10</v>
      </c>
      <c r="AE6">
        <f>40/60</f>
        <v>0.66666666666666663</v>
      </c>
      <c r="AF6">
        <f>40/60</f>
        <v>0.66666666666666663</v>
      </c>
      <c r="AG6">
        <f>40/60</f>
        <v>0.66666666666666663</v>
      </c>
      <c r="AH6">
        <v>2</v>
      </c>
      <c r="AI6">
        <v>2</v>
      </c>
      <c r="AJ6">
        <v>2</v>
      </c>
      <c r="AK6">
        <v>10</v>
      </c>
      <c r="AL6">
        <v>10</v>
      </c>
      <c r="AM6">
        <v>10</v>
      </c>
      <c r="AN6">
        <v>10</v>
      </c>
      <c r="AO6">
        <v>10</v>
      </c>
      <c r="AP6">
        <v>10</v>
      </c>
      <c r="AQ6">
        <v>2</v>
      </c>
      <c r="AR6">
        <v>2</v>
      </c>
      <c r="AS6">
        <v>2</v>
      </c>
      <c r="AT6" s="11">
        <v>6</v>
      </c>
      <c r="AU6">
        <v>4</v>
      </c>
      <c r="AV6">
        <v>4</v>
      </c>
      <c r="AW6">
        <v>4</v>
      </c>
      <c r="AX6">
        <v>10</v>
      </c>
      <c r="AY6">
        <v>10</v>
      </c>
      <c r="AZ6">
        <v>10</v>
      </c>
      <c r="BA6">
        <v>2</v>
      </c>
      <c r="BB6">
        <v>2</v>
      </c>
      <c r="BC6">
        <v>2</v>
      </c>
      <c r="BD6">
        <v>1</v>
      </c>
      <c r="BE6">
        <v>1</v>
      </c>
      <c r="BF6">
        <v>1</v>
      </c>
      <c r="BG6">
        <v>1</v>
      </c>
      <c r="BH6">
        <v>1</v>
      </c>
      <c r="BI6">
        <v>1</v>
      </c>
      <c r="BJ6">
        <v>1</v>
      </c>
      <c r="BL6">
        <v>1</v>
      </c>
      <c r="BM6">
        <v>1</v>
      </c>
      <c r="BN6">
        <v>1</v>
      </c>
      <c r="BO6">
        <v>1</v>
      </c>
      <c r="BP6">
        <v>2</v>
      </c>
      <c r="BQ6">
        <v>2</v>
      </c>
      <c r="BR6">
        <v>2</v>
      </c>
      <c r="BS6">
        <v>1</v>
      </c>
      <c r="BT6">
        <v>1</v>
      </c>
      <c r="BU6">
        <v>1</v>
      </c>
      <c r="BV6">
        <v>3</v>
      </c>
      <c r="BW6">
        <v>3</v>
      </c>
      <c r="BX6">
        <v>3</v>
      </c>
      <c r="BY6">
        <v>10</v>
      </c>
      <c r="BZ6">
        <v>10</v>
      </c>
      <c r="CA6">
        <v>10</v>
      </c>
      <c r="CB6">
        <v>1</v>
      </c>
      <c r="CC6">
        <v>1</v>
      </c>
      <c r="CD6">
        <v>1</v>
      </c>
      <c r="CE6">
        <v>0.5</v>
      </c>
      <c r="CF6">
        <v>0.5</v>
      </c>
      <c r="CG6">
        <v>0.5</v>
      </c>
      <c r="CH6">
        <v>5</v>
      </c>
      <c r="CI6">
        <v>5</v>
      </c>
      <c r="CJ6">
        <v>5</v>
      </c>
      <c r="CK6">
        <v>2</v>
      </c>
      <c r="CL6">
        <v>2</v>
      </c>
      <c r="CM6">
        <v>2</v>
      </c>
      <c r="CN6">
        <v>4</v>
      </c>
      <c r="CO6">
        <v>4</v>
      </c>
      <c r="CP6">
        <v>4</v>
      </c>
      <c r="CQ6" s="11">
        <v>4</v>
      </c>
      <c r="CR6" s="11">
        <v>4</v>
      </c>
      <c r="CS6" s="11">
        <v>4</v>
      </c>
      <c r="CT6">
        <v>2</v>
      </c>
      <c r="CU6">
        <v>2</v>
      </c>
      <c r="CV6">
        <v>2</v>
      </c>
      <c r="CW6">
        <v>1</v>
      </c>
      <c r="CX6">
        <v>1</v>
      </c>
      <c r="CY6">
        <v>1</v>
      </c>
      <c r="CZ6">
        <v>2</v>
      </c>
      <c r="DA6">
        <v>2</v>
      </c>
      <c r="DB6">
        <v>2</v>
      </c>
      <c r="DC6">
        <v>20</v>
      </c>
      <c r="DD6">
        <v>20</v>
      </c>
      <c r="DE6">
        <v>20</v>
      </c>
      <c r="DF6">
        <v>20</v>
      </c>
      <c r="DG6">
        <v>2</v>
      </c>
      <c r="DH6">
        <v>2</v>
      </c>
      <c r="DI6">
        <v>2</v>
      </c>
      <c r="DJ6">
        <v>10</v>
      </c>
      <c r="DK6">
        <v>10</v>
      </c>
      <c r="DL6">
        <v>10</v>
      </c>
      <c r="DM6">
        <v>10</v>
      </c>
      <c r="DN6">
        <v>10</v>
      </c>
      <c r="DO6">
        <v>10</v>
      </c>
      <c r="DP6">
        <v>10</v>
      </c>
      <c r="DQ6">
        <v>10</v>
      </c>
      <c r="DR6">
        <v>10</v>
      </c>
      <c r="DS6" s="11">
        <v>10</v>
      </c>
      <c r="DT6" s="11">
        <v>10</v>
      </c>
      <c r="DU6" s="11">
        <v>8</v>
      </c>
      <c r="DV6" s="11">
        <v>8</v>
      </c>
      <c r="DW6">
        <v>4</v>
      </c>
      <c r="DX6">
        <v>4</v>
      </c>
      <c r="DY6">
        <v>4</v>
      </c>
      <c r="DZ6">
        <v>4</v>
      </c>
      <c r="EA6">
        <v>4</v>
      </c>
      <c r="EB6">
        <v>4</v>
      </c>
      <c r="EC6">
        <v>4</v>
      </c>
      <c r="ED6">
        <v>4</v>
      </c>
      <c r="EE6">
        <v>4</v>
      </c>
      <c r="EF6">
        <v>2</v>
      </c>
      <c r="EG6">
        <v>2</v>
      </c>
      <c r="EH6">
        <v>2</v>
      </c>
      <c r="EI6">
        <v>2</v>
      </c>
      <c r="EJ6">
        <v>2</v>
      </c>
      <c r="EK6">
        <v>2</v>
      </c>
      <c r="EL6">
        <v>2</v>
      </c>
      <c r="EM6">
        <v>6</v>
      </c>
      <c r="EN6">
        <v>6</v>
      </c>
      <c r="EO6">
        <v>6</v>
      </c>
      <c r="EP6">
        <v>3</v>
      </c>
      <c r="EQ6">
        <v>3</v>
      </c>
      <c r="ER6">
        <v>1.5</v>
      </c>
      <c r="ES6">
        <v>1.5</v>
      </c>
      <c r="ET6">
        <v>1.5</v>
      </c>
      <c r="EU6">
        <v>2</v>
      </c>
      <c r="EV6">
        <v>2</v>
      </c>
      <c r="EW6">
        <v>2</v>
      </c>
      <c r="EX6">
        <v>1.5</v>
      </c>
      <c r="EY6">
        <v>1.5</v>
      </c>
      <c r="EZ6">
        <v>1.5</v>
      </c>
      <c r="FA6">
        <v>1</v>
      </c>
      <c r="FB6">
        <v>1</v>
      </c>
      <c r="FC6">
        <v>1</v>
      </c>
      <c r="FD6">
        <v>4</v>
      </c>
      <c r="FE6">
        <v>4</v>
      </c>
      <c r="FF6">
        <v>6</v>
      </c>
      <c r="FG6">
        <v>6</v>
      </c>
      <c r="FH6">
        <v>6</v>
      </c>
      <c r="FI6">
        <v>6</v>
      </c>
      <c r="FJ6">
        <v>6</v>
      </c>
      <c r="FK6">
        <v>6</v>
      </c>
      <c r="FL6">
        <v>6</v>
      </c>
      <c r="FM6">
        <v>6</v>
      </c>
      <c r="FN6">
        <v>6</v>
      </c>
      <c r="FO6">
        <v>6</v>
      </c>
      <c r="FP6">
        <v>6</v>
      </c>
      <c r="FQ6">
        <v>6</v>
      </c>
      <c r="FR6">
        <v>4</v>
      </c>
      <c r="FS6">
        <v>4</v>
      </c>
      <c r="FT6">
        <v>4</v>
      </c>
      <c r="FU6">
        <v>6</v>
      </c>
      <c r="FV6">
        <v>6</v>
      </c>
      <c r="FW6">
        <v>6</v>
      </c>
      <c r="FX6">
        <v>15</v>
      </c>
      <c r="FY6">
        <v>15</v>
      </c>
      <c r="FZ6">
        <v>15</v>
      </c>
      <c r="GA6" s="28">
        <v>20</v>
      </c>
      <c r="GB6">
        <v>15</v>
      </c>
      <c r="GC6">
        <v>30</v>
      </c>
      <c r="GD6">
        <v>30</v>
      </c>
      <c r="GE6">
        <v>10</v>
      </c>
      <c r="GF6">
        <v>10</v>
      </c>
      <c r="GG6">
        <v>15</v>
      </c>
      <c r="GH6">
        <v>15</v>
      </c>
      <c r="GJ6">
        <v>1.5</v>
      </c>
      <c r="GL6">
        <v>4</v>
      </c>
      <c r="GM6">
        <v>4</v>
      </c>
      <c r="GN6">
        <v>4</v>
      </c>
      <c r="GO6">
        <v>10</v>
      </c>
      <c r="GP6">
        <v>10</v>
      </c>
      <c r="GQ6">
        <v>10</v>
      </c>
      <c r="GR6">
        <v>6</v>
      </c>
      <c r="GS6">
        <v>6</v>
      </c>
      <c r="GT6">
        <v>6</v>
      </c>
      <c r="GU6">
        <v>6</v>
      </c>
      <c r="GV6">
        <v>6</v>
      </c>
      <c r="GW6">
        <v>10</v>
      </c>
      <c r="GX6">
        <v>10</v>
      </c>
      <c r="GY6">
        <v>2</v>
      </c>
      <c r="GZ6">
        <v>2</v>
      </c>
      <c r="HA6">
        <v>2</v>
      </c>
      <c r="HB6">
        <v>3</v>
      </c>
      <c r="HC6">
        <v>3</v>
      </c>
      <c r="HD6">
        <v>3</v>
      </c>
      <c r="HE6">
        <v>3</v>
      </c>
      <c r="HF6">
        <v>3</v>
      </c>
      <c r="HG6">
        <v>3</v>
      </c>
      <c r="HH6">
        <v>3</v>
      </c>
      <c r="HI6">
        <v>3</v>
      </c>
      <c r="HJ6">
        <v>3</v>
      </c>
      <c r="HK6">
        <v>2</v>
      </c>
      <c r="HL6">
        <v>2</v>
      </c>
      <c r="HM6">
        <v>2</v>
      </c>
      <c r="HN6">
        <v>3</v>
      </c>
      <c r="HO6">
        <v>3</v>
      </c>
      <c r="HP6">
        <v>3</v>
      </c>
      <c r="HQ6">
        <v>4</v>
      </c>
      <c r="HR6">
        <v>4</v>
      </c>
      <c r="HS6">
        <v>4</v>
      </c>
      <c r="HT6">
        <v>4</v>
      </c>
      <c r="HU6">
        <v>6</v>
      </c>
      <c r="HV6">
        <v>6</v>
      </c>
      <c r="HW6">
        <v>3</v>
      </c>
      <c r="HX6">
        <v>3</v>
      </c>
      <c r="HY6" s="11">
        <v>4</v>
      </c>
      <c r="HZ6" s="11">
        <v>4</v>
      </c>
      <c r="IA6" s="11">
        <v>4</v>
      </c>
      <c r="IB6">
        <v>2</v>
      </c>
      <c r="IC6">
        <v>2</v>
      </c>
      <c r="ID6">
        <v>2</v>
      </c>
      <c r="IE6">
        <v>2</v>
      </c>
      <c r="IF6">
        <v>2</v>
      </c>
      <c r="IG6">
        <v>2</v>
      </c>
      <c r="IH6">
        <v>2</v>
      </c>
      <c r="II6">
        <v>2</v>
      </c>
      <c r="IJ6">
        <v>2</v>
      </c>
      <c r="IK6">
        <v>4</v>
      </c>
      <c r="IL6">
        <v>4</v>
      </c>
      <c r="IM6">
        <v>4</v>
      </c>
      <c r="IN6">
        <v>5</v>
      </c>
      <c r="IO6">
        <v>5</v>
      </c>
      <c r="IP6">
        <v>5</v>
      </c>
      <c r="IQ6">
        <v>5</v>
      </c>
      <c r="IR6">
        <v>5</v>
      </c>
      <c r="IS6">
        <v>5</v>
      </c>
      <c r="IT6">
        <v>3</v>
      </c>
      <c r="IU6">
        <v>3</v>
      </c>
      <c r="IV6">
        <v>3</v>
      </c>
      <c r="IW6">
        <v>2</v>
      </c>
      <c r="IX6">
        <v>2</v>
      </c>
      <c r="IY6">
        <v>2</v>
      </c>
      <c r="IZ6" s="11">
        <v>2</v>
      </c>
      <c r="JA6" s="11">
        <v>2</v>
      </c>
      <c r="JB6" s="11">
        <v>2</v>
      </c>
      <c r="JC6">
        <v>4</v>
      </c>
      <c r="JD6">
        <v>4</v>
      </c>
      <c r="JE6">
        <v>4</v>
      </c>
      <c r="JF6">
        <v>5</v>
      </c>
      <c r="JG6">
        <v>5</v>
      </c>
      <c r="JH6">
        <v>5</v>
      </c>
      <c r="JI6">
        <v>4</v>
      </c>
      <c r="JJ6">
        <v>4</v>
      </c>
      <c r="JK6">
        <v>4</v>
      </c>
      <c r="JL6" s="11">
        <v>8</v>
      </c>
      <c r="JM6" s="11">
        <v>8</v>
      </c>
      <c r="JN6" s="11">
        <v>8</v>
      </c>
      <c r="JO6" s="24">
        <v>3</v>
      </c>
      <c r="JP6" s="24">
        <v>3</v>
      </c>
      <c r="JQ6" s="24">
        <v>3</v>
      </c>
      <c r="JR6" s="11">
        <v>2</v>
      </c>
      <c r="JS6" s="11">
        <v>2</v>
      </c>
      <c r="JT6" s="11">
        <v>2</v>
      </c>
      <c r="JU6" s="11">
        <v>2</v>
      </c>
      <c r="JV6" s="11">
        <v>2</v>
      </c>
      <c r="JW6" s="11">
        <v>2</v>
      </c>
      <c r="JX6" s="24">
        <v>2</v>
      </c>
      <c r="JY6" s="24">
        <v>2</v>
      </c>
      <c r="JZ6" s="11">
        <v>2</v>
      </c>
      <c r="KA6" s="11">
        <v>2</v>
      </c>
      <c r="KB6" s="11">
        <v>2</v>
      </c>
      <c r="KC6" s="11">
        <v>5</v>
      </c>
      <c r="KD6" s="11">
        <v>5</v>
      </c>
      <c r="KE6" s="11"/>
      <c r="KF6" s="11">
        <v>4</v>
      </c>
      <c r="KG6" s="11">
        <v>4</v>
      </c>
      <c r="KH6" s="11">
        <v>8</v>
      </c>
      <c r="KI6" s="11">
        <v>8</v>
      </c>
      <c r="KJ6" s="11">
        <v>2</v>
      </c>
      <c r="KK6" s="11">
        <v>2</v>
      </c>
      <c r="KL6" s="11">
        <v>4</v>
      </c>
      <c r="KM6" s="11">
        <v>4</v>
      </c>
      <c r="KN6" s="11">
        <v>20</v>
      </c>
      <c r="KO6" s="11">
        <v>20</v>
      </c>
      <c r="KP6" s="11">
        <v>20</v>
      </c>
      <c r="KQ6" s="11">
        <v>20</v>
      </c>
      <c r="KR6">
        <v>3</v>
      </c>
      <c r="KS6">
        <v>3</v>
      </c>
      <c r="KT6">
        <v>4</v>
      </c>
      <c r="KU6">
        <v>4</v>
      </c>
      <c r="KV6" s="42">
        <v>4</v>
      </c>
      <c r="KW6" s="42">
        <v>4</v>
      </c>
      <c r="KX6" s="42">
        <v>4</v>
      </c>
      <c r="KY6" s="42">
        <v>4</v>
      </c>
      <c r="LA6">
        <v>3</v>
      </c>
      <c r="LB6" s="42">
        <v>3</v>
      </c>
      <c r="LE6" s="42">
        <v>2.5</v>
      </c>
      <c r="LF6">
        <v>2</v>
      </c>
      <c r="LI6">
        <v>4</v>
      </c>
      <c r="LJ6">
        <v>4</v>
      </c>
      <c r="LK6">
        <v>2.5</v>
      </c>
      <c r="LL6">
        <v>2</v>
      </c>
      <c r="LM6">
        <v>15</v>
      </c>
      <c r="LN6">
        <v>15</v>
      </c>
      <c r="LO6" s="42">
        <v>15</v>
      </c>
      <c r="LP6" s="42">
        <v>15</v>
      </c>
      <c r="LQ6" s="42">
        <v>15</v>
      </c>
      <c r="LR6" s="42">
        <v>15</v>
      </c>
      <c r="LS6" s="42">
        <v>6</v>
      </c>
      <c r="LT6" s="42">
        <v>6</v>
      </c>
      <c r="LU6" s="60"/>
      <c r="LV6" s="60"/>
    </row>
    <row r="7" spans="1:334" x14ac:dyDescent="0.35">
      <c r="A7">
        <v>20</v>
      </c>
      <c r="B7">
        <v>20</v>
      </c>
      <c r="C7">
        <v>20</v>
      </c>
      <c r="D7">
        <v>0.5</v>
      </c>
      <c r="E7">
        <v>0.5</v>
      </c>
      <c r="F7">
        <v>0.5</v>
      </c>
      <c r="G7">
        <v>0.5</v>
      </c>
      <c r="H7">
        <v>0.5</v>
      </c>
      <c r="I7">
        <v>0.5</v>
      </c>
      <c r="J7">
        <v>1.5</v>
      </c>
      <c r="K7">
        <v>1.5</v>
      </c>
      <c r="L7">
        <v>1.5</v>
      </c>
      <c r="M7">
        <v>2</v>
      </c>
      <c r="N7">
        <v>2</v>
      </c>
      <c r="O7">
        <v>2</v>
      </c>
      <c r="P7">
        <v>6</v>
      </c>
      <c r="Q7">
        <v>6</v>
      </c>
      <c r="R7">
        <v>6</v>
      </c>
      <c r="S7">
        <v>1.5</v>
      </c>
      <c r="T7">
        <v>1.5</v>
      </c>
      <c r="U7">
        <v>1.5</v>
      </c>
      <c r="V7">
        <v>2</v>
      </c>
      <c r="W7">
        <v>2</v>
      </c>
      <c r="X7">
        <v>2</v>
      </c>
      <c r="Y7">
        <v>2</v>
      </c>
      <c r="Z7">
        <v>2</v>
      </c>
      <c r="AA7">
        <v>2</v>
      </c>
      <c r="AB7">
        <v>15</v>
      </c>
      <c r="AC7">
        <v>15</v>
      </c>
      <c r="AD7">
        <v>15</v>
      </c>
      <c r="AE7">
        <v>1</v>
      </c>
      <c r="AF7">
        <v>1</v>
      </c>
      <c r="AG7">
        <v>1</v>
      </c>
      <c r="AH7">
        <v>3</v>
      </c>
      <c r="AI7">
        <v>3</v>
      </c>
      <c r="AJ7">
        <v>3</v>
      </c>
      <c r="AK7">
        <v>20</v>
      </c>
      <c r="AL7">
        <v>20</v>
      </c>
      <c r="AM7">
        <v>20</v>
      </c>
      <c r="AN7">
        <v>20</v>
      </c>
      <c r="AO7">
        <v>20</v>
      </c>
      <c r="AP7">
        <v>20</v>
      </c>
      <c r="AQ7">
        <v>4</v>
      </c>
      <c r="AR7">
        <v>4</v>
      </c>
      <c r="AS7">
        <v>4</v>
      </c>
      <c r="AT7" s="11">
        <v>9</v>
      </c>
      <c r="AU7">
        <v>6</v>
      </c>
      <c r="AV7">
        <v>6</v>
      </c>
      <c r="AW7">
        <v>6</v>
      </c>
      <c r="AX7">
        <v>20</v>
      </c>
      <c r="AY7">
        <v>20</v>
      </c>
      <c r="AZ7">
        <v>20</v>
      </c>
      <c r="BA7">
        <v>3</v>
      </c>
      <c r="BB7">
        <v>3</v>
      </c>
      <c r="BC7">
        <v>3</v>
      </c>
      <c r="BD7">
        <v>1.5</v>
      </c>
      <c r="BE7">
        <v>1.5</v>
      </c>
      <c r="BF7">
        <v>1.5</v>
      </c>
      <c r="BG7">
        <v>1.5</v>
      </c>
      <c r="BH7">
        <v>1.5</v>
      </c>
      <c r="BI7">
        <v>1.5</v>
      </c>
      <c r="BJ7">
        <v>1.5</v>
      </c>
      <c r="BM7">
        <v>1.5</v>
      </c>
      <c r="BN7">
        <v>1.5</v>
      </c>
      <c r="BO7">
        <v>1.5</v>
      </c>
      <c r="BP7">
        <v>3</v>
      </c>
      <c r="BQ7">
        <v>3</v>
      </c>
      <c r="BR7">
        <v>3</v>
      </c>
      <c r="BS7">
        <v>1.5</v>
      </c>
      <c r="BT7">
        <v>1.5</v>
      </c>
      <c r="BU7">
        <v>1.5</v>
      </c>
      <c r="BV7">
        <v>4</v>
      </c>
      <c r="BW7">
        <v>4</v>
      </c>
      <c r="BX7">
        <v>4</v>
      </c>
      <c r="BY7">
        <v>13</v>
      </c>
      <c r="BZ7">
        <v>13</v>
      </c>
      <c r="CA7">
        <v>13</v>
      </c>
      <c r="CB7">
        <v>1.5</v>
      </c>
      <c r="CC7">
        <v>1.5</v>
      </c>
      <c r="CD7">
        <v>1.5</v>
      </c>
      <c r="CE7">
        <v>0.75</v>
      </c>
      <c r="CF7">
        <v>0.75</v>
      </c>
      <c r="CI7">
        <v>9</v>
      </c>
      <c r="CJ7">
        <v>9</v>
      </c>
      <c r="CK7">
        <v>3</v>
      </c>
      <c r="CL7">
        <v>3</v>
      </c>
      <c r="CM7">
        <v>3</v>
      </c>
      <c r="CN7">
        <v>6</v>
      </c>
      <c r="CO7">
        <v>6</v>
      </c>
      <c r="CP7">
        <v>6</v>
      </c>
      <c r="CQ7" s="11">
        <v>6</v>
      </c>
      <c r="CR7" s="11">
        <v>6</v>
      </c>
      <c r="CS7" s="11">
        <v>6</v>
      </c>
      <c r="CT7">
        <v>3</v>
      </c>
      <c r="CU7">
        <v>3</v>
      </c>
      <c r="CV7">
        <v>3</v>
      </c>
      <c r="CW7">
        <v>2</v>
      </c>
      <c r="CX7">
        <v>2</v>
      </c>
      <c r="CY7">
        <v>2</v>
      </c>
      <c r="CZ7">
        <v>4</v>
      </c>
      <c r="DA7">
        <v>4</v>
      </c>
      <c r="DB7">
        <v>4</v>
      </c>
      <c r="DC7">
        <v>40</v>
      </c>
      <c r="DD7">
        <v>40</v>
      </c>
      <c r="DE7">
        <v>40</v>
      </c>
      <c r="DF7">
        <v>40</v>
      </c>
      <c r="DG7">
        <v>3</v>
      </c>
      <c r="DH7">
        <v>3</v>
      </c>
      <c r="DI7">
        <v>3</v>
      </c>
      <c r="DJ7">
        <v>20</v>
      </c>
      <c r="DK7">
        <v>20</v>
      </c>
      <c r="DL7">
        <v>20</v>
      </c>
      <c r="DM7">
        <v>20</v>
      </c>
      <c r="DN7">
        <v>20</v>
      </c>
      <c r="DO7">
        <v>20</v>
      </c>
      <c r="DP7">
        <v>15</v>
      </c>
      <c r="DQ7">
        <v>15</v>
      </c>
      <c r="DR7">
        <v>15</v>
      </c>
      <c r="DS7" s="11">
        <v>15</v>
      </c>
      <c r="DT7" s="11">
        <v>15</v>
      </c>
      <c r="DU7" s="11">
        <v>12</v>
      </c>
      <c r="DV7" s="11">
        <v>12</v>
      </c>
      <c r="DW7">
        <v>6</v>
      </c>
      <c r="DX7">
        <v>6</v>
      </c>
      <c r="DY7">
        <v>6</v>
      </c>
      <c r="DZ7">
        <v>6</v>
      </c>
      <c r="EA7">
        <v>6</v>
      </c>
      <c r="EB7">
        <v>6</v>
      </c>
      <c r="EC7">
        <v>6</v>
      </c>
      <c r="ED7">
        <v>6</v>
      </c>
      <c r="EE7">
        <v>6</v>
      </c>
      <c r="EF7">
        <v>3</v>
      </c>
      <c r="EG7">
        <v>3</v>
      </c>
      <c r="EH7">
        <v>3</v>
      </c>
      <c r="EI7">
        <v>3</v>
      </c>
      <c r="EJ7">
        <v>3</v>
      </c>
      <c r="EK7">
        <v>3</v>
      </c>
      <c r="EL7">
        <v>3</v>
      </c>
      <c r="EM7">
        <v>9</v>
      </c>
      <c r="EN7">
        <v>9</v>
      </c>
      <c r="EO7">
        <v>9</v>
      </c>
      <c r="EP7">
        <v>4</v>
      </c>
      <c r="EQ7">
        <v>4</v>
      </c>
      <c r="ER7">
        <v>2</v>
      </c>
      <c r="ES7">
        <v>2</v>
      </c>
      <c r="EU7">
        <v>2.5</v>
      </c>
      <c r="EV7">
        <v>2.5</v>
      </c>
      <c r="EX7">
        <v>2</v>
      </c>
      <c r="EY7">
        <v>2</v>
      </c>
      <c r="EZ7">
        <v>2</v>
      </c>
      <c r="FA7">
        <v>1.25</v>
      </c>
      <c r="FD7">
        <v>6</v>
      </c>
      <c r="FE7">
        <v>6</v>
      </c>
      <c r="FF7">
        <v>9</v>
      </c>
      <c r="FG7">
        <v>9</v>
      </c>
      <c r="FH7">
        <v>9</v>
      </c>
      <c r="FI7">
        <v>9</v>
      </c>
      <c r="FJ7">
        <v>9</v>
      </c>
      <c r="FK7">
        <v>9</v>
      </c>
      <c r="FL7">
        <v>9</v>
      </c>
      <c r="FM7">
        <v>9</v>
      </c>
      <c r="FN7">
        <v>9</v>
      </c>
      <c r="FO7">
        <v>9</v>
      </c>
      <c r="FP7">
        <v>9</v>
      </c>
      <c r="FQ7">
        <v>9</v>
      </c>
      <c r="FR7">
        <v>5</v>
      </c>
      <c r="FS7">
        <v>5</v>
      </c>
      <c r="FT7">
        <v>5</v>
      </c>
      <c r="FU7">
        <v>9</v>
      </c>
      <c r="FV7">
        <v>9</v>
      </c>
      <c r="FW7">
        <v>9</v>
      </c>
      <c r="FX7">
        <v>20</v>
      </c>
      <c r="FY7">
        <v>20</v>
      </c>
      <c r="FZ7">
        <v>20</v>
      </c>
      <c r="GA7" s="28">
        <v>30</v>
      </c>
      <c r="GB7">
        <v>20</v>
      </c>
      <c r="GC7">
        <v>40</v>
      </c>
      <c r="GD7">
        <v>40</v>
      </c>
      <c r="GE7">
        <v>15</v>
      </c>
      <c r="GF7">
        <v>15</v>
      </c>
      <c r="GG7">
        <v>20</v>
      </c>
      <c r="GH7">
        <v>20</v>
      </c>
      <c r="GL7">
        <v>6</v>
      </c>
      <c r="GM7">
        <v>6</v>
      </c>
      <c r="GN7">
        <v>6</v>
      </c>
      <c r="GO7">
        <v>15</v>
      </c>
      <c r="GP7">
        <v>15</v>
      </c>
      <c r="GQ7">
        <v>15</v>
      </c>
      <c r="GR7">
        <v>9.5</v>
      </c>
      <c r="GS7">
        <v>9.5</v>
      </c>
      <c r="GT7">
        <v>9</v>
      </c>
      <c r="GU7">
        <v>9</v>
      </c>
      <c r="GV7">
        <v>9</v>
      </c>
      <c r="GW7">
        <v>14.5</v>
      </c>
      <c r="GX7">
        <v>14.5</v>
      </c>
      <c r="GY7">
        <v>4</v>
      </c>
      <c r="GZ7">
        <v>4</v>
      </c>
      <c r="HA7">
        <v>4</v>
      </c>
      <c r="HC7">
        <v>5</v>
      </c>
      <c r="HD7">
        <v>5</v>
      </c>
      <c r="HE7">
        <v>5</v>
      </c>
      <c r="HG7">
        <v>5</v>
      </c>
      <c r="HH7">
        <v>5</v>
      </c>
      <c r="HI7">
        <v>5</v>
      </c>
      <c r="HJ7">
        <v>5</v>
      </c>
      <c r="HK7">
        <v>4</v>
      </c>
      <c r="HL7">
        <v>4</v>
      </c>
      <c r="HM7">
        <v>4</v>
      </c>
      <c r="HN7">
        <v>5</v>
      </c>
      <c r="HO7">
        <v>5</v>
      </c>
      <c r="HP7">
        <v>5</v>
      </c>
      <c r="HQ7">
        <v>6</v>
      </c>
      <c r="HR7">
        <v>6</v>
      </c>
      <c r="HS7">
        <v>8</v>
      </c>
      <c r="HT7">
        <v>8</v>
      </c>
      <c r="HU7">
        <v>9</v>
      </c>
      <c r="HV7">
        <v>9</v>
      </c>
      <c r="HW7">
        <v>6</v>
      </c>
      <c r="HX7">
        <v>6</v>
      </c>
      <c r="HY7" s="11">
        <v>6.5</v>
      </c>
      <c r="HZ7" s="11">
        <v>6.5</v>
      </c>
      <c r="IA7" s="11">
        <v>6.5</v>
      </c>
      <c r="IB7">
        <v>3</v>
      </c>
      <c r="IC7">
        <v>3</v>
      </c>
      <c r="ID7">
        <v>3</v>
      </c>
      <c r="IE7">
        <v>3</v>
      </c>
      <c r="IF7">
        <v>3</v>
      </c>
      <c r="IG7">
        <v>3</v>
      </c>
      <c r="IH7">
        <v>3</v>
      </c>
      <c r="II7">
        <v>3</v>
      </c>
      <c r="IJ7">
        <v>3</v>
      </c>
      <c r="IK7">
        <v>6</v>
      </c>
      <c r="IL7">
        <v>6</v>
      </c>
      <c r="IM7">
        <v>6</v>
      </c>
      <c r="IN7">
        <v>7</v>
      </c>
      <c r="IO7">
        <v>7</v>
      </c>
      <c r="IP7">
        <v>7</v>
      </c>
      <c r="IQ7">
        <v>7</v>
      </c>
      <c r="IR7">
        <v>7</v>
      </c>
      <c r="IS7">
        <v>7</v>
      </c>
      <c r="IT7">
        <v>4</v>
      </c>
      <c r="IU7">
        <v>4</v>
      </c>
      <c r="IV7">
        <v>4</v>
      </c>
      <c r="IW7">
        <v>3</v>
      </c>
      <c r="IX7">
        <v>3</v>
      </c>
      <c r="IY7">
        <v>3</v>
      </c>
      <c r="IZ7" s="11">
        <v>3</v>
      </c>
      <c r="JA7" s="11">
        <v>3</v>
      </c>
      <c r="JB7" s="11">
        <v>3</v>
      </c>
      <c r="JC7">
        <v>6</v>
      </c>
      <c r="JD7">
        <v>6</v>
      </c>
      <c r="JE7">
        <v>6</v>
      </c>
      <c r="JF7">
        <v>10</v>
      </c>
      <c r="JG7">
        <v>10</v>
      </c>
      <c r="JH7">
        <v>10</v>
      </c>
      <c r="JI7">
        <v>6</v>
      </c>
      <c r="JJ7">
        <v>6</v>
      </c>
      <c r="JK7">
        <v>6</v>
      </c>
      <c r="JL7" s="11">
        <v>10</v>
      </c>
      <c r="JM7" s="11">
        <v>10</v>
      </c>
      <c r="JN7" s="11">
        <v>10</v>
      </c>
      <c r="JO7" s="24">
        <v>4</v>
      </c>
      <c r="JP7" s="24">
        <v>4</v>
      </c>
      <c r="JQ7" s="24">
        <v>4</v>
      </c>
      <c r="JR7" s="11">
        <v>3</v>
      </c>
      <c r="JS7" s="11">
        <v>3</v>
      </c>
      <c r="JT7" s="11">
        <v>3</v>
      </c>
      <c r="JU7" s="11">
        <v>3</v>
      </c>
      <c r="JV7" s="11">
        <v>3</v>
      </c>
      <c r="JW7" s="11">
        <v>3</v>
      </c>
      <c r="JX7" s="24">
        <v>3</v>
      </c>
      <c r="JY7" s="24">
        <v>3</v>
      </c>
      <c r="JZ7" s="11">
        <v>3</v>
      </c>
      <c r="KA7" s="11">
        <v>3</v>
      </c>
      <c r="KB7" s="11">
        <v>3</v>
      </c>
      <c r="KF7" s="11">
        <v>6</v>
      </c>
      <c r="KG7" s="11">
        <v>6</v>
      </c>
      <c r="KH7" s="11">
        <v>12</v>
      </c>
      <c r="KI7" s="11">
        <v>12</v>
      </c>
      <c r="KJ7" s="11">
        <v>4</v>
      </c>
      <c r="KK7" s="11">
        <v>4</v>
      </c>
      <c r="KL7" s="11">
        <v>6</v>
      </c>
      <c r="KM7" s="11">
        <v>6</v>
      </c>
      <c r="KN7" s="11">
        <v>30</v>
      </c>
      <c r="KO7" s="11">
        <v>30</v>
      </c>
      <c r="KP7" s="11">
        <v>33</v>
      </c>
      <c r="KQ7" s="11">
        <v>33</v>
      </c>
      <c r="KR7">
        <v>5.25</v>
      </c>
      <c r="KS7">
        <v>5.25</v>
      </c>
      <c r="KT7">
        <v>6.5</v>
      </c>
      <c r="KU7">
        <v>5.25</v>
      </c>
      <c r="KV7" s="42">
        <v>7.25</v>
      </c>
      <c r="KW7" s="42">
        <v>5</v>
      </c>
      <c r="KX7" s="42">
        <v>5.5</v>
      </c>
      <c r="KY7" s="42">
        <v>5.5</v>
      </c>
      <c r="LA7">
        <v>4.5</v>
      </c>
      <c r="LB7" s="42">
        <v>4.5</v>
      </c>
      <c r="LI7">
        <v>5</v>
      </c>
      <c r="LJ7">
        <v>6</v>
      </c>
      <c r="LM7">
        <v>20</v>
      </c>
      <c r="LN7">
        <v>20</v>
      </c>
      <c r="LO7" s="42">
        <v>20</v>
      </c>
      <c r="LP7" s="42">
        <v>20</v>
      </c>
      <c r="LQ7" s="42">
        <v>20</v>
      </c>
      <c r="LR7" s="42">
        <v>20</v>
      </c>
      <c r="LS7" s="42">
        <v>7.75</v>
      </c>
      <c r="LT7" s="42">
        <v>9.25</v>
      </c>
      <c r="LU7" s="60"/>
      <c r="LV7" s="60"/>
    </row>
    <row r="8" spans="1:334" x14ac:dyDescent="0.35">
      <c r="A8">
        <v>30</v>
      </c>
      <c r="B8">
        <v>30</v>
      </c>
      <c r="C8">
        <v>30</v>
      </c>
      <c r="D8">
        <v>0.67</v>
      </c>
      <c r="E8">
        <v>0.67</v>
      </c>
      <c r="F8">
        <v>0.67</v>
      </c>
      <c r="M8">
        <v>2.5</v>
      </c>
      <c r="N8">
        <v>2.5</v>
      </c>
      <c r="P8">
        <v>8</v>
      </c>
      <c r="Q8">
        <v>8</v>
      </c>
      <c r="R8">
        <v>8</v>
      </c>
      <c r="S8">
        <v>2</v>
      </c>
      <c r="T8">
        <v>2</v>
      </c>
      <c r="U8">
        <v>2</v>
      </c>
      <c r="V8">
        <v>3</v>
      </c>
      <c r="W8">
        <v>3</v>
      </c>
      <c r="X8">
        <v>3</v>
      </c>
      <c r="Y8">
        <v>3</v>
      </c>
      <c r="Z8">
        <v>3</v>
      </c>
      <c r="AA8">
        <v>3</v>
      </c>
      <c r="AB8">
        <v>20</v>
      </c>
      <c r="AC8">
        <v>20</v>
      </c>
      <c r="AD8">
        <v>20</v>
      </c>
      <c r="AF8">
        <f>70/60</f>
        <v>1.1666666666666667</v>
      </c>
      <c r="AG8">
        <f>70/60</f>
        <v>1.1666666666666667</v>
      </c>
      <c r="AH8">
        <v>4</v>
      </c>
      <c r="AI8">
        <v>4</v>
      </c>
      <c r="AJ8">
        <v>4</v>
      </c>
      <c r="AK8">
        <v>30</v>
      </c>
      <c r="AL8">
        <v>30</v>
      </c>
      <c r="AM8">
        <v>30</v>
      </c>
      <c r="AN8">
        <v>30</v>
      </c>
      <c r="AO8">
        <v>30</v>
      </c>
      <c r="AP8">
        <v>30</v>
      </c>
      <c r="AQ8">
        <v>6</v>
      </c>
      <c r="AR8">
        <v>6</v>
      </c>
      <c r="AS8">
        <v>6</v>
      </c>
      <c r="AU8">
        <v>6.5</v>
      </c>
      <c r="AV8">
        <v>6.5</v>
      </c>
      <c r="AW8">
        <v>6.5</v>
      </c>
      <c r="AX8">
        <v>30</v>
      </c>
      <c r="AY8">
        <v>30</v>
      </c>
      <c r="AZ8">
        <v>30</v>
      </c>
      <c r="BC8">
        <v>4</v>
      </c>
      <c r="BE8">
        <v>2</v>
      </c>
      <c r="BF8">
        <v>2</v>
      </c>
      <c r="BG8">
        <v>2</v>
      </c>
      <c r="BI8">
        <v>2</v>
      </c>
      <c r="BM8">
        <v>2</v>
      </c>
      <c r="BO8">
        <v>2</v>
      </c>
      <c r="BP8">
        <v>3.5</v>
      </c>
      <c r="BS8">
        <v>2</v>
      </c>
      <c r="BT8">
        <v>2</v>
      </c>
      <c r="BU8">
        <v>2</v>
      </c>
      <c r="BV8">
        <v>6</v>
      </c>
      <c r="BZ8">
        <v>15</v>
      </c>
      <c r="CA8">
        <v>15</v>
      </c>
      <c r="CC8">
        <v>2</v>
      </c>
      <c r="CD8">
        <v>2</v>
      </c>
      <c r="CE8">
        <v>1</v>
      </c>
      <c r="CF8">
        <v>1</v>
      </c>
      <c r="CI8">
        <v>11</v>
      </c>
      <c r="CJ8">
        <v>11</v>
      </c>
      <c r="CK8">
        <v>4</v>
      </c>
      <c r="CL8">
        <v>4</v>
      </c>
      <c r="CM8">
        <v>4</v>
      </c>
      <c r="CN8">
        <v>8</v>
      </c>
      <c r="CO8">
        <v>8</v>
      </c>
      <c r="CP8">
        <v>8</v>
      </c>
      <c r="CQ8" s="11">
        <v>7</v>
      </c>
      <c r="CR8" s="11">
        <v>7</v>
      </c>
      <c r="CS8" s="11">
        <v>7</v>
      </c>
      <c r="CU8">
        <v>5</v>
      </c>
      <c r="CW8">
        <v>3</v>
      </c>
      <c r="CX8">
        <v>3</v>
      </c>
      <c r="CY8">
        <v>3</v>
      </c>
      <c r="CZ8">
        <v>5</v>
      </c>
      <c r="DA8">
        <v>5</v>
      </c>
      <c r="DB8">
        <v>5</v>
      </c>
      <c r="DC8">
        <v>60</v>
      </c>
      <c r="DD8">
        <v>60</v>
      </c>
      <c r="DE8">
        <v>60</v>
      </c>
      <c r="DF8">
        <v>60</v>
      </c>
      <c r="DJ8">
        <v>30</v>
      </c>
      <c r="DK8">
        <v>30</v>
      </c>
      <c r="DL8">
        <v>30</v>
      </c>
      <c r="DM8">
        <v>30</v>
      </c>
      <c r="DN8">
        <v>30</v>
      </c>
      <c r="DO8">
        <v>30</v>
      </c>
      <c r="DP8">
        <v>20</v>
      </c>
      <c r="DQ8">
        <v>20</v>
      </c>
      <c r="DR8">
        <v>20</v>
      </c>
      <c r="DS8" s="11">
        <v>20</v>
      </c>
      <c r="DT8" s="11">
        <v>20</v>
      </c>
      <c r="DU8" s="11">
        <v>16</v>
      </c>
      <c r="DV8" s="11">
        <v>16</v>
      </c>
      <c r="DW8">
        <v>8</v>
      </c>
      <c r="DX8">
        <v>8</v>
      </c>
      <c r="DY8">
        <v>8</v>
      </c>
      <c r="DZ8">
        <v>8</v>
      </c>
      <c r="EA8">
        <v>8</v>
      </c>
      <c r="EB8">
        <v>8</v>
      </c>
      <c r="EF8">
        <v>4</v>
      </c>
      <c r="EG8">
        <v>4</v>
      </c>
      <c r="EH8">
        <v>4</v>
      </c>
      <c r="EM8">
        <v>12</v>
      </c>
      <c r="EN8">
        <v>12</v>
      </c>
      <c r="EP8">
        <v>5</v>
      </c>
      <c r="EQ8">
        <v>5</v>
      </c>
      <c r="FF8">
        <v>12</v>
      </c>
      <c r="FG8">
        <v>12</v>
      </c>
      <c r="FH8">
        <v>12</v>
      </c>
      <c r="FI8">
        <v>11</v>
      </c>
      <c r="FK8">
        <v>11</v>
      </c>
      <c r="FL8">
        <v>12</v>
      </c>
      <c r="FM8">
        <v>12</v>
      </c>
      <c r="FN8">
        <v>12</v>
      </c>
      <c r="FO8">
        <v>12</v>
      </c>
      <c r="FP8">
        <v>12</v>
      </c>
      <c r="FQ8">
        <v>12</v>
      </c>
      <c r="FR8">
        <v>6</v>
      </c>
      <c r="FS8">
        <v>6</v>
      </c>
      <c r="FT8">
        <v>6</v>
      </c>
      <c r="FX8">
        <v>27</v>
      </c>
      <c r="FY8">
        <v>30</v>
      </c>
      <c r="FZ8">
        <v>30</v>
      </c>
      <c r="GA8" s="27">
        <v>45</v>
      </c>
      <c r="GB8">
        <v>26</v>
      </c>
      <c r="GC8">
        <v>55</v>
      </c>
      <c r="GD8">
        <v>55</v>
      </c>
      <c r="GE8">
        <v>21.5</v>
      </c>
      <c r="GF8">
        <v>21.5</v>
      </c>
      <c r="GH8">
        <v>24</v>
      </c>
      <c r="GL8">
        <v>9.5</v>
      </c>
      <c r="GM8">
        <v>9.5</v>
      </c>
      <c r="GN8">
        <v>9.5</v>
      </c>
      <c r="GO8">
        <v>20</v>
      </c>
      <c r="GP8">
        <v>20</v>
      </c>
      <c r="GQ8">
        <v>20</v>
      </c>
      <c r="GR8">
        <v>10</v>
      </c>
      <c r="GY8">
        <v>6</v>
      </c>
      <c r="GZ8">
        <v>6</v>
      </c>
      <c r="HA8">
        <v>6</v>
      </c>
      <c r="HC8">
        <v>6.5</v>
      </c>
      <c r="HD8">
        <v>6.5</v>
      </c>
      <c r="HG8">
        <v>7.25</v>
      </c>
      <c r="HH8">
        <v>6</v>
      </c>
      <c r="HI8">
        <v>6</v>
      </c>
      <c r="HK8">
        <v>5</v>
      </c>
      <c r="HM8">
        <v>5</v>
      </c>
      <c r="HN8">
        <v>6</v>
      </c>
      <c r="HP8">
        <v>6</v>
      </c>
      <c r="HQ8">
        <v>8</v>
      </c>
      <c r="HR8">
        <v>8</v>
      </c>
      <c r="HS8">
        <v>9.5</v>
      </c>
      <c r="HT8">
        <v>9.5</v>
      </c>
      <c r="IB8">
        <v>4</v>
      </c>
      <c r="IC8">
        <v>4</v>
      </c>
      <c r="ID8">
        <v>4</v>
      </c>
      <c r="IE8">
        <v>3.5</v>
      </c>
      <c r="IF8">
        <v>3.5</v>
      </c>
      <c r="IH8">
        <v>3.75</v>
      </c>
      <c r="II8">
        <v>3.75</v>
      </c>
      <c r="IJ8">
        <v>3.75</v>
      </c>
      <c r="IK8">
        <v>7</v>
      </c>
      <c r="IN8">
        <v>10</v>
      </c>
      <c r="IO8">
        <v>10</v>
      </c>
      <c r="IP8">
        <v>10</v>
      </c>
      <c r="IQ8">
        <v>10</v>
      </c>
      <c r="IR8">
        <v>10</v>
      </c>
      <c r="IT8">
        <v>4.5</v>
      </c>
      <c r="IU8">
        <v>4.5</v>
      </c>
      <c r="IV8">
        <v>4.5</v>
      </c>
      <c r="IW8">
        <v>4</v>
      </c>
      <c r="IX8">
        <v>4</v>
      </c>
      <c r="IY8">
        <v>4</v>
      </c>
      <c r="IZ8" s="11">
        <v>4</v>
      </c>
      <c r="JA8" s="11">
        <v>4</v>
      </c>
      <c r="JB8" s="11">
        <v>4</v>
      </c>
      <c r="JC8">
        <v>7</v>
      </c>
      <c r="JD8">
        <v>7</v>
      </c>
      <c r="JE8">
        <v>7</v>
      </c>
      <c r="JF8">
        <v>14</v>
      </c>
      <c r="JG8">
        <v>14</v>
      </c>
      <c r="JH8">
        <v>14</v>
      </c>
      <c r="JI8">
        <v>8</v>
      </c>
      <c r="JJ8">
        <v>8</v>
      </c>
      <c r="JK8">
        <v>8</v>
      </c>
      <c r="JL8" s="11">
        <v>13</v>
      </c>
      <c r="JM8" s="11">
        <v>13</v>
      </c>
      <c r="JN8" s="11">
        <v>13</v>
      </c>
      <c r="JO8" s="24">
        <v>4.5</v>
      </c>
      <c r="JP8" s="24"/>
      <c r="JQ8" s="24">
        <v>4.5</v>
      </c>
      <c r="JR8" s="11">
        <v>4</v>
      </c>
      <c r="JS8" s="11">
        <v>4</v>
      </c>
      <c r="JT8" s="11">
        <v>4</v>
      </c>
      <c r="JU8" s="11"/>
      <c r="JV8" s="11">
        <v>4</v>
      </c>
      <c r="JW8" s="11">
        <v>4</v>
      </c>
      <c r="JX8" s="24">
        <v>4.5</v>
      </c>
      <c r="JY8" s="24">
        <v>4.5</v>
      </c>
      <c r="JZ8" s="11">
        <v>4.5</v>
      </c>
      <c r="KA8" s="11">
        <v>4.5</v>
      </c>
      <c r="KB8" s="11">
        <v>4.5</v>
      </c>
      <c r="KF8" s="11">
        <v>7</v>
      </c>
      <c r="KG8" s="11">
        <v>7</v>
      </c>
      <c r="KH8" s="11">
        <v>14</v>
      </c>
      <c r="KI8" s="11">
        <v>14</v>
      </c>
      <c r="KL8" s="11">
        <f>AVERAGE(6.5,10.25)</f>
        <v>8.375</v>
      </c>
      <c r="KM8" s="11">
        <f>AVERAGE(6.5,10.25)</f>
        <v>8.375</v>
      </c>
      <c r="KN8" s="11">
        <v>40</v>
      </c>
      <c r="KO8" s="11"/>
      <c r="LM8">
        <v>25</v>
      </c>
      <c r="LN8">
        <v>23</v>
      </c>
      <c r="LO8" s="42">
        <v>30</v>
      </c>
      <c r="LP8" s="42">
        <v>27.5</v>
      </c>
      <c r="LQ8" s="42"/>
      <c r="LR8" s="42">
        <v>25</v>
      </c>
    </row>
    <row r="9" spans="1:334" x14ac:dyDescent="0.35">
      <c r="B9">
        <v>40</v>
      </c>
      <c r="C9">
        <v>40</v>
      </c>
      <c r="D9">
        <v>0.83</v>
      </c>
      <c r="E9">
        <v>0.83</v>
      </c>
      <c r="Q9">
        <v>10</v>
      </c>
      <c r="S9">
        <v>2.5</v>
      </c>
      <c r="T9">
        <v>2.5</v>
      </c>
      <c r="U9">
        <v>2.5</v>
      </c>
      <c r="X9">
        <v>3.5</v>
      </c>
      <c r="Y9">
        <v>3.5</v>
      </c>
      <c r="AB9">
        <v>27</v>
      </c>
      <c r="AC9">
        <v>27</v>
      </c>
      <c r="AD9">
        <v>27</v>
      </c>
      <c r="AH9">
        <v>4.5</v>
      </c>
      <c r="AI9">
        <v>4.5</v>
      </c>
      <c r="AJ9">
        <v>4.5</v>
      </c>
      <c r="AK9">
        <v>35</v>
      </c>
      <c r="AL9">
        <v>35</v>
      </c>
      <c r="AM9">
        <v>35</v>
      </c>
      <c r="AN9">
        <v>35</v>
      </c>
      <c r="AO9">
        <v>35</v>
      </c>
      <c r="AP9">
        <v>35</v>
      </c>
      <c r="AQ9">
        <v>7</v>
      </c>
      <c r="AR9">
        <v>7</v>
      </c>
      <c r="AX9">
        <v>35</v>
      </c>
      <c r="AY9">
        <v>35</v>
      </c>
      <c r="AZ9">
        <v>35</v>
      </c>
      <c r="BG9">
        <v>2.5</v>
      </c>
      <c r="BS9">
        <v>2.5</v>
      </c>
      <c r="BT9">
        <v>2.5</v>
      </c>
      <c r="BU9">
        <v>2.5</v>
      </c>
      <c r="CW9">
        <v>3.5</v>
      </c>
      <c r="CX9">
        <v>3.5</v>
      </c>
      <c r="CY9">
        <v>3.5</v>
      </c>
      <c r="DC9">
        <v>70</v>
      </c>
      <c r="DJ9">
        <v>40</v>
      </c>
      <c r="DK9">
        <v>40</v>
      </c>
      <c r="DL9">
        <v>40</v>
      </c>
      <c r="DM9">
        <v>40</v>
      </c>
      <c r="DN9">
        <v>40</v>
      </c>
      <c r="DO9">
        <v>40</v>
      </c>
      <c r="DP9">
        <v>23</v>
      </c>
      <c r="DQ9">
        <v>23</v>
      </c>
      <c r="DR9">
        <v>23</v>
      </c>
      <c r="DS9" s="11">
        <v>21</v>
      </c>
      <c r="DT9" s="11"/>
      <c r="DU9" s="11">
        <v>20</v>
      </c>
      <c r="DV9" s="11">
        <v>20</v>
      </c>
      <c r="DW9">
        <v>10</v>
      </c>
      <c r="DX9">
        <v>10</v>
      </c>
      <c r="DY9">
        <v>10</v>
      </c>
      <c r="DZ9">
        <v>9</v>
      </c>
      <c r="EA9">
        <v>9</v>
      </c>
      <c r="EB9">
        <v>9</v>
      </c>
      <c r="EF9">
        <v>5</v>
      </c>
      <c r="EG9">
        <v>5</v>
      </c>
      <c r="EH9">
        <v>5</v>
      </c>
      <c r="FF9">
        <v>16</v>
      </c>
      <c r="FG9">
        <v>16</v>
      </c>
      <c r="FH9">
        <v>16</v>
      </c>
      <c r="FL9">
        <v>14</v>
      </c>
      <c r="FM9">
        <v>14</v>
      </c>
      <c r="FN9">
        <v>14</v>
      </c>
      <c r="FO9">
        <v>14</v>
      </c>
      <c r="FP9">
        <v>14</v>
      </c>
      <c r="GM9">
        <v>11</v>
      </c>
      <c r="HM9">
        <v>6</v>
      </c>
      <c r="IN9">
        <v>12</v>
      </c>
      <c r="IO9">
        <v>12</v>
      </c>
      <c r="IW9">
        <v>5</v>
      </c>
      <c r="JZ9" s="11">
        <v>5.75</v>
      </c>
      <c r="KA9" s="11"/>
      <c r="KB9" s="11"/>
    </row>
    <row r="10" spans="1:334" x14ac:dyDescent="0.35">
      <c r="AK10">
        <v>40</v>
      </c>
      <c r="DJ10">
        <v>45</v>
      </c>
      <c r="DK10">
        <v>45</v>
      </c>
      <c r="DL10">
        <v>45</v>
      </c>
      <c r="DM10">
        <v>45</v>
      </c>
      <c r="DN10">
        <v>45</v>
      </c>
      <c r="DY10">
        <v>12</v>
      </c>
      <c r="HQ10" s="43"/>
      <c r="JO10" s="26"/>
    </row>
    <row r="11" spans="1:334" x14ac:dyDescent="0.35">
      <c r="AK11">
        <v>50</v>
      </c>
      <c r="DJ11">
        <v>50</v>
      </c>
    </row>
    <row r="15" spans="1:334" x14ac:dyDescent="0.35">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c r="FA15" s="60"/>
      <c r="FB15" s="60"/>
      <c r="FC15" s="60"/>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60"/>
      <c r="GW15" s="60"/>
      <c r="GX15" s="60"/>
      <c r="GY15" s="60"/>
      <c r="GZ15" s="60"/>
      <c r="HA15" s="60"/>
      <c r="HB15" s="60"/>
      <c r="HC15" s="60"/>
      <c r="HD15" s="60"/>
      <c r="HE15" s="60"/>
      <c r="HF15" s="60"/>
      <c r="HG15" s="60"/>
      <c r="HH15" s="60"/>
      <c r="HI15" s="60"/>
      <c r="HJ15" s="60"/>
      <c r="HK15" s="60"/>
      <c r="HL15" s="60"/>
      <c r="HM15" s="60"/>
      <c r="HN15" s="60"/>
      <c r="HO15" s="60"/>
      <c r="HP15" s="60"/>
      <c r="HQ15" s="60"/>
      <c r="HR15" s="60"/>
      <c r="HS15" s="60"/>
      <c r="HT15" s="60"/>
      <c r="HU15" s="60"/>
      <c r="HV15" s="60"/>
      <c r="HW15" s="60"/>
      <c r="HX15" s="60"/>
      <c r="HY15" s="60"/>
      <c r="HZ15" s="60"/>
      <c r="IA15" s="60"/>
      <c r="IB15" s="60"/>
      <c r="IC15" s="60"/>
      <c r="ID15" s="60"/>
      <c r="IE15" s="60"/>
      <c r="IF15" s="60"/>
      <c r="IG15" s="60"/>
      <c r="IH15" s="60"/>
      <c r="II15" s="60"/>
      <c r="IJ15" s="60"/>
      <c r="IK15" s="60"/>
      <c r="IL15" s="60"/>
      <c r="IM15" s="60"/>
      <c r="IN15" s="60"/>
      <c r="IO15" s="60"/>
      <c r="IP15" s="60"/>
      <c r="IQ15" s="60"/>
      <c r="IR15" s="60"/>
      <c r="IS15" s="60"/>
      <c r="IT15" s="60"/>
      <c r="IU15" s="60"/>
      <c r="IV15" s="60"/>
      <c r="IW15" s="60"/>
      <c r="IX15" s="60"/>
      <c r="IY15" s="60"/>
      <c r="IZ15" s="60"/>
      <c r="JA15" s="60"/>
      <c r="JB15" s="60"/>
      <c r="JC15" s="60"/>
      <c r="JD15" s="60"/>
      <c r="JE15" s="60"/>
      <c r="JF15" s="60"/>
      <c r="JG15" s="60"/>
      <c r="JH15" s="60"/>
      <c r="JI15" s="60"/>
      <c r="JJ15" s="60"/>
      <c r="JK15" s="60"/>
      <c r="JL15" s="60"/>
      <c r="JM15" s="60"/>
      <c r="JN15" s="60"/>
      <c r="JO15" s="60"/>
      <c r="JP15" s="60"/>
      <c r="JQ15" s="60"/>
      <c r="JR15" s="60"/>
      <c r="JS15" s="60"/>
      <c r="JT15" s="60"/>
      <c r="JU15" s="60"/>
      <c r="JV15" s="60"/>
      <c r="JW15" s="60"/>
      <c r="JX15" s="60"/>
      <c r="JY15" s="60"/>
      <c r="JZ15" s="60"/>
      <c r="KA15" s="60"/>
      <c r="KB15" s="60"/>
      <c r="KC15" s="60"/>
      <c r="KD15" s="60"/>
      <c r="KE15" s="60"/>
      <c r="KF15" s="60"/>
      <c r="KG15" s="60"/>
      <c r="KH15" s="60"/>
      <c r="KI15" s="60"/>
      <c r="KJ15" s="60"/>
      <c r="KK15" s="60"/>
      <c r="KL15" s="60"/>
      <c r="KM15" s="60"/>
      <c r="KN15" s="60"/>
      <c r="KO15" s="60"/>
      <c r="KP15" s="60"/>
      <c r="KQ15" s="60"/>
      <c r="KR15" s="60"/>
      <c r="KS15" s="60"/>
      <c r="KT15" s="60"/>
      <c r="KU15" s="60"/>
      <c r="KV15" s="60"/>
      <c r="KW15" s="60"/>
      <c r="KX15" s="60"/>
      <c r="KY15" s="60"/>
      <c r="KZ15" s="60"/>
      <c r="LA15" s="60"/>
      <c r="LB15" s="60"/>
      <c r="LC15" s="60"/>
      <c r="LD15" s="60"/>
      <c r="LE15" s="60"/>
      <c r="LF15" s="60"/>
      <c r="LG15" s="60"/>
      <c r="LH15" s="60"/>
      <c r="LI15" s="60"/>
      <c r="LJ15" s="60"/>
      <c r="LK15" s="60"/>
      <c r="LL15" s="60"/>
      <c r="LM15" s="60"/>
      <c r="LN15" s="60"/>
      <c r="LO15" s="60"/>
      <c r="LP15" s="60"/>
      <c r="LQ15" s="60"/>
      <c r="LR15" s="60"/>
      <c r="LS15" s="60"/>
      <c r="LT15" s="60"/>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T16"/>
  <sheetViews>
    <sheetView topLeftCell="LD1" zoomScale="130" zoomScaleNormal="130" workbookViewId="0"/>
  </sheetViews>
  <sheetFormatPr defaultColWidth="8.6328125" defaultRowHeight="14.5" x14ac:dyDescent="0.35"/>
  <cols>
    <col min="1" max="3" width="13.6328125" style="11" bestFit="1" customWidth="1"/>
    <col min="4" max="6" width="14.54296875" style="11" bestFit="1" customWidth="1"/>
    <col min="7" max="9" width="14.36328125" style="11" bestFit="1" customWidth="1"/>
    <col min="10" max="12" width="13.453125" style="11" bestFit="1" customWidth="1"/>
    <col min="13" max="17" width="8.6328125" style="11"/>
    <col min="18" max="18" width="14.36328125" style="11" bestFit="1" customWidth="1"/>
    <col min="19" max="20" width="8.6328125" style="11"/>
    <col min="21" max="21" width="19.6328125" style="11" bestFit="1" customWidth="1"/>
    <col min="22" max="24" width="13.36328125" style="11" bestFit="1" customWidth="1"/>
    <col min="25" max="26" width="8.6328125" style="11"/>
    <col min="27" max="27" width="14.08984375" style="11" bestFit="1" customWidth="1"/>
    <col min="28" max="44" width="8.6328125" style="11"/>
    <col min="45" max="45" width="21.08984375" style="11" bestFit="1" customWidth="1"/>
    <col min="46" max="46" width="21.08984375" style="11" customWidth="1"/>
    <col min="47" max="48" width="8.6328125" style="11"/>
    <col min="49" max="49" width="21.08984375" style="11" bestFit="1" customWidth="1"/>
    <col min="50" max="51" width="8.6328125" style="11"/>
    <col min="52" max="52" width="29.6328125" style="11" bestFit="1" customWidth="1"/>
    <col min="53" max="60" width="8.6328125" style="11"/>
    <col min="61" max="61" width="14.36328125" style="11" bestFit="1" customWidth="1"/>
    <col min="62" max="64" width="8.6328125" style="11"/>
    <col min="65" max="67" width="32.90625" style="11" bestFit="1" customWidth="1"/>
    <col min="68" max="68" width="8.6328125" style="11"/>
    <col min="69" max="69" width="18.54296875" style="11" customWidth="1"/>
    <col min="70" max="70" width="33.6328125" style="11" bestFit="1" customWidth="1"/>
    <col min="71" max="72" width="8.6328125" style="11"/>
    <col min="73" max="73" width="30.6328125" style="11" bestFit="1" customWidth="1"/>
    <col min="74" max="75" width="8.6328125" style="11"/>
    <col min="76" max="76" width="31.6328125" style="11" bestFit="1" customWidth="1"/>
    <col min="77" max="78" width="8.6328125" style="11"/>
    <col min="79" max="79" width="34.6328125" style="11" bestFit="1" customWidth="1"/>
    <col min="80" max="81" width="8.6328125" style="11"/>
    <col min="82" max="82" width="38.36328125" style="11" bestFit="1" customWidth="1"/>
    <col min="83" max="84" width="8.6328125" style="11"/>
    <col min="85" max="85" width="12.36328125" style="11" bestFit="1" customWidth="1"/>
    <col min="86" max="87" width="8.6328125" style="11"/>
    <col min="88" max="88" width="34.6328125" style="11" bestFit="1" customWidth="1"/>
    <col min="89" max="90" width="8.6328125" style="11"/>
    <col min="91" max="91" width="35.453125" style="11" bestFit="1" customWidth="1"/>
    <col min="92" max="92" width="25.08984375" style="11" bestFit="1" customWidth="1"/>
    <col min="93" max="93" width="8.6328125" style="11"/>
    <col min="94" max="94" width="23.6328125" style="11" bestFit="1" customWidth="1"/>
    <col min="95" max="97" width="23.6328125" style="11" customWidth="1"/>
    <col min="98" max="99" width="8.6328125" style="11"/>
    <col min="100" max="100" width="12.36328125" style="11" bestFit="1" customWidth="1"/>
    <col min="101" max="102" width="8.6328125" style="11"/>
    <col min="103" max="103" width="40.36328125" style="11" bestFit="1" customWidth="1"/>
    <col min="104" max="105" width="8.6328125" style="11"/>
    <col min="106" max="106" width="34.08984375" style="11" bestFit="1" customWidth="1"/>
    <col min="107" max="108" width="8.6328125" style="11"/>
    <col min="109" max="109" width="28.90625" style="11" bestFit="1" customWidth="1"/>
    <col min="110" max="110" width="28.90625" style="11" customWidth="1"/>
    <col min="111" max="112" width="8.6328125" style="11"/>
    <col min="113" max="113" width="21.6328125" style="11" bestFit="1" customWidth="1"/>
    <col min="114" max="114" width="8.6328125" style="11"/>
    <col min="115" max="116" width="22" style="11" bestFit="1" customWidth="1"/>
    <col min="117" max="118" width="8.6328125" style="11"/>
    <col min="119" max="119" width="19.90625" style="11" bestFit="1" customWidth="1"/>
    <col min="120" max="121" width="8.6328125" style="11"/>
    <col min="122" max="122" width="30.6328125" style="11" bestFit="1" customWidth="1"/>
    <col min="123" max="126" width="30.6328125" style="11" customWidth="1"/>
    <col min="127" max="128" width="8.6328125" style="11"/>
    <col min="129" max="129" width="30.6328125" style="11" bestFit="1" customWidth="1"/>
    <col min="130" max="131" width="8.6328125" style="11"/>
    <col min="132" max="132" width="30.08984375" style="11" bestFit="1" customWidth="1"/>
    <col min="133" max="134" width="8.6328125" style="11"/>
    <col min="135" max="135" width="33.36328125" style="11" bestFit="1" customWidth="1"/>
    <col min="136" max="137" width="8.6328125" style="11"/>
    <col min="138" max="138" width="37" style="11" bestFit="1" customWidth="1"/>
    <col min="139" max="141" width="8.6328125" style="11"/>
    <col min="142" max="142" width="33" style="11" bestFit="1" customWidth="1"/>
    <col min="143" max="144" width="8.6328125" style="11"/>
    <col min="145" max="145" width="39.36328125" style="11" bestFit="1" customWidth="1"/>
    <col min="146" max="146" width="8.6328125" style="11"/>
    <col min="147" max="147" width="38.54296875" style="11" bestFit="1" customWidth="1"/>
    <col min="148" max="149" width="8.6328125" style="11"/>
    <col min="150" max="150" width="23" style="11" bestFit="1" customWidth="1"/>
    <col min="151" max="152" width="8.6328125" style="11"/>
    <col min="153" max="153" width="24.08984375" style="11" bestFit="1" customWidth="1"/>
    <col min="154" max="155" width="8.6328125" style="11"/>
    <col min="156" max="156" width="21.6328125" style="11" bestFit="1" customWidth="1"/>
    <col min="157" max="158" width="8.6328125" style="11"/>
    <col min="159" max="159" width="33.08984375" style="11" bestFit="1" customWidth="1"/>
    <col min="160" max="160" width="8.6328125" style="11"/>
    <col min="161" max="161" width="21.6328125" style="11" bestFit="1" customWidth="1"/>
    <col min="162" max="163" width="8.6328125" style="11"/>
    <col min="164" max="164" width="40.36328125" style="11" bestFit="1" customWidth="1"/>
    <col min="165" max="166" width="8.6328125" style="11"/>
    <col min="167" max="167" width="39.36328125" style="11" bestFit="1" customWidth="1"/>
    <col min="168" max="169" width="8.6328125" style="11"/>
    <col min="170" max="170" width="39.36328125" style="11" bestFit="1" customWidth="1"/>
    <col min="171" max="172" width="8.6328125" style="11"/>
    <col min="173" max="173" width="40.36328125" style="11" bestFit="1" customWidth="1"/>
    <col min="174" max="175" width="8.6328125" style="11"/>
    <col min="176" max="176" width="39.36328125" style="11" bestFit="1" customWidth="1"/>
    <col min="177" max="178" width="8.6328125" style="11"/>
    <col min="179" max="179" width="39.36328125" style="11" bestFit="1" customWidth="1"/>
    <col min="180" max="180" width="16.08984375" style="11" bestFit="1" customWidth="1"/>
    <col min="181" max="181" width="8.6328125" style="11"/>
    <col min="182" max="182" width="16.08984375" style="11" bestFit="1" customWidth="1"/>
    <col min="183" max="183" width="16.08984375" style="11" customWidth="1"/>
    <col min="184" max="184" width="16.08984375" style="11" bestFit="1" customWidth="1"/>
    <col min="185" max="185" width="8.6328125" style="11"/>
    <col min="186" max="186" width="16.08984375" style="11" bestFit="1" customWidth="1"/>
    <col min="187" max="187" width="8.6328125" style="11"/>
    <col min="188" max="188" width="16.08984375" style="11" bestFit="1" customWidth="1"/>
    <col min="189" max="189" width="8.6328125" style="11"/>
    <col min="190" max="190" width="16.08984375" style="11" bestFit="1" customWidth="1"/>
    <col min="191" max="191" width="8.6328125" style="11"/>
    <col min="192" max="192" width="40.6328125" style="11" bestFit="1" customWidth="1"/>
    <col min="193" max="193" width="20.36328125" style="11" bestFit="1" customWidth="1"/>
    <col min="194" max="195" width="8.6328125" style="11"/>
    <col min="196" max="196" width="18.36328125" style="11" bestFit="1" customWidth="1"/>
    <col min="197" max="200" width="8.6328125" style="11"/>
    <col min="201" max="201" width="12.6328125" style="11" bestFit="1" customWidth="1"/>
    <col min="202" max="203" width="8.6328125" style="11"/>
    <col min="204" max="204" width="14.6328125" style="11" bestFit="1" customWidth="1"/>
    <col min="205" max="205" width="8.6328125" style="11"/>
    <col min="206" max="206" width="21.08984375" style="11" bestFit="1" customWidth="1"/>
    <col min="207" max="208" width="8.6328125" style="11"/>
    <col min="209" max="209" width="33.08984375" style="11" bestFit="1" customWidth="1"/>
    <col min="210" max="211" width="8.6328125" style="11"/>
    <col min="212" max="212" width="33.08984375" style="11" bestFit="1" customWidth="1"/>
    <col min="213" max="214" width="8.6328125" style="11"/>
    <col min="215" max="215" width="33.08984375" style="11" bestFit="1" customWidth="1"/>
    <col min="216" max="217" width="8.6328125" style="11"/>
    <col min="218" max="218" width="33.54296875" style="11" bestFit="1" customWidth="1"/>
    <col min="219" max="220" width="8.6328125" style="11"/>
    <col min="221" max="221" width="33.6328125" style="11" bestFit="1" customWidth="1"/>
    <col min="222" max="223" width="8.6328125" style="11"/>
    <col min="224" max="224" width="34" style="11" bestFit="1" customWidth="1"/>
    <col min="225" max="225" width="8.6328125" style="11"/>
    <col min="226" max="226" width="15" style="11" bestFit="1" customWidth="1"/>
    <col min="227" max="227" width="8.6328125" style="11"/>
    <col min="228" max="228" width="17.6328125" style="11" bestFit="1" customWidth="1"/>
    <col min="229" max="229" width="8.6328125" style="11"/>
    <col min="230" max="230" width="17.6328125" style="11" bestFit="1" customWidth="1"/>
    <col min="231" max="231" width="8.6328125" style="11"/>
    <col min="232" max="232" width="17.90625" style="11" bestFit="1" customWidth="1"/>
    <col min="233" max="234" width="8.6328125" style="11"/>
    <col min="235" max="235" width="30.36328125" style="11" bestFit="1" customWidth="1"/>
    <col min="236" max="237" width="8.6328125" style="11"/>
    <col min="238" max="238" width="34.90625" style="11" bestFit="1" customWidth="1"/>
    <col min="239" max="240" width="8.6328125" style="11"/>
    <col min="241" max="241" width="34.36328125" style="11" bestFit="1" customWidth="1"/>
    <col min="242" max="243" width="8.6328125" style="11"/>
    <col min="244" max="244" width="32.6328125" style="11" bestFit="1" customWidth="1"/>
    <col min="245" max="246" width="8.6328125" style="11"/>
    <col min="247" max="247" width="34.36328125" style="11" bestFit="1" customWidth="1"/>
    <col min="248" max="249" width="8.6328125" style="11"/>
    <col min="250" max="250" width="32.08984375" style="11" bestFit="1" customWidth="1"/>
    <col min="251" max="252" width="8.6328125" style="11"/>
    <col min="253" max="253" width="34.36328125" style="11" bestFit="1" customWidth="1"/>
    <col min="254" max="255" width="8.6328125" style="11"/>
    <col min="256" max="256" width="33.6328125" style="11" bestFit="1" customWidth="1"/>
    <col min="257" max="258" width="8.6328125" style="11"/>
    <col min="259" max="259" width="21.08984375" style="11" bestFit="1" customWidth="1"/>
    <col min="260" max="262" width="21.08984375" style="11" customWidth="1"/>
    <col min="263" max="264" width="8.6328125" style="11"/>
    <col min="265" max="265" width="32.08984375" style="11" bestFit="1" customWidth="1"/>
    <col min="266" max="267" width="8.6328125" style="11"/>
    <col min="268" max="268" width="32.08984375" style="11" bestFit="1" customWidth="1"/>
    <col min="269" max="270" width="8.6328125" style="11"/>
    <col min="271" max="271" width="34.36328125" style="11" bestFit="1" customWidth="1"/>
    <col min="272" max="273" width="8.6328125" style="11"/>
    <col min="274" max="274" width="39.54296875" style="11" bestFit="1" customWidth="1"/>
    <col min="275" max="276" width="8.6328125" style="11"/>
    <col min="277" max="277" width="35.36328125" style="11" bestFit="1" customWidth="1"/>
    <col min="278" max="279" width="8.6328125" style="11"/>
    <col min="280" max="280" width="33.08984375" style="11" bestFit="1" customWidth="1"/>
    <col min="281" max="282" width="8.6328125" style="11"/>
    <col min="283" max="283" width="33.08984375" style="11" bestFit="1" customWidth="1"/>
    <col min="284" max="284" width="8.6328125" style="11"/>
    <col min="285" max="285" width="34.36328125" style="11" bestFit="1" customWidth="1"/>
    <col min="286" max="287" width="8.6328125" style="11"/>
    <col min="288" max="288" width="34.36328125" style="11" bestFit="1" customWidth="1"/>
    <col min="289" max="290" width="8.6328125" style="11"/>
    <col min="291" max="291" width="33.08984375" style="11" bestFit="1" customWidth="1"/>
    <col min="292" max="292" width="8.6328125" style="11"/>
    <col min="293" max="293" width="23.453125" style="11" bestFit="1" customWidth="1"/>
    <col min="294" max="294" width="8.6328125" style="11"/>
    <col min="295" max="295" width="23.54296875" style="11" bestFit="1" customWidth="1"/>
    <col min="296" max="296" width="8.6328125" style="11"/>
    <col min="297" max="297" width="23.36328125" style="11" bestFit="1" customWidth="1"/>
    <col min="298" max="16384" width="8.6328125" style="11"/>
  </cols>
  <sheetData>
    <row r="1" spans="1:332" s="43" customFormat="1" x14ac:dyDescent="0.35">
      <c r="A1" s="60" t="s">
        <v>547</v>
      </c>
    </row>
    <row r="2" spans="1:332" s="43" customFormat="1" x14ac:dyDescent="0.35"/>
    <row r="3" spans="1:332" s="1" customFormat="1" ht="87" x14ac:dyDescent="0.35">
      <c r="A3" s="1" t="str">
        <f>'Formulation Name Data'!A10&amp;"_T1"</f>
        <v>Buckeye 3%_3_T1</v>
      </c>
      <c r="B3" s="1" t="str">
        <f>'Formulation Name Data'!A10&amp;"_T2"</f>
        <v>Buckeye 3%_3_T2</v>
      </c>
      <c r="C3" s="1" t="str">
        <f>'Formulation Name Data'!A10&amp;"_T3"</f>
        <v>Buckeye 3%_3_T3</v>
      </c>
      <c r="D3" s="1" t="str">
        <f>'Formulation Name Data'!A82&amp;"_T1"</f>
        <v>Silsurf_0.014_T1</v>
      </c>
      <c r="E3" s="1" t="str">
        <f>'Formulation Name Data'!A82&amp;"_T2"</f>
        <v>Silsurf_0.014_T2</v>
      </c>
      <c r="F3" s="1" t="str">
        <f>'Formulation Name Data'!A82&amp;"_T3"</f>
        <v>Silsurf_0.014_T3</v>
      </c>
      <c r="G3" s="1" t="str">
        <f>'Formulation Name Data'!A129&amp;"_T1"</f>
        <v>D501W_0.05_T1</v>
      </c>
      <c r="H3" s="1" t="str">
        <f>'Formulation Name Data'!A129&amp;"_T2"</f>
        <v>D501W_0.05_T2</v>
      </c>
      <c r="I3" s="44" t="str">
        <f>'Formulation Name Data'!A129&amp;"_T3"</f>
        <v>D501W_0.05_T3</v>
      </c>
      <c r="J3" s="1" t="str">
        <f>'Formulation Name Data'!A79&amp;"_T1"</f>
        <v>TMN6_0.4_T1</v>
      </c>
      <c r="K3" s="1" t="str">
        <f>'Formulation Name Data'!A79&amp;"_T2"</f>
        <v>TMN6_0.4_T2</v>
      </c>
      <c r="L3" s="44" t="str">
        <f>'Formulation Name Data'!A79&amp;"_T3"</f>
        <v>TMN6_0.4_T3</v>
      </c>
      <c r="M3" s="1" t="str">
        <f>'Formulation Name Data'!A81&amp;"_T1"</f>
        <v>Silphos_0.3_T1</v>
      </c>
      <c r="N3" s="1" t="str">
        <f>'Formulation Name Data'!A81&amp;"_T2"</f>
        <v>Silphos_0.3_T2</v>
      </c>
      <c r="O3" s="44" t="str">
        <f>'Formulation Name Data'!A81&amp;"_T3"</f>
        <v>Silphos_0.3_T3</v>
      </c>
      <c r="P3" s="1" t="str">
        <f>'Formulation Name Data'!A77&amp;"_T1"</f>
        <v>D502W_0.1_T1</v>
      </c>
      <c r="Q3" s="1" t="str">
        <f>'Formulation Name Data'!A77&amp;"_T2"</f>
        <v>D502W_0.1_T2</v>
      </c>
      <c r="R3" s="44" t="str">
        <f>'Formulation Name Data'!A77&amp;"_T3"</f>
        <v>D502W_0.1_T3</v>
      </c>
      <c r="S3" s="1" t="str">
        <f>'Formulation Name Data'!A80&amp;"_T1"</f>
        <v>AlphaFoam_1.3_T1</v>
      </c>
      <c r="T3" s="1" t="str">
        <f>'Formulation Name Data'!A80&amp;"_T2"</f>
        <v>AlphaFoam_1.3_T2</v>
      </c>
      <c r="U3" s="44" t="str">
        <f>'Formulation Name Data'!A80&amp;"_T3"</f>
        <v>AlphaFoam_1.3_T3</v>
      </c>
      <c r="V3" s="1" t="str">
        <f>'Formulation Name Data'!A78&amp;"_T1"</f>
        <v>T15-S-7_0.05_T1</v>
      </c>
      <c r="W3" s="1" t="str">
        <f>'Formulation Name Data'!A78&amp;"_T2"</f>
        <v>T15-S-7_0.05_T2</v>
      </c>
      <c r="X3" s="44" t="str">
        <f>'Formulation Name Data'!A78&amp;"_T3"</f>
        <v>T15-S-7_0.05_T3</v>
      </c>
      <c r="Y3" s="1" t="str">
        <f>'Formulation Name Data'!A56&amp;"_T1"</f>
        <v>G215_0.5_T1</v>
      </c>
      <c r="Z3" s="1" t="str">
        <f>'Formulation Name Data'!A56&amp;"_T2"</f>
        <v>G215_0.5_T2</v>
      </c>
      <c r="AA3" s="44" t="str">
        <f>'Formulation Name Data'!A56&amp;"_T3"</f>
        <v>G215_0.5_T3</v>
      </c>
      <c r="AB3" s="1" t="str">
        <f>'Formulation Name Data'!A11&amp;"_T1"</f>
        <v>RF6_6_T1</v>
      </c>
      <c r="AC3" s="1" t="str">
        <f>'Formulation Name Data'!A11&amp;"_T2"</f>
        <v>RF6_6_T2</v>
      </c>
      <c r="AD3" s="44" t="str">
        <f>'Formulation Name Data'!A11&amp;"_T3"</f>
        <v>RF6_6_T3</v>
      </c>
      <c r="AE3" s="1" t="str">
        <f>'Formulation Name Data'!A12&amp;"_T1"</f>
        <v>SDS_1_T1</v>
      </c>
      <c r="AF3" s="1" t="str">
        <f>'Formulation Name Data'!A12&amp;"_T2"</f>
        <v>SDS_1_T2</v>
      </c>
      <c r="AG3" s="44" t="str">
        <f>'Formulation Name Data'!A12&amp;"_T3"</f>
        <v>SDS_1_T3</v>
      </c>
      <c r="AH3" s="1" t="str">
        <f>'Formulation Name Data'!A76&amp;"_T1"</f>
        <v>TrX100_0.5_T1</v>
      </c>
      <c r="AI3" s="1" t="str">
        <f>'Formulation Name Data'!A76&amp;"_T2"</f>
        <v>TrX100_0.5_T2</v>
      </c>
      <c r="AJ3" s="44" t="str">
        <f>'Formulation Name Data'!A76&amp;"_T3"</f>
        <v>TrX100_0.5_T3</v>
      </c>
      <c r="AK3" s="1" t="str">
        <f>'Formulation Name Data'!A73&amp;"_T1"</f>
        <v>Cap_0.225_T1</v>
      </c>
      <c r="AL3" s="1" t="str">
        <f>'Formulation Name Data'!A73&amp;"_T2"</f>
        <v>Cap_0.225_T2</v>
      </c>
      <c r="AM3" s="44" t="str">
        <f>'Formulation Name Data'!A73&amp;"_T3"</f>
        <v>Cap_0.225_T3</v>
      </c>
      <c r="AN3" s="1" t="str">
        <f>'Formulation Name Data'!A44&amp;"_T1"</f>
        <v>Cap_0.5_T1</v>
      </c>
      <c r="AO3" s="1" t="str">
        <f>'Formulation Name Data'!A44&amp;"_T2"</f>
        <v>Cap_0.5_T2</v>
      </c>
      <c r="AP3" s="44" t="str">
        <f>'Formulation Name Data'!A44&amp;"_T3"</f>
        <v>Cap_0.5_T3</v>
      </c>
      <c r="AQ3" s="1" t="str">
        <f>'Formulation Name Data'!A111&amp;"_T1"</f>
        <v>G225_DGBE_0.5_0.5_T1</v>
      </c>
      <c r="AR3" s="1" t="str">
        <f>'Formulation Name Data'!A111&amp;"_T2"</f>
        <v>G225_DGBE_0.5_0.5_T2</v>
      </c>
      <c r="AS3" s="44" t="str">
        <f>'Formulation Name Data'!A111&amp;"_T3"</f>
        <v>G225_DGBE_0.5_0.5_T3</v>
      </c>
      <c r="AT3" s="44" t="str">
        <f>'Formulation Name Data'!A111&amp;"_T4"</f>
        <v>G225_DGBE_0.5_0.5_T4</v>
      </c>
      <c r="AU3" s="1" t="str">
        <f>'Formulation Name Data'!A112&amp;"_T1"</f>
        <v>G600_DGBE_0.5_0.5_T1</v>
      </c>
      <c r="AV3" s="1" t="str">
        <f>'Formulation Name Data'!A112&amp;"_T2"</f>
        <v>G600_DGBE_0.5_0.5_T2</v>
      </c>
      <c r="AW3" s="44" t="str">
        <f>'Formulation Name Data'!A112&amp;"_T3"</f>
        <v>G600_DGBE_0.5_0.5_T3</v>
      </c>
      <c r="AX3" s="1" t="str">
        <f>'Formulation Name Data'!A4&amp;"_T1"</f>
        <v>Cap_TrX100_DGBE_0.3_0.2_0.5_T1</v>
      </c>
      <c r="AY3" s="1" t="str">
        <f>'Formulation Name Data'!A4&amp;"_T2"</f>
        <v>Cap_TrX100_DGBE_0.3_0.2_0.5_T2</v>
      </c>
      <c r="AZ3" s="44" t="str">
        <f>'Formulation Name Data'!A4&amp;"_T3"</f>
        <v>Cap_TrX100_DGBE_0.3_0.2_0.5_T3</v>
      </c>
      <c r="BA3" s="1" t="str">
        <f>'Formulation Name Data'!A55&amp;"_T1"</f>
        <v>D193_0.5_T1</v>
      </c>
      <c r="BB3" s="1" t="str">
        <f>'Formulation Name Data'!A55&amp;"_T2"</f>
        <v>D193_0.5_T2</v>
      </c>
      <c r="BC3" s="44" t="str">
        <f>'Formulation Name Data'!A55&amp;"_T3"</f>
        <v>D193_0.5_T3</v>
      </c>
      <c r="BD3" s="1" t="str">
        <f>'Formulation Name Data'!A43&amp;"_T1"</f>
        <v>D67_0.5_T1</v>
      </c>
      <c r="BE3" s="1" t="str">
        <f>'Formulation Name Data'!A43&amp;"_T2"</f>
        <v>D67_0.5_T2</v>
      </c>
      <c r="BF3" s="44" t="str">
        <f>'Formulation Name Data'!A43&amp;"_T3"</f>
        <v>D67_0.5_T3</v>
      </c>
      <c r="BG3" s="1" t="str">
        <f>'Formulation Name Data'!A53&amp;"_T1"</f>
        <v>Gel6185_0.5_T1</v>
      </c>
      <c r="BH3" s="1" t="str">
        <f>'Formulation Name Data'!A53&amp;"_T2"</f>
        <v>Gel6185_0.5_T2</v>
      </c>
      <c r="BI3" s="44" t="str">
        <f>'Formulation Name Data'!A53&amp;"_T3"</f>
        <v>Gel6185_0.5_T3</v>
      </c>
      <c r="BJ3" s="1" t="str">
        <f>'Formulation Name Data'!A52&amp;"_T1"</f>
        <v>L77_0.5_T1</v>
      </c>
      <c r="BK3" s="1" t="str">
        <f>'Formulation Name Data'!A52&amp;"_T2"</f>
        <v>L77_0.5_T2</v>
      </c>
      <c r="BL3" s="44" t="str">
        <f>'Formulation Name Data'!A52&amp;"_T3"</f>
        <v>L77_0.5_T3</v>
      </c>
      <c r="BM3" s="1" t="str">
        <f>'Formulation Name Data'!A17&amp;"_T1"</f>
        <v>Silsurf_G215_DGBE_0.14_0.09_0.5_T1</v>
      </c>
      <c r="BN3" s="1" t="str">
        <f>'Formulation Name Data'!A17&amp;"_T2"</f>
        <v>Silsurf_G215_DGBE_0.14_0.09_0.5_T2</v>
      </c>
      <c r="BO3" s="44" t="str">
        <f>'Formulation Name Data'!A17&amp;"_T3"</f>
        <v>Silsurf_G215_DGBE_0.14_0.09_0.5_T3</v>
      </c>
      <c r="BP3" s="1" t="str">
        <f>'Formulation Name Data'!A32&amp;"_T1"</f>
        <v>D501W_G215_DGBE_0.04_0.027_0.5_T1</v>
      </c>
      <c r="BQ3" s="1" t="str">
        <f>'Formulation Name Data'!A32&amp;"_T2"</f>
        <v>D501W_G215_DGBE_0.04_0.027_0.5_T2</v>
      </c>
      <c r="BR3" s="44" t="str">
        <f>'Formulation Name Data'!A32&amp;"_T3"</f>
        <v>D501W_G215_DGBE_0.04_0.027_0.5_T3</v>
      </c>
      <c r="BS3" s="1" t="str">
        <f>'Formulation Name Data'!A19&amp;"_T1"</f>
        <v>TMN6_G215_DGBE_0.3_0.2_0.5_T1</v>
      </c>
      <c r="BT3" s="1" t="str">
        <f>'Formulation Name Data'!A19&amp;"_T2"</f>
        <v>TMN6_G215_DGBE_0.3_0.2_0.5_T2</v>
      </c>
      <c r="BU3" s="44" t="str">
        <f>'Formulation Name Data'!A19&amp;"_T3"</f>
        <v>TMN6_G215_DGBE_0.3_0.2_0.5_T3</v>
      </c>
      <c r="BV3" s="1" t="str">
        <f>'Formulation Name Data'!A18&amp;"_T1"</f>
        <v>Silphos_G215_DGBE_0.3_0.2_0.5_T1</v>
      </c>
      <c r="BW3" s="1" t="str">
        <f>'Formulation Name Data'!A18&amp;"_T2"</f>
        <v>Silphos_G215_DGBE_0.3_0.2_0.5_T2</v>
      </c>
      <c r="BX3" s="44" t="str">
        <f>'Formulation Name Data'!A18&amp;"_T3"</f>
        <v>Silphos_G215_DGBE_0.3_0.2_0.5_T3</v>
      </c>
      <c r="BY3" s="1" t="str">
        <f>'Formulation Name Data'!A33&amp;"_T1"</f>
        <v>D502W_G215_DGBE_0.075_0.05_0.5_T1</v>
      </c>
      <c r="BZ3" s="1" t="str">
        <f>'Formulation Name Data'!A33&amp;"_T2"</f>
        <v>D502W_G215_DGBE_0.075_0.05_0.5_T2</v>
      </c>
      <c r="CA3" s="44" t="str">
        <f>'Formulation Name Data'!A33&amp;"_T3"</f>
        <v>D502W_G215_DGBE_0.075_0.05_0.5_T3</v>
      </c>
      <c r="CB3" s="1" t="str">
        <f>'Formulation Name Data'!A135&amp;"_T1"</f>
        <v>AlphaFoam_G215_DGBE_1.3_0.2_0.5_T1</v>
      </c>
      <c r="CC3" s="1" t="str">
        <f>'Formulation Name Data'!A135&amp;"_T2"</f>
        <v>AlphaFoam_G215_DGBE_1.3_0.2_0.5_T2</v>
      </c>
      <c r="CD3" s="44" t="str">
        <f>'Formulation Name Data'!A135&amp;"_T3"</f>
        <v>AlphaFoam_G215_DGBE_1.3_0.2_0.5_T3</v>
      </c>
      <c r="CE3" s="1" t="str">
        <f>'Formulation Name Data'!A42&amp;"_T1"</f>
        <v>D501W_0.5_T1</v>
      </c>
      <c r="CF3" s="1" t="str">
        <f>'Formulation Name Data'!A42&amp;"_T2"</f>
        <v>D501W_0.5_T2</v>
      </c>
      <c r="CG3" s="44" t="str">
        <f>'Formulation Name Data'!A42&amp;"_T3"</f>
        <v>D501W_0.5_T3</v>
      </c>
      <c r="CH3" s="1" t="str">
        <f>'Formulation Name Data'!A84&amp;"_T1"</f>
        <v>D502W_G215_DGBE_0.05_0.075_0.5_T1</v>
      </c>
      <c r="CI3" s="1" t="str">
        <f>'Formulation Name Data'!A84&amp;"_T2"</f>
        <v>D502W_G215_DGBE_0.05_0.075_0.5_T2</v>
      </c>
      <c r="CJ3" s="44" t="str">
        <f>'Formulation Name Data'!A84&amp;"_T3"</f>
        <v>D502W_G215_DGBE_0.05_0.075_0.5_T3</v>
      </c>
      <c r="CK3" s="1" t="str">
        <f>'Formulation Name Data'!A83&amp;"_T1"</f>
        <v>D502W_TrX100_DGBE_0.1_0.08_0.5_T1</v>
      </c>
      <c r="CL3" s="1" t="str">
        <f>'Formulation Name Data'!A83&amp;"_T2"</f>
        <v>D502W_TrX100_DGBE_0.1_0.08_0.5_T2</v>
      </c>
      <c r="CM3" s="44" t="str">
        <f>'Formulation Name Data'!A83&amp;"_T3"</f>
        <v>D502W_TrX100_DGBE_0.1_0.08_0.5_T3</v>
      </c>
      <c r="CN3" s="1" t="str">
        <f>'Formulation Name Data'!A72&amp;"_T1"</f>
        <v>D502W_DGBE_0.1_0.5_T1</v>
      </c>
      <c r="CO3" s="1" t="str">
        <f>'Formulation Name Data'!A72&amp;"_T2"</f>
        <v>D502W_DGBE_0.1_0.5_T2</v>
      </c>
      <c r="CP3" s="44" t="str">
        <f>'Formulation Name Data'!A72&amp;"_T3"</f>
        <v>D502W_DGBE_0.1_0.5_T3</v>
      </c>
      <c r="CQ3" s="44" t="str">
        <f>'Formulation Name Data'!A72&amp;"_T4"</f>
        <v>D502W_DGBE_0.1_0.5_T4</v>
      </c>
      <c r="CR3" s="44" t="str">
        <f>'Formulation Name Data'!A72&amp;"_T5"</f>
        <v>D502W_DGBE_0.1_0.5_T5</v>
      </c>
      <c r="CS3" s="44" t="str">
        <f>'Formulation Name Data'!A72&amp;"_T6"</f>
        <v>D502W_DGBE_0.1_0.5_T6</v>
      </c>
      <c r="CT3" s="44" t="str">
        <f>'Formulation Name Data'!A54&amp;"_T1"</f>
        <v>D502W_0.5_T1</v>
      </c>
      <c r="CU3" s="44" t="str">
        <f>'Formulation Name Data'!A54&amp;"_T2"</f>
        <v>D502W_0.5_T2</v>
      </c>
      <c r="CV3" s="44" t="str">
        <f>'Formulation Name Data'!A54&amp;"_T3"</f>
        <v>D502W_0.5_T3</v>
      </c>
      <c r="CW3" s="44" t="str">
        <f>'Formulation Name Data'!A27&amp;"_T1"</f>
        <v>AlphaFoam_G215_DGBE_0.52_0.35_0.5_T1</v>
      </c>
      <c r="CX3" s="44" t="str">
        <f>'Formulation Name Data'!A27&amp;"_T2"</f>
        <v>AlphaFoam_G215_DGBE_0.52_0.35_0.5_T2</v>
      </c>
      <c r="CY3" s="44" t="str">
        <f>'Formulation Name Data'!A27&amp;"_T3"</f>
        <v>AlphaFoam_G215_DGBE_0.52_0.35_0.5_T3</v>
      </c>
      <c r="CZ3" s="44" t="str">
        <f>'Formulation Name Data'!A20&amp;"_T1"</f>
        <v>T15-S-7_G215_DGBE_0.03_0.02_0.5_T1</v>
      </c>
      <c r="DA3" s="44" t="str">
        <f>'Formulation Name Data'!A20&amp;"_T2"</f>
        <v>T15-S-7_G215_DGBE_0.03_0.02_0.5_T2</v>
      </c>
      <c r="DB3" s="44" t="str">
        <f>'Formulation Name Data'!A20&amp;"_T3"</f>
        <v>T15-S-7_G215_DGBE_0.03_0.02_0.5_T3</v>
      </c>
      <c r="DC3" s="44" t="str">
        <f>'Formulation Name Data'!A8&amp;"_T1"</f>
        <v>Cap_G215_DGBE_0.3_0.2_0.5_T1</v>
      </c>
      <c r="DD3" s="44" t="str">
        <f>'Formulation Name Data'!A8&amp;"_T2"</f>
        <v>Cap_G215_DGBE_0.3_0.2_0.5_T2</v>
      </c>
      <c r="DE3" s="44" t="str">
        <f>'Formulation Name Data'!A8&amp;"_T3"</f>
        <v>Cap_G215_DGBE_0.3_0.2_0.5_T3</v>
      </c>
      <c r="DF3" s="44" t="str">
        <f>'Formulation Name Data'!A8&amp;"_T4"</f>
        <v>Cap_G215_DGBE_0.3_0.2_0.5_T4</v>
      </c>
      <c r="DG3" s="44" t="str">
        <f>'Formulation Name Data'!A5&amp;"_T1"</f>
        <v>TrX100_DGBE_0.5_0.5_T1</v>
      </c>
      <c r="DH3" s="44" t="str">
        <f>'Formulation Name Data'!A5&amp;"_T2"</f>
        <v>TrX100_DGBE_0.5_0.5_T2</v>
      </c>
      <c r="DI3" s="44" t="str">
        <f>'Formulation Name Data'!A5&amp;"_T3"</f>
        <v>TrX100_DGBE_0.5_0.5_T3</v>
      </c>
      <c r="DJ3" s="44" t="str">
        <f>'Formulation Name Data'!A74&amp;"_T1"</f>
        <v>Cap_DGBE_0.225_0.5_T1</v>
      </c>
      <c r="DK3" s="44" t="str">
        <f>'Formulation Name Data'!A74&amp;"_T2"</f>
        <v>Cap_DGBE_0.225_0.5_T2</v>
      </c>
      <c r="DL3" s="44" t="str">
        <f>'Formulation Name Data'!A74&amp;"_T3"</f>
        <v>Cap_DGBE_0.225_0.5_T3</v>
      </c>
      <c r="DM3" s="44" t="str">
        <f>'Formulation Name Data'!A6&amp;"_T1"</f>
        <v>Cap_DGBE_0.5_0.5_T1</v>
      </c>
      <c r="DN3" s="44" t="str">
        <f>'Formulation Name Data'!A6&amp;"_T2"</f>
        <v>Cap_DGBE_0.5_0.5_T2</v>
      </c>
      <c r="DO3" s="44" t="str">
        <f>'Formulation Name Data'!A6&amp;"_T3"</f>
        <v>Cap_DGBE_0.5_0.5_T3</v>
      </c>
      <c r="DP3" s="44" t="str">
        <f>'Formulation Name Data'!A37&amp;"_T1"</f>
        <v>D502W_G225_DGBE_0.2_0.3_0.5_T1</v>
      </c>
      <c r="DQ3" s="44" t="str">
        <f>'Formulation Name Data'!A37&amp;"_T2"</f>
        <v>D502W_G225_DGBE_0.2_0.3_0.5_T2</v>
      </c>
      <c r="DR3" s="44" t="str">
        <f>'Formulation Name Data'!A37&amp;"_T3"</f>
        <v>D502W_G225_DGBE_0.2_0.3_0.5_T3</v>
      </c>
      <c r="DS3" s="44" t="str">
        <f>'Formulation Name Data'!A37&amp;"_T4"</f>
        <v>D502W_G225_DGBE_0.2_0.3_0.5_T4</v>
      </c>
      <c r="DT3" s="44" t="str">
        <f>'Formulation Name Data'!A37&amp;"_T5"</f>
        <v>D502W_G225_DGBE_0.2_0.3_0.5_T5</v>
      </c>
      <c r="DU3" s="44" t="str">
        <f>'Formulation Name Data'!A37&amp;"_T6"</f>
        <v>D502W_G225_DGBE_0.2_0.3_0.5_T6</v>
      </c>
      <c r="DV3" s="44" t="str">
        <f>'Formulation Name Data'!A37&amp;"_T7"</f>
        <v>D502W_G225_DGBE_0.2_0.3_0.5_T7</v>
      </c>
      <c r="DW3" s="44" t="str">
        <f>'Formulation Name Data'!A89&amp;"_T1"</f>
        <v>D502W_G600_DGBE_0.2_0.3_0.5_T1</v>
      </c>
      <c r="DX3" s="44" t="str">
        <f>'Formulation Name Data'!A89&amp;"_T2"</f>
        <v>D502W_G600_DGBE_0.2_0.3_0.5_T2</v>
      </c>
      <c r="DY3" s="44" t="str">
        <f>'Formulation Name Data'!A89&amp;"_T3"</f>
        <v>D502W_G600_DGBE_0.2_0.3_0.5_T3</v>
      </c>
      <c r="DZ3" s="44" t="str">
        <f>'Formulation Name Data'!A75&amp;"_T1"</f>
        <v>D193_G215_DGBE_0.3_0.2_0.5_T1</v>
      </c>
      <c r="EA3" s="44" t="str">
        <f>'Formulation Name Data'!A75&amp;"_T2"</f>
        <v>D193_G215_DGBE_0.3_0.2_0.5_T2</v>
      </c>
      <c r="EB3" s="44" t="str">
        <f>'Formulation Name Data'!A75&amp;"_T3"</f>
        <v>D193_G215_DGBE_0.3_0.2_0.5_T3</v>
      </c>
      <c r="EC3" s="44" t="str">
        <f>'Formulation Name Data'!A36&amp;"_T1"</f>
        <v>D67_G215_DGBE_0.06_0.04_0.5_T1</v>
      </c>
      <c r="ED3" s="44" t="str">
        <f>'Formulation Name Data'!A36&amp;"_T2"</f>
        <v>D67_G215_DGBE_0.06_0.04_0.5_T2</v>
      </c>
      <c r="EE3" s="44" t="str">
        <f>'Formulation Name Data'!A36&amp;"_T3"</f>
        <v>D67_G215_DGBE_0.06_0.04_0.5_T3</v>
      </c>
      <c r="EF3" s="44" t="str">
        <f>'Formulation Name Data'!A45&amp;"_T1"</f>
        <v>Gel6185_G215_DGBE_0.06_0.04_0.5_T1</v>
      </c>
      <c r="EG3" s="44" t="str">
        <f>'Formulation Name Data'!A45&amp;"_T2"</f>
        <v>Gel6185_G215_DGBE_0.06_0.04_0.5_T2</v>
      </c>
      <c r="EH3" s="44" t="str">
        <f>'Formulation Name Data'!A45&amp;"_T3"</f>
        <v>Gel6185_G215_DGBE_0.06_0.04_0.5_T3</v>
      </c>
      <c r="EI3" s="44" t="str">
        <f>'Formulation Name Data'!A35&amp;"_T1"</f>
        <v>L77_G215_DGBE_0.11_0.08_0.5_T1</v>
      </c>
      <c r="EJ3" s="44" t="str">
        <f>'Formulation Name Data'!A35&amp;"_T2"</f>
        <v>L77_G215_DGBE_0.11_0.08_0.5_T2</v>
      </c>
      <c r="EK3" s="44" t="str">
        <f>'Formulation Name Data'!A35&amp;"_T3"</f>
        <v>L77_G215_DGBE_0.11_0.08_0.5_T3</v>
      </c>
      <c r="EL3" s="44" t="str">
        <f>'Formulation Name Data'!A35&amp;"_T4"</f>
        <v>L77_G215_DGBE_0.11_0.08_0.5_T4</v>
      </c>
      <c r="EM3" s="44" t="str">
        <f>'Formulation Name Data'!A92&amp;"_T1"</f>
        <v>NRL_N10477-09_G225_DGBE_0.2_0.3_0.5_T1</v>
      </c>
      <c r="EN3" s="44" t="str">
        <f>'Formulation Name Data'!A92&amp;"_T2"</f>
        <v>NRL_N10477-09_G225_DGBE_0.2_0.3_0.5_T2</v>
      </c>
      <c r="EO3" s="44" t="str">
        <f>'Formulation Name Data'!A92&amp;"_T3"</f>
        <v>NRL_N10477-09_G225_DGBE_0.2_0.3_0.5_T3</v>
      </c>
      <c r="EP3" s="44" t="str">
        <f>'Formulation Name Data'!A94&amp;"_T1"</f>
        <v>Gel6492.6_G215_DGBE_0.06_0.04_0.5_T1</v>
      </c>
      <c r="EQ3" s="44" t="str">
        <f>'Formulation Name Data'!A94&amp;"_T3"</f>
        <v>Gel6492.6_G215_DGBE_0.06_0.04_0.5_T3</v>
      </c>
      <c r="ER3" s="44" t="str">
        <f>'Formulation Name Data'!A194&amp;"_T1"</f>
        <v>T15-S-9_DGBE_0.5_0.5_T1</v>
      </c>
      <c r="ES3" s="44" t="str">
        <f>'Formulation Name Data'!A194&amp;"_T2"</f>
        <v>T15-S-9_DGBE_0.5_0.5_T2</v>
      </c>
      <c r="ET3" s="44" t="str">
        <f>'Formulation Name Data'!A194&amp;"_T3"</f>
        <v>T15-S-9_DGBE_0.5_0.5_T3</v>
      </c>
      <c r="EU3" s="44" t="str">
        <f>'Formulation Name Data'!A195&amp;"_T1"</f>
        <v>T15-S-12_DGBE_0.5_0.5_T1</v>
      </c>
      <c r="EV3" s="44" t="str">
        <f>'Formulation Name Data'!A195&amp;"_T2"</f>
        <v>T15-S-12_DGBE_0.5_0.5_T2</v>
      </c>
      <c r="EW3" s="44" t="str">
        <f>'Formulation Name Data'!A195&amp;"_T3"</f>
        <v>T15-S-12_DGBE_0.5_0.5_T3</v>
      </c>
      <c r="EX3" s="44" t="str">
        <f>'Formulation Name Data'!A196&amp;"_T1"</f>
        <v>TrX114_DGBE_0.5_0.5_T1</v>
      </c>
      <c r="EY3" s="44" t="str">
        <f>'Formulation Name Data'!A196&amp;"_T2"</f>
        <v>TrX114_DGBE_0.5_0.5_T2</v>
      </c>
      <c r="EZ3" s="44" t="str">
        <f>'Formulation Name Data'!A196&amp;"_T3"</f>
        <v>TrX114_DGBE_0.5_0.5_T3</v>
      </c>
      <c r="FA3" s="44" t="str">
        <f>'Formulation Name Data'!A21&amp;"_T1"</f>
        <v>TrX45_G215_DGBE_0.022_0.015_0.5_T1</v>
      </c>
      <c r="FB3" s="44" t="str">
        <f>'Formulation Name Data'!A21&amp;"_T2"</f>
        <v>TrX45_G215_DGBE_0.022_0.015_0.5_T2</v>
      </c>
      <c r="FC3" s="44" t="str">
        <f>'Formulation Name Data'!A21&amp;"_T3"</f>
        <v>TrX45_G215_DGBE_0.022_0.015_0.5_T3</v>
      </c>
      <c r="FD3" s="44" t="str">
        <f>'Formulation Name Data'!A113&amp;"_T1"</f>
        <v>D502W_DGBE_0.5_0.5_T1</v>
      </c>
      <c r="FE3" s="44" t="str">
        <f>'Formulation Name Data'!A113&amp;"_T2"</f>
        <v>D502W_DGBE_0.5_0.5_T2</v>
      </c>
      <c r="FF3" s="44" t="str">
        <f>'Formulation Name Data'!A40&amp;"_T1"</f>
        <v>NRL_N10358-174_G225_DGBE_0.2_0.3_0.5_T1</v>
      </c>
      <c r="FG3" s="44" t="str">
        <f>'Formulation Name Data'!A40&amp;"_T2"</f>
        <v>NRL_N10358-174_G225_DGBE_0.2_0.3_0.5_T2</v>
      </c>
      <c r="FH3" s="44" t="str">
        <f>'Formulation Name Data'!A40&amp;"_T3"</f>
        <v>NRL_N10358-174_G225_DGBE_0.2_0.3_0.5_T3</v>
      </c>
      <c r="FI3" s="44" t="str">
        <f>'Formulation Name Data'!A120&amp;"_T1"</f>
        <v>NRL_N10477-03_G225_DGBE_0.2_0.3_0.5_T1</v>
      </c>
      <c r="FJ3" s="44" t="str">
        <f>'Formulation Name Data'!A120&amp;"_T2"</f>
        <v>NRL_N10477-03_G225_DGBE_0.2_0.3_0.5_T2</v>
      </c>
      <c r="FK3" s="44" t="str">
        <f>'Formulation Name Data'!A120&amp;"_T3"</f>
        <v>NRL_N10477-03_G225_DGBE_0.2_0.3_0.5_T3</v>
      </c>
      <c r="FL3" s="44" t="str">
        <f>'Formulation Name Data'!A116&amp;"_T1"</f>
        <v>NRL_N10477-05_G215_DGBE_0.2_0.3_0.5_T1</v>
      </c>
      <c r="FM3" s="44" t="str">
        <f>'Formulation Name Data'!A116&amp;"_T2"</f>
        <v>NRL_N10477-05_G215_DGBE_0.2_0.3_0.5_T2</v>
      </c>
      <c r="FN3" s="44" t="str">
        <f>'Formulation Name Data'!A116&amp;"_T3"</f>
        <v>NRL_N10477-05_G215_DGBE_0.2_0.3_0.5_T3</v>
      </c>
      <c r="FO3" s="44" t="str">
        <f>'Formulation Name Data'!A39&amp;"_T1"</f>
        <v>NRL_N10358-176_G225_DGBE_0.2_0.3_0.5_T1</v>
      </c>
      <c r="FP3" s="44" t="str">
        <f>'Formulation Name Data'!A39&amp;"_T2"</f>
        <v>NRL_N10358-176_G225_DGBE_0.2_0.3_0.5_T2</v>
      </c>
      <c r="FQ3" s="44" t="str">
        <f>'Formulation Name Data'!A39&amp;"_T3"</f>
        <v>NRL_N10358-176_G225_DGBE_0.2_0.3_0.5_T3</v>
      </c>
      <c r="FR3" s="44" t="str">
        <f>'Formulation Name Data'!A96&amp;"_T1"</f>
        <v>NRL_N10477-12_G225_DGBE_0.2_0.3_0.5_T1</v>
      </c>
      <c r="FS3" s="44" t="str">
        <f>'Formulation Name Data'!A96&amp;"_T2"</f>
        <v>NRL_N10477-12_G225_DGBE_0.2_0.3_0.5_T2</v>
      </c>
      <c r="FT3" s="44" t="str">
        <f>'Formulation Name Data'!A96&amp;"_T3"</f>
        <v>NRL_N10477-12_G225_DGBE_0.2_0.3_0.5_T3</v>
      </c>
      <c r="FU3" s="44" t="str">
        <f>'Formulation Name Data'!A97&amp;"_T1"</f>
        <v>NRL_N10477-07_G225_DGBE_0.2_0.3_0.5_T1</v>
      </c>
      <c r="FV3" s="44" t="str">
        <f>'Formulation Name Data'!A97&amp;"_T2"</f>
        <v>NRL_N10477-07_G225_DGBE_0.2_0.3_0.5_T2</v>
      </c>
      <c r="FW3" s="44" t="str">
        <f>'Formulation Name Data'!A97&amp;"_T3"</f>
        <v>NRL_N10477-07_G225_DGBE_0.2_0.3_0.5_T3</v>
      </c>
      <c r="FX3" s="44" t="str">
        <f>'Formulation Name Data'!A71&amp;"_T1"</f>
        <v>ComSor_EXP-21-7_T1</v>
      </c>
      <c r="FY3" s="44" t="str">
        <f>'Formulation Name Data'!A70&amp;"_T1"</f>
        <v>ComSor_EXP-21-6_T1</v>
      </c>
      <c r="FZ3" s="44" t="str">
        <f>'Formulation Name Data'!A70&amp;"_T2"</f>
        <v>ComSor_EXP-21-6_T2</v>
      </c>
      <c r="GA3" s="44" t="str">
        <f>'Formulation Name Data'!A70&amp;"_T3"</f>
        <v>ComSor_EXP-21-6_T3</v>
      </c>
      <c r="GB3" s="44" t="str">
        <f>'Formulation Name Data'!A69&amp;"_T1"</f>
        <v>ComSor_EXP-21-5_T1</v>
      </c>
      <c r="GC3" s="44" t="str">
        <f>'Formulation Name Data'!A68&amp;"_T1"</f>
        <v>ComSor_EXP-21-3_T1</v>
      </c>
      <c r="GD3" s="44" t="str">
        <f>'Formulation Name Data'!A68&amp;"_T2"</f>
        <v>ComSor_EXP-21-3_T2</v>
      </c>
      <c r="GE3" s="44" t="str">
        <f>'Formulation Name Data'!A62&amp;"_T1"</f>
        <v>ComSor_EXP-21-2_T1</v>
      </c>
      <c r="GF3" s="44" t="str">
        <f>'Formulation Name Data'!A62&amp;"_T2"</f>
        <v>ComSor_EXP-21-2_T2</v>
      </c>
      <c r="GG3" s="44" t="str">
        <f>'Formulation Name Data'!A63&amp;"_T1"</f>
        <v>ComSor_EXP-21-1_T1</v>
      </c>
      <c r="GH3" s="44" t="str">
        <f>'Formulation Name Data'!A63&amp;"_T2"</f>
        <v>ComSor_EXP-21-1_T2</v>
      </c>
      <c r="GI3" s="44" t="str">
        <f>'Formulation Name Data'!A138&amp;"_T1"</f>
        <v>CL_MD2086-97_G225_DGBE_0.34_0.56_0.5_T1</v>
      </c>
      <c r="GJ3" s="44" t="str">
        <f>'Formulation Name Data'!A138&amp;"_T2"</f>
        <v>CL_MD2086-97_G225_DGBE_0.34_0.56_0.5_T2</v>
      </c>
      <c r="GK3" s="44" t="str">
        <f>'Formulation Name Data'!A139&amp;"_T1"</f>
        <v>CL_MD2086-97_0.5_T1</v>
      </c>
      <c r="GL3" s="44" t="str">
        <f>'Formulation Name Data'!A67&amp;"_T1"</f>
        <v>FomtecEnviroUSP 3%_T1</v>
      </c>
      <c r="GM3" s="44" t="str">
        <f>'Formulation Name Data'!A67&amp;"_T2"</f>
        <v>FomtecEnviroUSP 3%_T2</v>
      </c>
      <c r="GN3" s="44" t="str">
        <f>'Formulation Name Data'!A67&amp;"_T3"</f>
        <v>FomtecEnviroUSP 3%_T3</v>
      </c>
      <c r="GO3" s="44" t="str">
        <f>'Formulation Name Data'!A66&amp;"_T1"</f>
        <v>Solberg® Rehealing RF3 3%_T1</v>
      </c>
      <c r="GP3" s="44" t="str">
        <f>'Formulation Name Data'!A66&amp;"_T2"</f>
        <v>Solberg® Rehealing RF3 3%_T2</v>
      </c>
      <c r="GQ3" s="44" t="str">
        <f>'Formulation Name Data'!A66&amp;"_T3"</f>
        <v>Solberg® Rehealing RF3 3%_T3</v>
      </c>
      <c r="GR3" s="44" t="str">
        <f>'Formulation Name Data'!A65&amp;"_T1"</f>
        <v>JetFoam 3%_T1</v>
      </c>
      <c r="GS3" s="44" t="str">
        <f>'Formulation Name Data'!A65&amp;"_T2"</f>
        <v>JetFoam 3%_T2</v>
      </c>
      <c r="GT3" s="44" t="str">
        <f>'Formulation Name Data'!A64&amp;"_T1"</f>
        <v>Avio®F3 Green KHC_T1</v>
      </c>
      <c r="GU3" s="44" t="str">
        <f>'Formulation Name Data'!A64&amp;"_T2"</f>
        <v>Avio®F3 Green KHC_T2</v>
      </c>
      <c r="GV3" s="44" t="str">
        <f>'Formulation Name Data'!A64&amp;"_T3"</f>
        <v>Avio®F3 Green KHC_T3</v>
      </c>
      <c r="GW3" s="44" t="str">
        <f>'Formulation Name Data'!A109&amp;"_T1"</f>
        <v>G225_DGBE_0.3_0.5_T1</v>
      </c>
      <c r="GX3" s="44" t="str">
        <f>'Formulation Name Data'!A109&amp;"_T2"</f>
        <v>G225_DGBE_0.3_0.5_T2</v>
      </c>
      <c r="GY3" s="44" t="str">
        <f>'Formulation Name Data'!A108&amp;"_T1"</f>
        <v>D502W_C7G1_DGBE_0.2_0.19_0.5_T1</v>
      </c>
      <c r="GZ3" s="44" t="str">
        <f>'Formulation Name Data'!A108&amp;"_T2"</f>
        <v>D502W_C7G1_DGBE_0.2_0.19_0.5_T2</v>
      </c>
      <c r="HA3" s="44" t="str">
        <f>'Formulation Name Data'!A108&amp;"_T3"</f>
        <v>D502W_C7G1_DGBE_0.2_0.19_0.5_T3</v>
      </c>
      <c r="HB3" s="44" t="str">
        <f>'Formulation Name Data'!A106&amp;"_T1"</f>
        <v>D502W_C9G2_DGBE_0.2_0.19_0.5_T1</v>
      </c>
      <c r="HC3" s="44" t="str">
        <f>'Formulation Name Data'!A106&amp;"_T2"</f>
        <v>D502W_C9G2_DGBE_0.2_0.19_0.5_T2</v>
      </c>
      <c r="HD3" s="44" t="str">
        <f>'Formulation Name Data'!A106&amp;"_T3"</f>
        <v>D502W_C9G2_DGBE_0.2_0.19_0.5_T3</v>
      </c>
      <c r="HE3" s="44" t="str">
        <f>'Formulation Name Data'!A105&amp;"_T1"</f>
        <v>D502W_C6G2_DGBE_0.2_0.19_0.5_T1</v>
      </c>
      <c r="HF3" s="44" t="str">
        <f>'Formulation Name Data'!A105&amp;"_T2"</f>
        <v>D502W_C6G2_DGBE_0.2_0.19_0.5_T2</v>
      </c>
      <c r="HG3" s="44" t="str">
        <f>'Formulation Name Data'!A105&amp;"_T3"</f>
        <v>D502W_C6G2_DGBE_0.2_0.19_0.5_T3</v>
      </c>
      <c r="HH3" s="44" t="str">
        <f>'Formulation Name Data'!A104&amp;"_T1"</f>
        <v>D502W_iC8G2_DGBE_0.2_0.19_0.5_T1</v>
      </c>
      <c r="HI3" s="44" t="str">
        <f>'Formulation Name Data'!A104&amp;"_T2"</f>
        <v>D502W_iC8G2_DGBE_0.2_0.19_0.5_T2</v>
      </c>
      <c r="HJ3" s="44" t="str">
        <f>'Formulation Name Data'!A104&amp;"_T3"</f>
        <v>D502W_iC8G2_DGBE_0.2_0.19_0.5_T3</v>
      </c>
      <c r="HK3" s="44" t="str">
        <f>'Formulation Name Data'!A103&amp;"_T1"</f>
        <v>D502W_Cymal_DGBE_0.2_0.19_0.5_T1</v>
      </c>
      <c r="HL3" s="44" t="str">
        <f>'Formulation Name Data'!A103&amp;"_T2"</f>
        <v>D502W_Cymal_DGBE_0.2_0.19_0.5_T2</v>
      </c>
      <c r="HM3" s="44" t="str">
        <f>'Formulation Name Data'!A103&amp;"_T3"</f>
        <v>D502W_Cymal_DGBE_0.2_0.19_0.5_T3</v>
      </c>
      <c r="HN3" s="44" t="str">
        <f>'Formulation Name Data'!A102&amp;"_T1"</f>
        <v>D502W_C8SG2_DGBE_0.2_0.19_0.5_T1</v>
      </c>
      <c r="HO3" s="44" t="str">
        <f>'Formulation Name Data'!A102&amp;"_T2"</f>
        <v>D502W_C8SG2_DGBE_0.2_0.19_0.5_T2</v>
      </c>
      <c r="HP3" s="44" t="str">
        <f>'Formulation Name Data'!A102&amp;"_T3"</f>
        <v>D502W_C8SG2_DGBE_0.2_0.19_0.5_T3</v>
      </c>
      <c r="HQ3" s="17" t="str">
        <f>'Formulation Name Data'!A98&amp;"_T1"</f>
        <v>ComSor1830503_T1</v>
      </c>
      <c r="HR3" s="17" t="str">
        <f>'Formulation Name Data'!A98&amp;"_T2"</f>
        <v>ComSor1830503_T2</v>
      </c>
      <c r="HS3" s="1" t="str">
        <f>'Formulation Name Data'!A99&amp;"_T1"</f>
        <v>ComSor_26990-95B_T1</v>
      </c>
      <c r="HT3" s="1" t="str">
        <f>'Formulation Name Data'!A99&amp;"_T2"</f>
        <v>ComSor_26990-95B_T2</v>
      </c>
      <c r="HU3" s="1" t="str">
        <f>'Formulation Name Data'!A100&amp;"_T1"</f>
        <v>ComSor_26990-95C_T1</v>
      </c>
      <c r="HV3" s="1" t="str">
        <f>'Formulation Name Data'!A100&amp;"_T2"</f>
        <v>ComSor_26990-95C_T2</v>
      </c>
      <c r="HW3" s="1" t="str">
        <f>'Formulation Name Data'!A101&amp;"_T1"</f>
        <v>ComSor_26990-95D_T1</v>
      </c>
      <c r="HX3" s="1" t="str">
        <f>'Formulation Name Data'!A101&amp;"_T2"</f>
        <v>ComSor_26990-95D_T2</v>
      </c>
      <c r="HY3" s="1" t="str">
        <f>'Formulation Name Data'!A160&amp;"_T1"</f>
        <v>D502W_CL_C8G3_DGBE_0.2_0.19_0.5_T1</v>
      </c>
      <c r="HZ3" s="1" t="str">
        <f>'Formulation Name Data'!A160&amp;"_T2"</f>
        <v>D502W_CL_C8G3_DGBE_0.2_0.19_0.5_T2</v>
      </c>
      <c r="IA3" s="1" t="str">
        <f>'Formulation Name Data'!A160&amp;"_T3"</f>
        <v>D502W_CL_C8G3_DGBE_0.2_0.19_0.5_T3</v>
      </c>
      <c r="IB3" s="1" t="str">
        <f>'Formulation Name Data'!A22&amp;"_T1"</f>
        <v>TrX114_G215_DGBE_0.04_0.027_0.5_T1</v>
      </c>
      <c r="IC3" s="1" t="str">
        <f>'Formulation Name Data'!A22&amp;"_T2"</f>
        <v>TrX114_G215_DGBE_0.04_0.027_0.5_T2</v>
      </c>
      <c r="ID3" s="12" t="str">
        <f>'Formulation Name Data'!A22&amp;"_T3"</f>
        <v>TrX114_G215_DGBE_0.04_0.027_0.5_T3</v>
      </c>
      <c r="IE3" s="1" t="str">
        <f>'Formulation Name Data'!A114&amp;"_T1"</f>
        <v>T15-S-9_G215_DGBE_0.03_0.02_0.5_T1</v>
      </c>
      <c r="IF3" s="1" t="str">
        <f>'Formulation Name Data'!A114&amp;"_T2"</f>
        <v>T15-S-9_G215_DGBE_0.03_0.02_0.5_T2</v>
      </c>
      <c r="IG3" s="12" t="str">
        <f>'Formulation Name Data'!A114&amp;"_T3"</f>
        <v>T15-S-9_G215_DGBE_0.03_0.02_0.5_T3</v>
      </c>
      <c r="IH3" s="1" t="str">
        <f>'Formulation Name Data'!A137&amp;"_T1"</f>
        <v>Gel6185_G215_DGBE_1.8_1.2_0.5_T1</v>
      </c>
      <c r="II3" s="1" t="str">
        <f>'Formulation Name Data'!A137&amp;"_T2"</f>
        <v>Gel6185_G215_DGBE_1.8_1.2_0.5_T2</v>
      </c>
      <c r="IJ3" s="12" t="str">
        <f>'Formulation Name Data'!A137&amp;"_T3"</f>
        <v>Gel6185_G215_DGBE_1.8_1.2_0.5_T3</v>
      </c>
      <c r="IK3" s="1" t="str">
        <f>'Formulation Name Data'!A88&amp;"_T1"</f>
        <v>D502W_G600_DGBE_0.25_0.25_0.5_T1</v>
      </c>
      <c r="IL3" s="1" t="str">
        <f>'Formulation Name Data'!A88&amp;"_T2"</f>
        <v>D502W_G600_DGBE_0.25_0.25_0.5_T2</v>
      </c>
      <c r="IM3" s="12" t="str">
        <f>'Formulation Name Data'!A88&amp;"_T3"</f>
        <v>D502W_G600_DGBE_0.25_0.25_0.5_T3</v>
      </c>
      <c r="IN3" s="1" t="str">
        <f>'Formulation Name Data'!A85&amp;"_T1"</f>
        <v>D502W_G225_DGBE_0.5_0.5_0.5_T1</v>
      </c>
      <c r="IO3" s="1" t="str">
        <f>'Formulation Name Data'!A85&amp;"_T2"</f>
        <v>D502W_G225_DGBE_0.5_0.5_0.5_T2</v>
      </c>
      <c r="IP3" s="12" t="str">
        <f>'Formulation Name Data'!A85&amp;"_T3"</f>
        <v>D502W_G225_DGBE_0.5_0.5_0.5_T3</v>
      </c>
      <c r="IQ3" s="1" t="str">
        <f>'Formulation Name Data'!A90&amp;"_T1"</f>
        <v>D502W_G225_DGBE_0.25_0.25_0.5_T1</v>
      </c>
      <c r="IR3" s="1" t="str">
        <f>'Formulation Name Data'!A90&amp;"_T2"</f>
        <v>D502W_G225_DGBE_0.25_0.25_0.5_T2</v>
      </c>
      <c r="IS3" s="12" t="str">
        <f>'Formulation Name Data'!A90&amp;"_T3"</f>
        <v>D502W_G225_DGBE_0.25_0.25_0.5_T3</v>
      </c>
      <c r="IT3" s="1" t="str">
        <f>'Formulation Name Data'!A93&amp;"_T1"</f>
        <v>TrX100_G215_DGBE_0.06_0.04_0.5_T1</v>
      </c>
      <c r="IU3" s="1" t="str">
        <f>'Formulation Name Data'!A93&amp;"_T2"</f>
        <v>TrX100_G215_DGBE_0.06_0.04_0.5_T2</v>
      </c>
      <c r="IV3" s="12" t="str">
        <f>'Formulation Name Data'!A93&amp;"_T3"</f>
        <v>TrX100_G215_DGBE_0.06_0.04_0.5_T3</v>
      </c>
      <c r="IW3" s="1" t="str">
        <f>'Formulation Name Data'!A7&amp;"_T1"</f>
        <v>G215_DGBE_0.5_0.5_T1</v>
      </c>
      <c r="IX3" s="1" t="str">
        <f>'Formulation Name Data'!A7&amp;"_T2"</f>
        <v>G215_DGBE_0.5_0.5_T2</v>
      </c>
      <c r="IY3" s="12" t="str">
        <f>'Formulation Name Data'!A7&amp;"_T3"</f>
        <v>G215_DGBE_0.5_0.5_T3</v>
      </c>
      <c r="IZ3" s="1" t="str">
        <f>'Formulation Name Data'!A7&amp;"_T4"</f>
        <v>G215_DGBE_0.5_0.5_T4</v>
      </c>
      <c r="JA3" s="1" t="str">
        <f>'Formulation Name Data'!A7&amp;"_T5"</f>
        <v>G215_DGBE_0.5_0.5_T5</v>
      </c>
      <c r="JB3" s="12" t="str">
        <f>'Formulation Name Data'!A7&amp;"_T6"</f>
        <v>G215_DGBE_0.5_0.5_T6</v>
      </c>
      <c r="JC3" s="1" t="str">
        <f>'Formulation Name Data'!A86&amp;"_T1"</f>
        <v>D502W_G215_DGBE_0.5_0.5_0.5_T1</v>
      </c>
      <c r="JD3" s="1" t="str">
        <f>'Formulation Name Data'!A86&amp;"_T2"</f>
        <v>D502W_G215_DGBE_0.5_0.5_0.5_T2</v>
      </c>
      <c r="JE3" s="12" t="str">
        <f>'Formulation Name Data'!A86&amp;"_T3"</f>
        <v>D502W_G215_DGBE_0.5_0.5_0.5_T3</v>
      </c>
      <c r="JF3" s="1" t="str">
        <f>'Formulation Name Data'!A87&amp;"_T1"</f>
        <v>D502W_G215_DGBE_0.2_0.3_0.5_T1</v>
      </c>
      <c r="JG3" s="1" t="str">
        <f>'Formulation Name Data'!A87&amp;"_T2"</f>
        <v>D502W_G215_DGBE_0.2_0.3_0.5_T2</v>
      </c>
      <c r="JH3" s="12" t="str">
        <f>'Formulation Name Data'!A87&amp;"_T3"</f>
        <v>D502W_G215_DGBE_0.2_0.3_0.5_T3</v>
      </c>
      <c r="JI3" s="1" t="str">
        <f>'Formulation Name Data'!A91&amp;"_T1"</f>
        <v>D502W_G215_DGBE_0.25_0.25_0.5_T1</v>
      </c>
      <c r="JJ3" s="1" t="str">
        <f>'Formulation Name Data'!A91&amp;"_T2"</f>
        <v>D502W_G215_DGBE_0.25_0.25_0.5_T2</v>
      </c>
      <c r="JK3" s="12" t="str">
        <f>'Formulation Name Data'!A91&amp;"_T3"</f>
        <v>D502W_G215_DGBE_0.25_0.25_0.5_T3</v>
      </c>
      <c r="JL3" s="1" t="str">
        <f>'Formulation Name Data'!A121&amp;"_T1"</f>
        <v>NRL_N10477-01_G225_DGBE_0.2_0.3_0.5_T1</v>
      </c>
      <c r="JM3" s="1" t="str">
        <f>'Formulation Name Data'!A121&amp;"_T2"</f>
        <v>NRL_N10477-01_G225_DGBE_0.2_0.3_0.5_T2</v>
      </c>
      <c r="JN3" s="12" t="str">
        <f>'Formulation Name Data'!A121&amp;"_T3"</f>
        <v>NRL_N10477-01_G225_DGBE_0.2_0.3_0.5_T3</v>
      </c>
      <c r="JO3" s="1" t="str">
        <f>'Formulation Name Data'!A115&amp;"_T1"</f>
        <v>T15-S-12_G215_DGBE_0.03_0.02_0.5_T1</v>
      </c>
      <c r="JP3" s="1" t="str">
        <f>'Formulation Name Data'!A115&amp;"_T2"</f>
        <v>T15-S-12_G215_DGBE_0.03_0.02_0.5_T2</v>
      </c>
      <c r="JQ3" s="12" t="str">
        <f>'Formulation Name Data'!A115&amp;"_T3"</f>
        <v>T15-S-12_G215_DGBE_0.03_0.02_0.5_T3</v>
      </c>
      <c r="JR3" s="1" t="str">
        <f>'Formulation Name Data'!A48&amp;"_T1"</f>
        <v>D502W_C8G2_DGBE_0.2_0.19_0.5_T1</v>
      </c>
      <c r="JS3" s="1" t="str">
        <f>'Formulation Name Data'!A48&amp;"_T2"</f>
        <v>D502W_C8G2_DGBE_0.2_0.19_0.5_T2</v>
      </c>
      <c r="JT3" s="12" t="str">
        <f>'Formulation Name Data'!A48&amp;"_T3"</f>
        <v>D502W_C8G2_DGBE_0.2_0.19_0.5_T3</v>
      </c>
      <c r="JU3" s="1" t="str">
        <f>'Formulation Name Data'!A51&amp;"_T1"</f>
        <v>D502W_C8G1_DGBE_0.2_0.19_0.5_T1</v>
      </c>
      <c r="JV3" s="1" t="str">
        <f>'Formulation Name Data'!A51&amp;"_T2"</f>
        <v>D502W_C8G1_DGBE_0.2_0.19_0.5_T2</v>
      </c>
      <c r="JW3" s="12" t="str">
        <f>'Formulation Name Data'!A51&amp;"_T3"</f>
        <v>D502W_C8G1_DGBE_0.2_0.19_0.5_T3</v>
      </c>
      <c r="JX3" s="1" t="str">
        <f>'Formulation Name Data'!A49&amp;"_T1"</f>
        <v>D502W_C10G2_DGBE_0.2_0.19_0.5_T1</v>
      </c>
      <c r="JY3" s="1" t="str">
        <f>'Formulation Name Data'!A49&amp;"_T2"</f>
        <v>D502W_C10G2_DGBE_0.2_0.19_0.5_T2</v>
      </c>
      <c r="JZ3" s="1" t="str">
        <f>'Formulation Name Data'!A50&amp;"_T1"</f>
        <v>D502W_C12G2_DGBE_0.2_0.19_0.5_T1</v>
      </c>
      <c r="KA3" s="1" t="str">
        <f>'Formulation Name Data'!A50&amp;"_T2"</f>
        <v>D502W_C12G2_DGBE_0.2_0.19_0.5_T2</v>
      </c>
      <c r="KB3" s="12" t="str">
        <f>'Formulation Name Data'!A50&amp;"_T3"</f>
        <v>D502W_C12G2_DGBE_0.2_0.19_0.5_T3</v>
      </c>
      <c r="KC3" s="1" t="str">
        <f>'Formulation Name Data'!A107&amp;"_T1"</f>
        <v>D502W_C6G1_DGBE_0.2_0.19_0.5_T1</v>
      </c>
      <c r="KD3" s="1" t="str">
        <f>'Formulation Name Data'!A107&amp;"_T2"</f>
        <v>D502W_C6G1_DGBE_0.2_0.19_0.5_T2</v>
      </c>
      <c r="KE3" s="12" t="str">
        <f>'Formulation Name Data'!A107&amp;"_T3"</f>
        <v>D502W_C6G1_DGBE_0.2_0.19_0.5_T3</v>
      </c>
      <c r="KF3" s="12" t="str">
        <f>'Formulation Name Data'!A110&amp;"_T1"</f>
        <v>ComSor_EXP-21-CH1035-B_T1</v>
      </c>
      <c r="KG3" s="12" t="str">
        <f>'Formulation Name Data'!A110&amp;"_T2"</f>
        <v>ComSor_EXP-21-CH1035-B_T2</v>
      </c>
      <c r="KH3" s="12" t="str">
        <f>'Formulation Name Data'!A117&amp;"_T1"</f>
        <v>ComSor_EXP-21-CH1035-A_T1</v>
      </c>
      <c r="KI3" s="12" t="str">
        <f>'Formulation Name Data'!A117&amp;"_T2"</f>
        <v>ComSor_EXP-21-CH1035-A_T2</v>
      </c>
      <c r="KJ3" s="12" t="str">
        <f>'Formulation Name Data'!A118&amp;"_T1"</f>
        <v>ComSor_EXP-21-CH1035-C_T1</v>
      </c>
      <c r="KK3" s="12" t="str">
        <f>'Formulation Name Data'!A118&amp;"_T2"</f>
        <v>ComSor_EXP-21-CH1035-C_T2</v>
      </c>
      <c r="KL3" s="12" t="str">
        <f>'Formulation Name Data'!A148&amp;"_T1"</f>
        <v>ComSor_EXP-21-CM7837-5_T1</v>
      </c>
      <c r="KM3" s="12" t="str">
        <f>'Formulation Name Data'!A148&amp;"_T2"</f>
        <v>ComSor_EXP-21-CM7837-5_T2</v>
      </c>
      <c r="KN3" s="12" t="str">
        <f>'Formulation Name Data'!A149&amp;"_T1"</f>
        <v>ComSor_EXP-21-CM7837-4_T1</v>
      </c>
      <c r="KO3" s="12" t="str">
        <f>'Formulation Name Data'!A149&amp;"_T2"</f>
        <v>ComSor_EXP-21-CM7837-4_T2</v>
      </c>
      <c r="KP3" s="12" t="str">
        <f>'Formulation Name Data'!A152&amp;"_T1"</f>
        <v>ComSor_EXP-21-CM7837-3_T1</v>
      </c>
      <c r="KQ3" s="12" t="str">
        <f>'Formulation Name Data'!A152&amp;"_T2"</f>
        <v>ComSor_EXP-21-CM7837-3_T2</v>
      </c>
      <c r="KR3" s="12" t="str">
        <f>'Formulation Name Data'!A154&amp;"_T1"</f>
        <v>CL_MD2012-16_G225_DGBE_0.52_0.78_0.5_T1</v>
      </c>
      <c r="KS3" s="12" t="str">
        <f>'Formulation Name Data'!A154&amp;"_T2"</f>
        <v>CL_MD2012-16_G225_DGBE_0.52_0.78_0.5_T2</v>
      </c>
      <c r="KT3" s="12" t="str">
        <f>'Formulation Name Data'!A155&amp;"_T1"</f>
        <v>NRL_N10478-198_G225_DGBE_0.065_0.3_0.5_T1</v>
      </c>
      <c r="KU3" s="12" t="str">
        <f>'Formulation Name Data'!A155&amp;"_T2"</f>
        <v>NRL_N10478-198_G225_DGBE_0.065_0.3_0.5_T2</v>
      </c>
      <c r="KV3" s="1" t="str">
        <f>'Formulation Name Data'!A158&amp;"_T1"</f>
        <v>CL_MD2102-54_G225_DGBE_0.2_0.3_0.5_T1</v>
      </c>
      <c r="KW3" s="1" t="str">
        <f>'Formulation Name Data'!A158&amp;"_T2"</f>
        <v>CL_MD2102-54_G225_DGBE_0.2_0.3_0.5_T2</v>
      </c>
      <c r="KX3" s="1" t="str">
        <f>'Formulation Name Data'!A182&amp;"_T1"</f>
        <v>NRL_LBII43_G225_DGBE_0.2_0.3_0.5_T1</v>
      </c>
      <c r="KY3" s="1" t="str">
        <f>'Formulation Name Data'!A182&amp;"_T2"</f>
        <v>NRL_LBII43_G225_DGBE_0.2_0.3_0.5_T2</v>
      </c>
      <c r="KZ3" s="1" t="str">
        <f>'Formulation Name Data'!A184&amp;"_T1"</f>
        <v>NRL_CB-1-123_G225_DGBE_0.2_0.3_0.5_T1</v>
      </c>
      <c r="LA3" s="1" t="str">
        <f>'Formulation Name Data'!A183&amp;"_T1"</f>
        <v>NRL_CB_DTBTS_SB_G225_DGBE_0.02_0.3_0.5_T1</v>
      </c>
      <c r="LB3" s="1" t="str">
        <f>'Formulation Name Data'!A183&amp;"_T2"</f>
        <v>NRL_CB_DTBTS_SB_G225_DGBE_0.02_0.3_0.5_T2</v>
      </c>
      <c r="LC3" s="1" t="str">
        <f>'Formulation Name Data'!A185&amp;"_T1"</f>
        <v>NRL_N10478-227_G225_DGBE_0.063_0.3_0.5_T1</v>
      </c>
      <c r="LD3" s="1" t="str">
        <f>'Formulation Name Data'!A186&amp;"_T1"</f>
        <v>NRL_N10478-233_G225_DGBE_0.03_0.3_0.5_T1</v>
      </c>
      <c r="LE3" s="1" t="str">
        <f>'Formulation Name Data'!A187&amp;"_T1"</f>
        <v>NRL_N10478-240_G225_DGBE_#_0.3_0.5_T1</v>
      </c>
      <c r="LF3" s="1" t="str">
        <f>'Formulation Name Data'!A187&amp;"_T2"</f>
        <v>NRL_N10478-240_G225_DGBE_#_0.3_0.5_T2</v>
      </c>
      <c r="LG3" s="1" t="str">
        <f>'Formulation Name Data'!A188&amp;"_T1"</f>
        <v>CL_MD2102-90_G225_DGBE_0.2_0.3_0.5_T1</v>
      </c>
      <c r="LH3" s="1" t="str">
        <f>'Formulation Name Data'!A188&amp;"_T2"</f>
        <v>CL_MD2102-90_G225_DGBE_0.2_0.3_0.5_T2</v>
      </c>
      <c r="LI3" s="1" t="str">
        <f>'Formulation Name Data'!A189&amp;"_T1"</f>
        <v>CL_MD2102-112_G225_DGBE_0.05_0.3_0.5_T1</v>
      </c>
      <c r="LJ3" s="1" t="str">
        <f>'Formulation Name Data'!A189&amp;"_T2"</f>
        <v>CL_MD2102-112_G225_DGBE_0.05_0.3_0.5_T2</v>
      </c>
      <c r="LK3" s="1" t="str">
        <f>'Formulation Name Data'!A190&amp;"_T1"</f>
        <v>CL_MD2102-118_G225_DGBE_0.2_0.3_0.5_T1</v>
      </c>
      <c r="LL3" s="1" t="str">
        <f>'Formulation Name Data'!A190&amp;"_T2"</f>
        <v>CL_MD2102-118_G225_DGBE_0.2_0.3_0.5_T2</v>
      </c>
      <c r="LM3" s="1" t="str">
        <f>'Formulation Name Data'!A191&amp;"_T1"</f>
        <v>ComSor_EXP-21-CH1070-1_3_T1</v>
      </c>
      <c r="LN3" s="1" t="str">
        <f>'Formulation Name Data'!A191&amp;"_T2"</f>
        <v>ComSor_EXP-21-CH1070-1_3_T2</v>
      </c>
      <c r="LO3" s="1" t="str">
        <f>'Formulation Name Data'!A192&amp;"_T1"</f>
        <v>ComSor_EXP-21-CH1070-2_3_T1</v>
      </c>
      <c r="LP3" s="1" t="str">
        <f>'Formulation Name Data'!A192&amp;"_T2"</f>
        <v>ComSor_EXP-21-CH1070-2_3_T2</v>
      </c>
      <c r="LQ3" s="1" t="str">
        <f>'Formulation Name Data'!A193&amp;"_T1"</f>
        <v>ComSor_EXP-21-CH1070-4_1_T1</v>
      </c>
      <c r="LR3" s="1" t="str">
        <f>'Formulation Name Data'!A193&amp;"_T2"</f>
        <v>ComSor_EXP-21-CH1070-4_1_T2</v>
      </c>
      <c r="LS3" s="1" t="str">
        <f>'Formulation Name Data'!A197&amp;"_T1"</f>
        <v>NRL_CB-1-192_G225_DGBE_0.14_0.21_0.5_T1</v>
      </c>
      <c r="LT3" s="1" t="str">
        <f>'Formulation Name Data'!A197&amp;"_T2"</f>
        <v>NRL_CB-1-192_G225_DGBE_0.14_0.21_0.5_T2</v>
      </c>
    </row>
    <row r="4" spans="1:332" x14ac:dyDescent="0.35">
      <c r="A4" s="11">
        <v>3.97</v>
      </c>
      <c r="B4" s="11">
        <v>4.05</v>
      </c>
      <c r="C4" s="11">
        <v>4.09</v>
      </c>
      <c r="D4">
        <v>4.1100000000000003</v>
      </c>
      <c r="E4">
        <v>4</v>
      </c>
      <c r="F4">
        <v>3.8</v>
      </c>
      <c r="G4">
        <v>4.0999999999999996</v>
      </c>
      <c r="H4">
        <v>4</v>
      </c>
      <c r="I4">
        <v>3.8</v>
      </c>
      <c r="J4">
        <v>4.18</v>
      </c>
      <c r="K4">
        <v>3.96</v>
      </c>
      <c r="L4">
        <v>4.1100000000000003</v>
      </c>
      <c r="M4">
        <v>3.93</v>
      </c>
      <c r="N4">
        <v>4.12</v>
      </c>
      <c r="O4">
        <v>3.84</v>
      </c>
      <c r="P4">
        <v>4.21</v>
      </c>
      <c r="Q4">
        <v>4.03</v>
      </c>
      <c r="R4">
        <v>4</v>
      </c>
      <c r="S4">
        <v>3.94</v>
      </c>
      <c r="T4">
        <v>4.2300000000000004</v>
      </c>
      <c r="U4">
        <v>4.12</v>
      </c>
      <c r="V4">
        <v>3.97</v>
      </c>
      <c r="W4">
        <v>4.16</v>
      </c>
      <c r="X4">
        <v>4.24</v>
      </c>
      <c r="Y4">
        <v>4.24</v>
      </c>
      <c r="Z4">
        <v>3.94</v>
      </c>
      <c r="AA4">
        <v>4.1100000000000003</v>
      </c>
      <c r="AB4">
        <v>4.08</v>
      </c>
      <c r="AC4">
        <v>4.3499999999999996</v>
      </c>
      <c r="AD4">
        <v>4.03</v>
      </c>
      <c r="AE4">
        <v>4.09</v>
      </c>
      <c r="AF4">
        <v>4.21</v>
      </c>
      <c r="AG4">
        <v>4.3600000000000003</v>
      </c>
      <c r="AH4">
        <v>4.2300000000000004</v>
      </c>
      <c r="AI4">
        <v>4.24</v>
      </c>
      <c r="AJ4">
        <v>4.21</v>
      </c>
      <c r="AK4">
        <v>4</v>
      </c>
      <c r="AL4">
        <v>4.0129999999999999</v>
      </c>
      <c r="AM4">
        <v>3.8919999999999999</v>
      </c>
      <c r="AN4">
        <v>3.8980000000000001</v>
      </c>
      <c r="AO4">
        <v>3.9119999999999999</v>
      </c>
      <c r="AP4">
        <v>3.895</v>
      </c>
      <c r="AQ4">
        <v>4.0330000000000004</v>
      </c>
      <c r="AR4">
        <v>3.8260000000000001</v>
      </c>
      <c r="AS4">
        <v>4.0410000000000004</v>
      </c>
      <c r="AT4" s="11">
        <v>3.9409999999999998</v>
      </c>
      <c r="AU4">
        <v>4.1669999999999998</v>
      </c>
      <c r="AV4">
        <v>3.903</v>
      </c>
      <c r="AW4">
        <v>4.194</v>
      </c>
      <c r="AX4">
        <v>4.2549999999999999</v>
      </c>
      <c r="AY4">
        <v>4.1609999999999996</v>
      </c>
      <c r="AZ4">
        <v>4.0730000000000004</v>
      </c>
      <c r="BA4">
        <v>3.984</v>
      </c>
      <c r="BB4">
        <v>4.0979999999999999</v>
      </c>
      <c r="BC4">
        <v>4.0289999999999999</v>
      </c>
      <c r="BD4">
        <v>4.0880000000000001</v>
      </c>
      <c r="BE4">
        <v>4.0510000000000002</v>
      </c>
      <c r="BF4">
        <v>4.2569999999999997</v>
      </c>
      <c r="BG4">
        <v>4.4000000000000004</v>
      </c>
      <c r="BH4">
        <v>4.0410000000000004</v>
      </c>
      <c r="BI4">
        <v>4</v>
      </c>
      <c r="BJ4">
        <v>4.2839999999999998</v>
      </c>
      <c r="BK4">
        <v>4</v>
      </c>
      <c r="BL4">
        <v>4.0780000000000003</v>
      </c>
      <c r="BM4">
        <v>4.04</v>
      </c>
      <c r="BN4">
        <v>4.0199999999999996</v>
      </c>
      <c r="BO4">
        <v>4.2300000000000004</v>
      </c>
      <c r="BP4">
        <v>3.9</v>
      </c>
      <c r="BQ4">
        <v>4.1399999999999997</v>
      </c>
      <c r="BR4">
        <v>4.18</v>
      </c>
      <c r="BS4">
        <v>4.1500000000000004</v>
      </c>
      <c r="BT4">
        <v>4.03</v>
      </c>
      <c r="BU4">
        <v>4.0999999999999996</v>
      </c>
      <c r="BV4">
        <v>4.0999999999999996</v>
      </c>
      <c r="BW4">
        <v>4.08</v>
      </c>
      <c r="BX4">
        <v>4.16</v>
      </c>
      <c r="BY4">
        <v>4.0599999999999996</v>
      </c>
      <c r="BZ4">
        <v>3.99</v>
      </c>
      <c r="CA4">
        <v>4.17</v>
      </c>
      <c r="CB4">
        <v>4.2640000000000002</v>
      </c>
      <c r="CC4">
        <v>4.1470000000000002</v>
      </c>
      <c r="CD4">
        <v>4.1319999999999997</v>
      </c>
      <c r="CE4">
        <v>3.6920000000000002</v>
      </c>
      <c r="CF4">
        <v>3.7189999999999999</v>
      </c>
      <c r="CG4">
        <v>3.6920000000000002</v>
      </c>
      <c r="CH4">
        <v>3.7970000000000002</v>
      </c>
      <c r="CI4">
        <v>3.5510000000000002</v>
      </c>
      <c r="CJ4">
        <v>3.403</v>
      </c>
      <c r="CK4">
        <v>4.1790000000000003</v>
      </c>
      <c r="CL4">
        <v>3.71</v>
      </c>
      <c r="CM4">
        <v>4.0430000000000001</v>
      </c>
      <c r="CN4">
        <v>4.1820000000000004</v>
      </c>
      <c r="CO4">
        <v>4.1040000000000001</v>
      </c>
      <c r="CP4">
        <v>4.0720000000000001</v>
      </c>
      <c r="CQ4" s="11">
        <v>3.835</v>
      </c>
      <c r="CR4" s="11">
        <v>4.1150000000000002</v>
      </c>
      <c r="CS4" s="11">
        <v>4.0259999999999998</v>
      </c>
      <c r="CT4">
        <v>3.9430000000000001</v>
      </c>
      <c r="CU4">
        <v>3.9359999999999999</v>
      </c>
      <c r="CV4">
        <v>4.1289999999999996</v>
      </c>
      <c r="CW4">
        <v>4.08</v>
      </c>
      <c r="CX4">
        <v>4</v>
      </c>
      <c r="CY4">
        <v>4.0599999999999996</v>
      </c>
      <c r="CZ4">
        <v>4.01</v>
      </c>
      <c r="DA4">
        <v>4</v>
      </c>
      <c r="DB4">
        <v>4.1399999999999997</v>
      </c>
      <c r="DC4">
        <v>4.37</v>
      </c>
      <c r="DD4">
        <v>4.18</v>
      </c>
      <c r="DE4">
        <v>3.93</v>
      </c>
      <c r="DF4" s="11">
        <v>3.77</v>
      </c>
      <c r="DG4">
        <v>3.8479999999999999</v>
      </c>
      <c r="DH4">
        <v>4</v>
      </c>
      <c r="DI4">
        <v>4.1429999999999998</v>
      </c>
      <c r="DJ4">
        <v>4.3170000000000002</v>
      </c>
      <c r="DK4">
        <v>3.8660000000000001</v>
      </c>
      <c r="DL4">
        <v>3.8479999999999999</v>
      </c>
      <c r="DM4">
        <v>3.8</v>
      </c>
      <c r="DN4">
        <v>3.831</v>
      </c>
      <c r="DO4">
        <v>4.0140000000000002</v>
      </c>
      <c r="DP4">
        <v>4.0250000000000004</v>
      </c>
      <c r="DQ4">
        <v>3.9039999999999999</v>
      </c>
      <c r="DR4">
        <v>3.8090000000000002</v>
      </c>
      <c r="DS4" s="11">
        <v>4.0679999999999996</v>
      </c>
      <c r="DT4" s="11">
        <v>3.9620000000000002</v>
      </c>
      <c r="DU4" s="11">
        <v>3.8959999999999999</v>
      </c>
      <c r="DV4" s="11">
        <v>4.0270000000000001</v>
      </c>
      <c r="DW4">
        <v>3.9740000000000002</v>
      </c>
      <c r="DX4">
        <v>4.4329999999999998</v>
      </c>
      <c r="DY4">
        <v>4.2060000000000004</v>
      </c>
      <c r="DZ4">
        <v>3.9540000000000002</v>
      </c>
      <c r="EA4">
        <v>3.7429999999999999</v>
      </c>
      <c r="EB4">
        <v>3.7549999999999999</v>
      </c>
      <c r="EC4">
        <v>4.101</v>
      </c>
      <c r="ED4">
        <v>4.1369999999999996</v>
      </c>
      <c r="EE4">
        <v>3.9780000000000002</v>
      </c>
      <c r="EF4">
        <v>4.085</v>
      </c>
      <c r="EG4">
        <v>3.9239999999999999</v>
      </c>
      <c r="EH4">
        <v>3.9430000000000001</v>
      </c>
      <c r="EI4">
        <v>3.915</v>
      </c>
      <c r="EJ4">
        <v>3.9380000000000002</v>
      </c>
      <c r="EK4">
        <v>3.73</v>
      </c>
      <c r="EL4">
        <v>3.9380000000000002</v>
      </c>
      <c r="EM4">
        <v>4.0979999999999999</v>
      </c>
      <c r="EN4">
        <v>3.94</v>
      </c>
      <c r="EO4">
        <v>3.972</v>
      </c>
      <c r="EP4">
        <v>3.931</v>
      </c>
      <c r="EQ4">
        <v>3.9790000000000001</v>
      </c>
      <c r="ER4">
        <v>3.9239999999999999</v>
      </c>
      <c r="ES4">
        <v>3.8370000000000002</v>
      </c>
      <c r="ET4">
        <v>4</v>
      </c>
      <c r="EU4">
        <v>3.9489999999999998</v>
      </c>
      <c r="EV4">
        <v>3.9929999999999999</v>
      </c>
      <c r="EW4">
        <v>4.0609999999999999</v>
      </c>
      <c r="EX4">
        <v>4.0869999999999997</v>
      </c>
      <c r="EY4">
        <v>3.9950000000000001</v>
      </c>
      <c r="EZ4">
        <v>3.9319999999999999</v>
      </c>
      <c r="FA4">
        <v>4.0330000000000004</v>
      </c>
      <c r="FB4">
        <v>3.891</v>
      </c>
      <c r="FC4">
        <v>3.867</v>
      </c>
      <c r="FD4">
        <v>4.0129999999999999</v>
      </c>
      <c r="FE4">
        <v>3.7909999999999999</v>
      </c>
      <c r="FF4">
        <v>3.9740000000000002</v>
      </c>
      <c r="FG4">
        <v>3.9079999999999999</v>
      </c>
      <c r="FH4">
        <v>3.9609999999999999</v>
      </c>
      <c r="FI4">
        <v>3.8149999999999999</v>
      </c>
      <c r="FJ4">
        <v>3.9159999999999999</v>
      </c>
      <c r="FK4">
        <v>3.903</v>
      </c>
      <c r="FL4">
        <v>3.8740000000000001</v>
      </c>
      <c r="FM4">
        <v>3.847</v>
      </c>
      <c r="FN4">
        <v>3.9449999999999998</v>
      </c>
      <c r="FO4">
        <v>3.9860000000000002</v>
      </c>
      <c r="FP4">
        <v>3.9910000000000001</v>
      </c>
      <c r="FQ4">
        <v>4.1660000000000004</v>
      </c>
      <c r="FR4">
        <v>4.1769999999999996</v>
      </c>
      <c r="FS4">
        <v>4.0730000000000004</v>
      </c>
      <c r="FT4">
        <v>4.1820000000000004</v>
      </c>
      <c r="FU4">
        <v>4.117</v>
      </c>
      <c r="FV4">
        <v>4.2370000000000001</v>
      </c>
      <c r="FW4">
        <v>4.1630000000000003</v>
      </c>
      <c r="FX4">
        <v>3.73</v>
      </c>
      <c r="FY4">
        <v>3.83</v>
      </c>
      <c r="FZ4">
        <v>3.8039999999999998</v>
      </c>
      <c r="GA4" s="28">
        <v>3.677</v>
      </c>
      <c r="GB4">
        <v>3.5430000000000001</v>
      </c>
      <c r="GC4">
        <v>3.8159999999999998</v>
      </c>
      <c r="GD4">
        <v>3.6640000000000001</v>
      </c>
      <c r="GE4">
        <v>3.6110000000000002</v>
      </c>
      <c r="GF4">
        <v>3.5920000000000001</v>
      </c>
      <c r="GG4">
        <v>3.738</v>
      </c>
      <c r="GH4">
        <v>3.7450000000000001</v>
      </c>
      <c r="GI4">
        <v>3.952</v>
      </c>
      <c r="GJ4">
        <v>4.0439999999999996</v>
      </c>
      <c r="GK4">
        <v>4</v>
      </c>
      <c r="GL4">
        <v>4.08</v>
      </c>
      <c r="GM4">
        <v>3.81</v>
      </c>
      <c r="GN4">
        <v>3.976</v>
      </c>
      <c r="GO4">
        <v>4.1509999999999998</v>
      </c>
      <c r="GP4">
        <v>4.0750000000000002</v>
      </c>
      <c r="GQ4">
        <v>4.0890000000000004</v>
      </c>
      <c r="GR4">
        <v>3.9590000000000001</v>
      </c>
      <c r="GS4">
        <v>3.8809999999999998</v>
      </c>
      <c r="GT4">
        <v>3.8340000000000001</v>
      </c>
      <c r="GU4">
        <v>4.0209999999999999</v>
      </c>
      <c r="GV4">
        <v>4.0220000000000002</v>
      </c>
      <c r="GW4">
        <v>3.6280000000000001</v>
      </c>
      <c r="GX4">
        <v>3.8769999999999998</v>
      </c>
      <c r="GY4">
        <v>4.0830000000000002</v>
      </c>
      <c r="GZ4">
        <v>3.88</v>
      </c>
      <c r="HA4">
        <v>4.0179999999999998</v>
      </c>
      <c r="HB4">
        <v>3.99</v>
      </c>
      <c r="HC4">
        <v>4.0110000000000001</v>
      </c>
      <c r="HD4">
        <v>4.0940000000000003</v>
      </c>
      <c r="HE4">
        <v>4.08</v>
      </c>
      <c r="HF4">
        <v>3.988</v>
      </c>
      <c r="HG4">
        <v>4.093</v>
      </c>
      <c r="HH4">
        <v>4.0330000000000004</v>
      </c>
      <c r="HI4">
        <v>4.008</v>
      </c>
      <c r="HJ4">
        <v>4.0149999999999997</v>
      </c>
      <c r="HK4">
        <v>3.87</v>
      </c>
      <c r="HL4">
        <v>4.157</v>
      </c>
      <c r="HM4">
        <v>3.9750000000000001</v>
      </c>
      <c r="HN4">
        <v>3.94</v>
      </c>
      <c r="HO4">
        <v>3.887</v>
      </c>
      <c r="HP4">
        <v>4.0190000000000001</v>
      </c>
      <c r="HQ4">
        <v>3.722</v>
      </c>
      <c r="HR4">
        <v>3.8130000000000002</v>
      </c>
      <c r="HS4">
        <v>3.9049999999999998</v>
      </c>
      <c r="HT4">
        <v>3.931</v>
      </c>
      <c r="HU4">
        <v>3.8650000000000002</v>
      </c>
      <c r="HV4">
        <v>4.1230000000000002</v>
      </c>
      <c r="HW4">
        <v>3.9510000000000001</v>
      </c>
      <c r="HX4">
        <v>4.2290000000000001</v>
      </c>
      <c r="HY4" s="11">
        <v>4.1970000000000001</v>
      </c>
      <c r="HZ4" s="11">
        <v>4.1029999999999998</v>
      </c>
      <c r="IA4" s="11">
        <v>4.1429999999999998</v>
      </c>
      <c r="IB4">
        <v>3.9489999999999998</v>
      </c>
      <c r="IC4">
        <v>3.9780000000000002</v>
      </c>
      <c r="ID4">
        <v>3.8490000000000002</v>
      </c>
      <c r="IE4">
        <v>3.9369999999999998</v>
      </c>
      <c r="IF4">
        <v>4.0220000000000002</v>
      </c>
      <c r="IG4">
        <v>3.97</v>
      </c>
      <c r="IH4">
        <v>3.5630000000000002</v>
      </c>
      <c r="II4">
        <v>3.7130000000000001</v>
      </c>
      <c r="IJ4">
        <v>3.6269999999999998</v>
      </c>
      <c r="IK4">
        <v>4.2450000000000001</v>
      </c>
      <c r="IL4">
        <v>4.016</v>
      </c>
      <c r="IM4">
        <v>3.9510000000000001</v>
      </c>
      <c r="IN4">
        <v>3.8559999999999999</v>
      </c>
      <c r="IO4">
        <v>3.8959999999999999</v>
      </c>
      <c r="IP4">
        <v>3.8220000000000001</v>
      </c>
      <c r="IQ4">
        <v>4.2590000000000003</v>
      </c>
      <c r="IR4">
        <v>4.0140000000000002</v>
      </c>
      <c r="IS4">
        <v>4.0270000000000001</v>
      </c>
      <c r="IT4">
        <v>4.0250000000000004</v>
      </c>
      <c r="IU4">
        <v>4.0229999999999997</v>
      </c>
      <c r="IV4">
        <v>3.89</v>
      </c>
      <c r="IW4">
        <v>4.1740000000000004</v>
      </c>
      <c r="IX4">
        <v>3.9510000000000001</v>
      </c>
      <c r="IY4">
        <v>3.847</v>
      </c>
      <c r="IZ4" s="11">
        <v>4.1319999999999997</v>
      </c>
      <c r="JA4" s="11">
        <v>4.1429999999999998</v>
      </c>
      <c r="JB4" s="11">
        <v>4</v>
      </c>
      <c r="JC4">
        <v>4.2149999999999999</v>
      </c>
      <c r="JD4">
        <v>4.0439999999999996</v>
      </c>
      <c r="JE4">
        <v>4.0679999999999996</v>
      </c>
      <c r="JF4">
        <v>4.1870000000000003</v>
      </c>
      <c r="JG4">
        <v>4.1180000000000003</v>
      </c>
      <c r="JH4">
        <v>4.0780000000000003</v>
      </c>
      <c r="JI4">
        <v>3.9340000000000002</v>
      </c>
      <c r="JJ4">
        <v>3.988</v>
      </c>
      <c r="JK4">
        <v>3.92</v>
      </c>
      <c r="JL4" s="11">
        <v>4.0869999999999997</v>
      </c>
      <c r="JM4" s="11">
        <v>4.03</v>
      </c>
      <c r="JN4" s="11">
        <v>3.9049999999999998</v>
      </c>
      <c r="JO4" s="24">
        <v>3.972</v>
      </c>
      <c r="JP4" s="24">
        <v>3.9359999999999999</v>
      </c>
      <c r="JQ4" s="24">
        <v>3.8410000000000002</v>
      </c>
      <c r="JR4" s="11">
        <v>4.0430000000000001</v>
      </c>
      <c r="JS4" s="11">
        <v>4.1269999999999998</v>
      </c>
      <c r="JT4" s="11">
        <v>4.0529999999999999</v>
      </c>
      <c r="JU4" s="11">
        <v>3.8820000000000001</v>
      </c>
      <c r="JV4" s="11">
        <v>3.9409999999999998</v>
      </c>
      <c r="JW4" s="11">
        <v>3.988</v>
      </c>
      <c r="JX4" s="11">
        <v>3.77</v>
      </c>
      <c r="JY4" s="11">
        <v>3.8140000000000001</v>
      </c>
      <c r="JZ4" s="11">
        <v>4.194</v>
      </c>
      <c r="KA4" s="11">
        <v>4.0979999999999999</v>
      </c>
      <c r="KB4" s="11">
        <v>4.0069999999999997</v>
      </c>
      <c r="KC4" s="11">
        <v>3.93</v>
      </c>
      <c r="KD4" s="11">
        <v>3.895</v>
      </c>
      <c r="KE4" s="11">
        <v>4.0090000000000003</v>
      </c>
      <c r="KF4" s="11">
        <v>3.84</v>
      </c>
      <c r="KG4" s="11">
        <v>3.9830000000000001</v>
      </c>
      <c r="KH4" s="11">
        <v>3.8940000000000001</v>
      </c>
      <c r="KI4" s="11">
        <v>3.9740000000000002</v>
      </c>
      <c r="KJ4" s="11">
        <v>3.91</v>
      </c>
      <c r="KK4" s="11">
        <v>4.093</v>
      </c>
      <c r="KL4" s="11">
        <v>4.0380000000000003</v>
      </c>
      <c r="KM4" s="11">
        <v>4.0999999999999996</v>
      </c>
      <c r="KN4" s="11">
        <v>4.2060000000000004</v>
      </c>
      <c r="KO4" s="11">
        <v>3.6859999999999999</v>
      </c>
      <c r="KP4" s="11">
        <v>3.738</v>
      </c>
      <c r="KQ4" s="11">
        <v>3.649</v>
      </c>
      <c r="KR4" s="11">
        <v>4.1390000000000002</v>
      </c>
      <c r="KS4" s="11">
        <v>4.1210000000000004</v>
      </c>
      <c r="KT4">
        <v>4.0629999999999997</v>
      </c>
      <c r="KU4">
        <v>4.1440000000000001</v>
      </c>
      <c r="KV4" s="42">
        <v>3.927</v>
      </c>
      <c r="KW4" s="42">
        <v>4.0410000000000004</v>
      </c>
      <c r="KX4" s="42">
        <v>4.0039999999999996</v>
      </c>
      <c r="KY4" s="42">
        <v>3.96</v>
      </c>
      <c r="KZ4" s="42">
        <v>4</v>
      </c>
      <c r="LA4" s="42">
        <v>3.9420000000000002</v>
      </c>
      <c r="LB4" s="42">
        <v>4.0419999999999998</v>
      </c>
      <c r="LC4" s="11">
        <v>4</v>
      </c>
      <c r="LD4" s="42">
        <v>4</v>
      </c>
      <c r="LE4" s="42">
        <v>3.819</v>
      </c>
      <c r="LF4" s="42">
        <v>3.8980000000000001</v>
      </c>
      <c r="LG4" s="42">
        <v>4</v>
      </c>
      <c r="LH4" s="42">
        <v>4</v>
      </c>
      <c r="LI4" s="42">
        <v>3.9569999999999999</v>
      </c>
      <c r="LJ4" s="42">
        <v>3.956</v>
      </c>
      <c r="LK4" s="42">
        <v>4.0579999999999998</v>
      </c>
      <c r="LL4" s="42">
        <v>3.9319999999999999</v>
      </c>
      <c r="LM4" s="42">
        <v>3.9049999999999998</v>
      </c>
      <c r="LN4" s="42">
        <v>3.9849999999999999</v>
      </c>
      <c r="LO4" s="42">
        <v>3.8610000000000002</v>
      </c>
      <c r="LP4" s="42">
        <v>3.6920000000000002</v>
      </c>
      <c r="LQ4" s="42">
        <v>3.794</v>
      </c>
      <c r="LR4" s="42">
        <v>3.762</v>
      </c>
      <c r="LS4" s="42">
        <v>3.9159999999999999</v>
      </c>
      <c r="LT4" s="42">
        <v>3.7690000000000001</v>
      </c>
    </row>
    <row r="5" spans="1:332" x14ac:dyDescent="0.35">
      <c r="A5" s="11">
        <v>3.22</v>
      </c>
      <c r="B5" s="11">
        <v>3.83</v>
      </c>
      <c r="C5" s="11">
        <v>3.86</v>
      </c>
      <c r="D5">
        <v>3.43</v>
      </c>
      <c r="E5">
        <v>2.86</v>
      </c>
      <c r="F5">
        <v>2.76</v>
      </c>
      <c r="G5">
        <v>2.2400000000000002</v>
      </c>
      <c r="H5">
        <v>2.95</v>
      </c>
      <c r="I5">
        <v>2.56</v>
      </c>
      <c r="J5">
        <v>3.18</v>
      </c>
      <c r="K5">
        <v>3.43</v>
      </c>
      <c r="L5">
        <v>3.05</v>
      </c>
      <c r="M5">
        <v>2.92</v>
      </c>
      <c r="N5">
        <v>3.01</v>
      </c>
      <c r="O5">
        <v>2.87</v>
      </c>
      <c r="P5">
        <v>3.28</v>
      </c>
      <c r="Q5">
        <v>2.95</v>
      </c>
      <c r="R5">
        <v>3.24</v>
      </c>
      <c r="S5">
        <v>2.91</v>
      </c>
      <c r="T5">
        <v>2.98</v>
      </c>
      <c r="U5">
        <v>3</v>
      </c>
      <c r="V5">
        <v>2.5299999999999998</v>
      </c>
      <c r="W5">
        <v>3.11</v>
      </c>
      <c r="X5">
        <v>2.98</v>
      </c>
      <c r="Y5">
        <v>3.49</v>
      </c>
      <c r="Z5">
        <v>2.86</v>
      </c>
      <c r="AA5">
        <v>2.91</v>
      </c>
      <c r="AB5">
        <v>3.48</v>
      </c>
      <c r="AC5">
        <v>3.33</v>
      </c>
      <c r="AD5">
        <v>3.43</v>
      </c>
      <c r="AE5">
        <v>2.63</v>
      </c>
      <c r="AF5">
        <v>2.82</v>
      </c>
      <c r="AG5">
        <v>2.58</v>
      </c>
      <c r="AH5">
        <v>3.84</v>
      </c>
      <c r="AI5">
        <v>3.38</v>
      </c>
      <c r="AJ5">
        <v>3.82</v>
      </c>
      <c r="AK5">
        <v>4.3840000000000003</v>
      </c>
      <c r="AL5">
        <v>4.7850000000000001</v>
      </c>
      <c r="AM5">
        <v>4.1109999999999998</v>
      </c>
      <c r="AN5">
        <v>4.3780000000000001</v>
      </c>
      <c r="AO5">
        <v>4.2690000000000001</v>
      </c>
      <c r="AP5">
        <v>3.871</v>
      </c>
      <c r="AQ5">
        <v>2.831</v>
      </c>
      <c r="AR5">
        <v>2.7719999999999998</v>
      </c>
      <c r="AS5">
        <v>2.8079999999999998</v>
      </c>
      <c r="AT5" s="11">
        <v>2.7389999999999999</v>
      </c>
      <c r="AU5">
        <v>2.718</v>
      </c>
      <c r="AV5">
        <v>2.7080000000000002</v>
      </c>
      <c r="AW5">
        <v>2.218</v>
      </c>
      <c r="AX5">
        <v>4.7699999999999996</v>
      </c>
      <c r="AY5">
        <v>4.22</v>
      </c>
      <c r="AZ5">
        <v>4.75</v>
      </c>
      <c r="BA5">
        <v>2.6779999999999999</v>
      </c>
      <c r="BB5">
        <v>2.5230000000000001</v>
      </c>
      <c r="BC5">
        <v>2.6859999999999999</v>
      </c>
      <c r="BD5">
        <v>2.4390000000000001</v>
      </c>
      <c r="BE5">
        <v>2.5070000000000001</v>
      </c>
      <c r="BF5">
        <v>2.1469999999999998</v>
      </c>
      <c r="BG5">
        <v>2.7570000000000001</v>
      </c>
      <c r="BH5">
        <v>2.4060000000000001</v>
      </c>
      <c r="BI5">
        <v>2.4140000000000001</v>
      </c>
      <c r="BJ5">
        <v>2.7389999999999999</v>
      </c>
      <c r="BK5">
        <v>0</v>
      </c>
      <c r="BL5">
        <v>1.8959999999999999</v>
      </c>
      <c r="BM5">
        <v>2.84</v>
      </c>
      <c r="BN5">
        <v>2.72</v>
      </c>
      <c r="BO5">
        <v>2.76</v>
      </c>
      <c r="BP5">
        <v>2.2000000000000002</v>
      </c>
      <c r="BQ5">
        <v>1.66</v>
      </c>
      <c r="BR5">
        <v>2.57</v>
      </c>
      <c r="BS5">
        <v>3.32</v>
      </c>
      <c r="BT5">
        <v>3.28</v>
      </c>
      <c r="BU5">
        <v>3.49</v>
      </c>
      <c r="BV5">
        <v>2.48</v>
      </c>
      <c r="BW5">
        <v>1.64</v>
      </c>
      <c r="BX5">
        <v>1.83</v>
      </c>
      <c r="BY5">
        <v>2.69</v>
      </c>
      <c r="BZ5">
        <v>2.57</v>
      </c>
      <c r="CA5">
        <v>2.84</v>
      </c>
      <c r="CB5">
        <v>2.637</v>
      </c>
      <c r="CC5">
        <v>2.927</v>
      </c>
      <c r="CD5">
        <v>3.1619999999999999</v>
      </c>
      <c r="CE5">
        <v>1.75</v>
      </c>
      <c r="CF5">
        <v>1.8939999999999999</v>
      </c>
      <c r="CG5">
        <v>1.371</v>
      </c>
      <c r="CH5">
        <v>2.3769999999999998</v>
      </c>
      <c r="CI5">
        <v>2.2330000000000001</v>
      </c>
      <c r="CJ5">
        <v>2.4390000000000001</v>
      </c>
      <c r="CK5">
        <v>2.8759999999999999</v>
      </c>
      <c r="CL5">
        <v>2.3919999999999999</v>
      </c>
      <c r="CM5">
        <v>2.5049999999999999</v>
      </c>
      <c r="CN5">
        <v>2.7269999999999999</v>
      </c>
      <c r="CO5">
        <v>2.9359999999999999</v>
      </c>
      <c r="CP5">
        <v>2.6230000000000002</v>
      </c>
      <c r="CQ5" s="11">
        <v>2.9319999999999999</v>
      </c>
      <c r="CR5" s="11">
        <v>3.008</v>
      </c>
      <c r="CS5" s="11">
        <v>2.9380000000000002</v>
      </c>
      <c r="CT5">
        <v>2.9239999999999999</v>
      </c>
      <c r="CU5">
        <v>2.9649999999999999</v>
      </c>
      <c r="CV5">
        <v>2.964</v>
      </c>
      <c r="CW5">
        <v>3.05</v>
      </c>
      <c r="CX5">
        <v>2.91</v>
      </c>
      <c r="CY5">
        <v>3.03</v>
      </c>
      <c r="CZ5">
        <v>2.96</v>
      </c>
      <c r="DA5">
        <v>2.94</v>
      </c>
      <c r="DB5">
        <v>2.85</v>
      </c>
      <c r="DC5">
        <v>4.8099999999999996</v>
      </c>
      <c r="DD5">
        <v>4.4400000000000004</v>
      </c>
      <c r="DE5">
        <v>4.4000000000000004</v>
      </c>
      <c r="DF5" s="11">
        <v>3.75</v>
      </c>
      <c r="DG5">
        <v>3.3330000000000002</v>
      </c>
      <c r="DH5">
        <v>3.3879999999999999</v>
      </c>
      <c r="DI5">
        <v>3.536</v>
      </c>
      <c r="DJ5">
        <v>4.3970000000000002</v>
      </c>
      <c r="DK5">
        <v>4.133</v>
      </c>
      <c r="DL5">
        <v>4.0330000000000004</v>
      </c>
      <c r="DM5" t="s">
        <v>76</v>
      </c>
      <c r="DN5">
        <v>4</v>
      </c>
      <c r="DO5">
        <v>4.2770000000000001</v>
      </c>
      <c r="DP5">
        <v>3.246</v>
      </c>
      <c r="DQ5">
        <v>3.0150000000000001</v>
      </c>
      <c r="DR5">
        <v>2.9470000000000001</v>
      </c>
      <c r="DS5" s="11">
        <v>3.0489999999999999</v>
      </c>
      <c r="DT5" s="11">
        <v>2.9359999999999999</v>
      </c>
      <c r="DU5" s="11">
        <v>3.1360000000000001</v>
      </c>
      <c r="DV5" s="11">
        <v>3.2570000000000001</v>
      </c>
      <c r="DW5">
        <v>2.9329999999999998</v>
      </c>
      <c r="DX5">
        <v>3.0649999999999999</v>
      </c>
      <c r="DY5">
        <v>3.1379999999999999</v>
      </c>
      <c r="DZ5">
        <v>2.4049999999999998</v>
      </c>
      <c r="EA5">
        <v>2.3929999999999998</v>
      </c>
      <c r="EB5">
        <v>2.327</v>
      </c>
      <c r="EC5">
        <v>2.4489999999999998</v>
      </c>
      <c r="ED5">
        <v>2.2440000000000002</v>
      </c>
      <c r="EE5">
        <v>2.0339999999999998</v>
      </c>
      <c r="EF5">
        <v>2.8719999999999999</v>
      </c>
      <c r="EG5">
        <v>2.629</v>
      </c>
      <c r="EH5">
        <v>2.7240000000000002</v>
      </c>
      <c r="EI5">
        <v>2.758</v>
      </c>
      <c r="EJ5">
        <v>3.298</v>
      </c>
      <c r="EK5">
        <v>2.8889999999999998</v>
      </c>
      <c r="EL5">
        <v>3.032</v>
      </c>
      <c r="EM5">
        <v>2.847</v>
      </c>
      <c r="EN5">
        <v>2.7370000000000001</v>
      </c>
      <c r="EO5">
        <v>2.766</v>
      </c>
      <c r="EP5">
        <v>2.637</v>
      </c>
      <c r="EQ5">
        <v>2.4409999999999998</v>
      </c>
      <c r="ER5">
        <v>2.2069999999999999</v>
      </c>
      <c r="ES5">
        <v>2.1549999999999998</v>
      </c>
      <c r="ET5">
        <v>2.1549999999999998</v>
      </c>
      <c r="EU5">
        <v>2.4119999999999999</v>
      </c>
      <c r="EV5">
        <v>2.5710000000000002</v>
      </c>
      <c r="EW5">
        <v>2.282</v>
      </c>
      <c r="EX5">
        <v>2.3580000000000001</v>
      </c>
      <c r="EY5">
        <v>2.8109999999999999</v>
      </c>
      <c r="EZ5">
        <v>2.3199999999999998</v>
      </c>
      <c r="FA5">
        <v>2.331</v>
      </c>
      <c r="FB5">
        <v>2.1779999999999999</v>
      </c>
      <c r="FC5">
        <v>2.0310000000000001</v>
      </c>
      <c r="FD5">
        <v>2.9620000000000002</v>
      </c>
      <c r="FE5">
        <v>2.95</v>
      </c>
      <c r="FF5">
        <v>3.1139999999999999</v>
      </c>
      <c r="FG5">
        <v>2.8719999999999999</v>
      </c>
      <c r="FH5">
        <v>2.6680000000000001</v>
      </c>
      <c r="FI5">
        <v>2.714</v>
      </c>
      <c r="FJ5">
        <v>2.8410000000000002</v>
      </c>
      <c r="FK5">
        <v>2.976</v>
      </c>
      <c r="FL5">
        <v>2.883</v>
      </c>
      <c r="FM5">
        <v>2.9409999999999998</v>
      </c>
      <c r="FN5">
        <v>3.081</v>
      </c>
      <c r="FO5">
        <v>3.22</v>
      </c>
      <c r="FP5">
        <v>3.1619999999999999</v>
      </c>
      <c r="FQ5">
        <v>3.1360000000000001</v>
      </c>
      <c r="FR5">
        <v>2.9569999999999999</v>
      </c>
      <c r="FS5">
        <v>2.6589999999999998</v>
      </c>
      <c r="FT5">
        <v>3.0619999999999998</v>
      </c>
      <c r="FU5">
        <v>3.0670000000000002</v>
      </c>
      <c r="FV5">
        <v>3.0270000000000001</v>
      </c>
      <c r="FW5">
        <v>2.8119999999999998</v>
      </c>
      <c r="FX5">
        <v>2.1480000000000001</v>
      </c>
      <c r="FY5">
        <v>2.0430000000000001</v>
      </c>
      <c r="FZ5">
        <v>2.3220000000000001</v>
      </c>
      <c r="GA5" s="28">
        <v>2.2839999999999998</v>
      </c>
      <c r="GB5">
        <v>1.641</v>
      </c>
      <c r="GC5">
        <v>1.3680000000000001</v>
      </c>
      <c r="GD5">
        <v>1.5680000000000001</v>
      </c>
      <c r="GE5">
        <v>2.5489999999999999</v>
      </c>
      <c r="GF5">
        <v>2.629</v>
      </c>
      <c r="GG5">
        <v>2.153</v>
      </c>
      <c r="GH5">
        <v>2.2650000000000001</v>
      </c>
      <c r="GI5">
        <v>0</v>
      </c>
      <c r="GJ5">
        <v>1.64</v>
      </c>
      <c r="GK5">
        <v>0</v>
      </c>
      <c r="GL5">
        <v>2.77</v>
      </c>
      <c r="GM5">
        <v>2.5129999999999999</v>
      </c>
      <c r="GN5">
        <v>2.7810000000000001</v>
      </c>
      <c r="GO5">
        <v>2.6669999999999998</v>
      </c>
      <c r="GP5">
        <v>2.9129999999999998</v>
      </c>
      <c r="GQ5">
        <v>2.7810000000000001</v>
      </c>
      <c r="GR5">
        <v>2.9689999999999999</v>
      </c>
      <c r="GS5">
        <v>2.6960000000000002</v>
      </c>
      <c r="GT5">
        <v>2.5459999999999998</v>
      </c>
      <c r="GU5">
        <v>2.944</v>
      </c>
      <c r="GV5">
        <v>2.7629999999999999</v>
      </c>
      <c r="GW5">
        <v>2.7040000000000002</v>
      </c>
      <c r="GX5">
        <v>2.8460000000000001</v>
      </c>
      <c r="GY5">
        <v>3.1080000000000001</v>
      </c>
      <c r="GZ5">
        <v>2.6349999999999998</v>
      </c>
      <c r="HA5">
        <v>2.9780000000000002</v>
      </c>
      <c r="HB5">
        <v>2.9590000000000001</v>
      </c>
      <c r="HC5">
        <v>2.899</v>
      </c>
      <c r="HD5">
        <v>2.8439999999999999</v>
      </c>
      <c r="HE5">
        <v>2.931</v>
      </c>
      <c r="HF5">
        <v>2.8340000000000001</v>
      </c>
      <c r="HG5">
        <v>3.093</v>
      </c>
      <c r="HH5">
        <v>3.0179999999999998</v>
      </c>
      <c r="HI5">
        <v>2.9510000000000001</v>
      </c>
      <c r="HJ5">
        <v>3.0739999999999998</v>
      </c>
      <c r="HK5">
        <v>2.7050000000000001</v>
      </c>
      <c r="HL5">
        <v>2.9649999999999999</v>
      </c>
      <c r="HM5">
        <v>2.7440000000000002</v>
      </c>
      <c r="HN5">
        <v>3.2269999999999999</v>
      </c>
      <c r="HO5">
        <v>2.96</v>
      </c>
      <c r="HP5">
        <v>3.07</v>
      </c>
      <c r="HQ5">
        <v>3.4169999999999998</v>
      </c>
      <c r="HR5">
        <v>3.1880000000000002</v>
      </c>
      <c r="HS5">
        <v>3.319</v>
      </c>
      <c r="HT5">
        <v>3.4820000000000002</v>
      </c>
      <c r="HU5">
        <v>2.3839999999999999</v>
      </c>
      <c r="HV5">
        <v>2.8730000000000002</v>
      </c>
      <c r="HW5">
        <v>2.1240000000000001</v>
      </c>
      <c r="HX5">
        <v>2.2410000000000001</v>
      </c>
      <c r="HY5" s="11">
        <v>2.617</v>
      </c>
      <c r="HZ5" s="11">
        <v>2.4089999999999998</v>
      </c>
      <c r="IA5" s="11">
        <v>2.4260000000000002</v>
      </c>
      <c r="IB5">
        <v>2.7810000000000001</v>
      </c>
      <c r="IC5">
        <v>2.9780000000000002</v>
      </c>
      <c r="ID5">
        <v>2.847</v>
      </c>
      <c r="IE5">
        <v>2.105</v>
      </c>
      <c r="IF5">
        <v>2.4209999999999998</v>
      </c>
      <c r="IG5">
        <v>2.133</v>
      </c>
      <c r="IH5">
        <v>2.8029999999999999</v>
      </c>
      <c r="II5">
        <v>2.7559999999999998</v>
      </c>
      <c r="IJ5">
        <v>2.7</v>
      </c>
      <c r="IK5">
        <v>3.0169999999999999</v>
      </c>
      <c r="IL5">
        <v>3.097</v>
      </c>
      <c r="IM5">
        <v>2.855</v>
      </c>
      <c r="IN5">
        <v>3.8559999999999999</v>
      </c>
      <c r="IO5">
        <v>3.7170000000000001</v>
      </c>
      <c r="IP5">
        <v>3.778</v>
      </c>
      <c r="IQ5">
        <v>3.2189999999999999</v>
      </c>
      <c r="IR5">
        <v>3.2280000000000002</v>
      </c>
      <c r="IS5">
        <v>3.0529999999999999</v>
      </c>
      <c r="IT5">
        <v>2.5529999999999999</v>
      </c>
      <c r="IU5">
        <v>2.181</v>
      </c>
      <c r="IV5">
        <v>2.0979999999999999</v>
      </c>
      <c r="IW5">
        <v>2.9529999999999998</v>
      </c>
      <c r="IX5">
        <v>2.1850000000000001</v>
      </c>
      <c r="IY5">
        <v>2.5</v>
      </c>
      <c r="IZ5" s="11">
        <v>2.3540000000000001</v>
      </c>
      <c r="JA5" s="11">
        <v>1.97</v>
      </c>
      <c r="JB5" s="11">
        <v>2.6179999999999999</v>
      </c>
      <c r="JC5">
        <v>3.6669999999999998</v>
      </c>
      <c r="JD5">
        <v>2.5289999999999999</v>
      </c>
      <c r="JE5">
        <v>3.3450000000000002</v>
      </c>
      <c r="JF5">
        <v>3.28</v>
      </c>
      <c r="JG5">
        <v>3.4380000000000002</v>
      </c>
      <c r="JH5">
        <v>3.3279999999999998</v>
      </c>
      <c r="JI5">
        <v>3.2090000000000001</v>
      </c>
      <c r="JJ5">
        <v>3</v>
      </c>
      <c r="JK5">
        <v>2.9289999999999998</v>
      </c>
      <c r="JL5" s="11">
        <v>3.0350000000000001</v>
      </c>
      <c r="JM5" s="11">
        <v>2.8420000000000001</v>
      </c>
      <c r="JN5" s="11">
        <v>2.5710000000000002</v>
      </c>
      <c r="JO5" s="24">
        <v>1.8560000000000001</v>
      </c>
      <c r="JP5" s="24">
        <v>1.72</v>
      </c>
      <c r="JQ5" s="24">
        <v>2.052</v>
      </c>
      <c r="JR5" s="11">
        <v>3.2559999999999998</v>
      </c>
      <c r="JS5" s="11">
        <v>3.0880000000000001</v>
      </c>
      <c r="JT5" s="11">
        <v>3.39</v>
      </c>
      <c r="JU5" s="11">
        <v>3.0459999999999998</v>
      </c>
      <c r="JV5" s="11">
        <v>2.7280000000000002</v>
      </c>
      <c r="JW5" s="11">
        <v>3.14</v>
      </c>
      <c r="JX5" s="11">
        <v>2.7589999999999999</v>
      </c>
      <c r="JY5" s="11">
        <v>3.08</v>
      </c>
      <c r="JZ5" s="11">
        <v>2.7839999999999998</v>
      </c>
      <c r="KA5" s="11">
        <v>2.661</v>
      </c>
      <c r="KB5" s="11">
        <v>2.9020000000000001</v>
      </c>
      <c r="KC5" s="11">
        <v>2.6629999999999998</v>
      </c>
      <c r="KD5" s="11">
        <v>2.2829999999999999</v>
      </c>
      <c r="KE5" s="11">
        <v>0</v>
      </c>
      <c r="KF5" s="11">
        <v>2.5830000000000002</v>
      </c>
      <c r="KG5" s="11">
        <v>3.2160000000000002</v>
      </c>
      <c r="KH5" s="11">
        <v>3.6789999999999998</v>
      </c>
      <c r="KI5" s="11">
        <v>3.6589999999999998</v>
      </c>
      <c r="KJ5" s="11">
        <v>3.161</v>
      </c>
      <c r="KK5" s="11">
        <v>2.7549999999999999</v>
      </c>
      <c r="KL5" s="11">
        <v>3.25</v>
      </c>
      <c r="KM5" s="11">
        <v>3.3460000000000001</v>
      </c>
      <c r="KN5" s="11">
        <v>3.5539999999999998</v>
      </c>
      <c r="KO5" s="11">
        <v>2.9260000000000002</v>
      </c>
      <c r="KP5" s="11">
        <v>2.8519999999999999</v>
      </c>
      <c r="KQ5" s="11">
        <v>2.8029999999999999</v>
      </c>
      <c r="KR5" s="11">
        <v>2.8639999999999999</v>
      </c>
      <c r="KS5" s="11">
        <v>2.5150000000000001</v>
      </c>
      <c r="KT5">
        <v>3.016</v>
      </c>
      <c r="KU5">
        <v>3.1219999999999999</v>
      </c>
      <c r="KV5" s="42">
        <v>3.0419999999999998</v>
      </c>
      <c r="KW5" s="42">
        <v>2.34</v>
      </c>
      <c r="KX5" s="42">
        <v>2.5960000000000001</v>
      </c>
      <c r="KY5" s="42">
        <v>2.7719999999999998</v>
      </c>
      <c r="KZ5" s="42">
        <v>0</v>
      </c>
      <c r="LA5" s="42">
        <v>2.5219999999999998</v>
      </c>
      <c r="LB5" s="42">
        <v>2.04</v>
      </c>
      <c r="LC5" s="11">
        <v>0</v>
      </c>
      <c r="LD5" s="42">
        <v>0</v>
      </c>
      <c r="LE5" s="42">
        <v>3.0979999999999999</v>
      </c>
      <c r="LF5" s="42">
        <v>2.2610000000000001</v>
      </c>
      <c r="LG5" s="42">
        <v>0</v>
      </c>
      <c r="LH5" s="42">
        <v>0</v>
      </c>
      <c r="LI5" s="42">
        <v>2.5670000000000002</v>
      </c>
      <c r="LJ5" s="42">
        <v>2.7909999999999999</v>
      </c>
      <c r="LK5" s="42">
        <v>2.8919999999999999</v>
      </c>
      <c r="LL5" s="42">
        <v>2.6110000000000002</v>
      </c>
      <c r="LM5" s="42">
        <v>2.1320000000000001</v>
      </c>
      <c r="LN5" s="42">
        <v>2.7650000000000001</v>
      </c>
      <c r="LO5" s="42">
        <v>1.9259999999999999</v>
      </c>
      <c r="LP5" s="42">
        <v>1.9570000000000001</v>
      </c>
      <c r="LQ5" s="42">
        <v>1.4390000000000001</v>
      </c>
      <c r="LR5" s="42">
        <v>1.976</v>
      </c>
      <c r="LS5" s="42">
        <v>2.5139999999999998</v>
      </c>
      <c r="LT5" s="42">
        <v>2.4790000000000001</v>
      </c>
    </row>
    <row r="6" spans="1:332" x14ac:dyDescent="0.35">
      <c r="A6" s="11">
        <v>3.1</v>
      </c>
      <c r="B6" s="11">
        <v>3.71</v>
      </c>
      <c r="C6" s="11">
        <v>3.71</v>
      </c>
      <c r="D6">
        <v>1.64</v>
      </c>
      <c r="E6">
        <v>2.0299999999999998</v>
      </c>
      <c r="F6">
        <v>1.27</v>
      </c>
      <c r="G6">
        <v>1.25</v>
      </c>
      <c r="H6">
        <v>1.02</v>
      </c>
      <c r="I6">
        <v>1.27</v>
      </c>
      <c r="J6">
        <v>1.17</v>
      </c>
      <c r="K6">
        <v>1.58</v>
      </c>
      <c r="L6">
        <v>1.35</v>
      </c>
      <c r="M6">
        <v>2.4</v>
      </c>
      <c r="N6">
        <v>2.36</v>
      </c>
      <c r="O6">
        <v>1.42</v>
      </c>
      <c r="P6">
        <v>2.98</v>
      </c>
      <c r="Q6">
        <v>2.5299999999999998</v>
      </c>
      <c r="R6">
        <v>2.93</v>
      </c>
      <c r="S6">
        <v>2</v>
      </c>
      <c r="T6">
        <v>2.68</v>
      </c>
      <c r="U6">
        <v>2.42</v>
      </c>
      <c r="V6">
        <v>2.46</v>
      </c>
      <c r="W6">
        <v>2.44</v>
      </c>
      <c r="X6">
        <v>2.08</v>
      </c>
      <c r="Y6">
        <v>2.57</v>
      </c>
      <c r="Z6">
        <v>2.23</v>
      </c>
      <c r="AA6">
        <v>2.4500000000000002</v>
      </c>
      <c r="AB6">
        <v>3.21</v>
      </c>
      <c r="AC6" t="s">
        <v>76</v>
      </c>
      <c r="AD6">
        <v>3.12</v>
      </c>
      <c r="AE6">
        <v>1.69</v>
      </c>
      <c r="AF6">
        <v>2.2000000000000002</v>
      </c>
      <c r="AG6">
        <v>2.17</v>
      </c>
      <c r="AH6">
        <v>2.99</v>
      </c>
      <c r="AI6">
        <v>2.86</v>
      </c>
      <c r="AJ6">
        <v>3.38</v>
      </c>
      <c r="AK6">
        <v>4.0359999999999996</v>
      </c>
      <c r="AL6">
        <v>3.89</v>
      </c>
      <c r="AM6">
        <v>4.056</v>
      </c>
      <c r="AN6">
        <v>3.7120000000000002</v>
      </c>
      <c r="AO6">
        <v>3.7709999999999999</v>
      </c>
      <c r="AP6">
        <v>3.6890000000000001</v>
      </c>
      <c r="AQ6">
        <v>2.6920000000000002</v>
      </c>
      <c r="AR6">
        <v>2.6850000000000001</v>
      </c>
      <c r="AS6">
        <v>2.5470000000000002</v>
      </c>
      <c r="AT6" s="11">
        <v>1.9710000000000001</v>
      </c>
      <c r="AU6">
        <v>2.431</v>
      </c>
      <c r="AV6">
        <v>1.903</v>
      </c>
      <c r="AW6">
        <v>2.508</v>
      </c>
      <c r="AX6">
        <f>AVERAGE(4.332,4.173,3.474)</f>
        <v>3.9929999999999999</v>
      </c>
      <c r="AY6">
        <v>4.2789999999999999</v>
      </c>
      <c r="AZ6">
        <v>4.3319999999999999</v>
      </c>
      <c r="BA6">
        <v>2.0430000000000001</v>
      </c>
      <c r="BB6">
        <v>2.1669999999999998</v>
      </c>
      <c r="BC6">
        <v>2.056</v>
      </c>
      <c r="BD6">
        <v>1.6619999999999999</v>
      </c>
      <c r="BE6">
        <v>1.64</v>
      </c>
      <c r="BF6">
        <v>1.7529999999999999</v>
      </c>
      <c r="BG6">
        <v>2.617</v>
      </c>
      <c r="BH6">
        <v>1.89</v>
      </c>
      <c r="BI6">
        <v>2</v>
      </c>
      <c r="BJ6">
        <v>2.4420000000000002</v>
      </c>
      <c r="BK6"/>
      <c r="BL6">
        <v>0</v>
      </c>
      <c r="BM6">
        <v>2.2400000000000002</v>
      </c>
      <c r="BN6">
        <v>1.38</v>
      </c>
      <c r="BO6">
        <v>1.82</v>
      </c>
      <c r="BP6">
        <v>1.59</v>
      </c>
      <c r="BQ6">
        <v>0.27</v>
      </c>
      <c r="BR6">
        <v>1.37</v>
      </c>
      <c r="BS6">
        <v>2.63</v>
      </c>
      <c r="BT6">
        <v>2.61</v>
      </c>
      <c r="BU6">
        <v>2.76</v>
      </c>
      <c r="BV6">
        <v>2.16</v>
      </c>
      <c r="BW6">
        <v>1.22</v>
      </c>
      <c r="BX6">
        <v>1.1000000000000001</v>
      </c>
      <c r="BY6">
        <v>2.02</v>
      </c>
      <c r="BZ6">
        <v>1.94</v>
      </c>
      <c r="CA6">
        <v>2.37</v>
      </c>
      <c r="CB6">
        <v>1.6379999999999999</v>
      </c>
      <c r="CC6">
        <v>2.359</v>
      </c>
      <c r="CD6">
        <v>2.2559999999999998</v>
      </c>
      <c r="CE6">
        <v>1.635</v>
      </c>
      <c r="CF6">
        <v>1.788</v>
      </c>
      <c r="CG6">
        <v>0</v>
      </c>
      <c r="CH6">
        <v>0</v>
      </c>
      <c r="CI6">
        <v>1.909</v>
      </c>
      <c r="CJ6">
        <v>2.3490000000000002</v>
      </c>
      <c r="CK6">
        <v>2.097</v>
      </c>
      <c r="CL6">
        <v>1.841</v>
      </c>
      <c r="CM6">
        <v>2.11</v>
      </c>
      <c r="CN6">
        <v>2.3479999999999999</v>
      </c>
      <c r="CO6">
        <v>2.4449999999999998</v>
      </c>
      <c r="CP6">
        <v>2.1739999999999999</v>
      </c>
      <c r="CQ6" s="11">
        <v>2.9129999999999998</v>
      </c>
      <c r="CR6" s="11">
        <v>2.915</v>
      </c>
      <c r="CS6" s="11">
        <v>2.8620000000000001</v>
      </c>
      <c r="CT6">
        <v>2.694</v>
      </c>
      <c r="CU6">
        <v>2.7450000000000001</v>
      </c>
      <c r="CV6">
        <v>2.2719999999999998</v>
      </c>
      <c r="CW6">
        <v>2.0299999999999998</v>
      </c>
      <c r="CX6">
        <v>2.42</v>
      </c>
      <c r="CY6">
        <v>2.52</v>
      </c>
      <c r="CZ6">
        <v>2.73</v>
      </c>
      <c r="DA6">
        <v>2.39</v>
      </c>
      <c r="DB6">
        <v>2.0499999999999998</v>
      </c>
      <c r="DC6">
        <v>4.58</v>
      </c>
      <c r="DD6">
        <v>4.33</v>
      </c>
      <c r="DE6">
        <v>4.3499999999999996</v>
      </c>
      <c r="DF6" s="11">
        <v>3.351</v>
      </c>
      <c r="DG6">
        <v>2.758</v>
      </c>
      <c r="DH6">
        <v>1.867</v>
      </c>
      <c r="DI6">
        <v>2.3220000000000001</v>
      </c>
      <c r="DJ6">
        <v>4.3630000000000004</v>
      </c>
      <c r="DK6">
        <v>4.2990000000000004</v>
      </c>
      <c r="DL6">
        <v>3.476</v>
      </c>
      <c r="DM6" t="s">
        <v>76</v>
      </c>
      <c r="DN6">
        <v>4.2969999999999997</v>
      </c>
      <c r="DO6">
        <v>4.484</v>
      </c>
      <c r="DP6">
        <v>2.5739999999999998</v>
      </c>
      <c r="DQ6">
        <v>2.621</v>
      </c>
      <c r="DR6">
        <v>2.4420000000000002</v>
      </c>
      <c r="DS6" s="11">
        <v>2.593</v>
      </c>
      <c r="DT6" s="11">
        <v>2.5070000000000001</v>
      </c>
      <c r="DU6" s="11">
        <v>3.0470000000000002</v>
      </c>
      <c r="DV6" s="11">
        <v>2.7759999999999998</v>
      </c>
      <c r="DW6">
        <v>2.7839999999999998</v>
      </c>
      <c r="DX6">
        <v>3.07</v>
      </c>
      <c r="DY6">
        <v>3.0289999999999999</v>
      </c>
      <c r="DZ6">
        <v>1.6639999999999999</v>
      </c>
      <c r="EA6">
        <v>1.992</v>
      </c>
      <c r="EB6">
        <v>1.9410000000000001</v>
      </c>
      <c r="EC6">
        <v>1.6439999999999999</v>
      </c>
      <c r="ED6" t="s">
        <v>76</v>
      </c>
      <c r="EE6" t="s">
        <v>76</v>
      </c>
      <c r="EF6">
        <v>2.589</v>
      </c>
      <c r="EG6">
        <v>2.5179999999999998</v>
      </c>
      <c r="EH6">
        <v>2.3340000000000001</v>
      </c>
      <c r="EI6">
        <v>2.605</v>
      </c>
      <c r="EJ6">
        <v>2.0950000000000002</v>
      </c>
      <c r="EK6">
        <v>2.1720000000000002</v>
      </c>
      <c r="EL6">
        <v>2.1880000000000002</v>
      </c>
      <c r="EM6">
        <v>2.8959999999999999</v>
      </c>
      <c r="EN6">
        <v>2.6230000000000002</v>
      </c>
      <c r="EO6">
        <v>2.4620000000000002</v>
      </c>
      <c r="EP6" t="s">
        <v>76</v>
      </c>
      <c r="EQ6">
        <v>1.909</v>
      </c>
      <c r="ER6">
        <v>1.8859999999999999</v>
      </c>
      <c r="ES6">
        <v>2.157</v>
      </c>
      <c r="ET6">
        <v>0</v>
      </c>
      <c r="EU6">
        <v>1.1559999999999999</v>
      </c>
      <c r="EV6">
        <v>1.508</v>
      </c>
      <c r="EW6">
        <v>0</v>
      </c>
      <c r="EX6">
        <v>1.611</v>
      </c>
      <c r="EY6">
        <v>1.6910000000000001</v>
      </c>
      <c r="EZ6">
        <v>1.605</v>
      </c>
      <c r="FA6">
        <v>1.177</v>
      </c>
      <c r="FB6">
        <v>0</v>
      </c>
      <c r="FC6">
        <v>0</v>
      </c>
      <c r="FD6">
        <v>2.0640000000000001</v>
      </c>
      <c r="FE6">
        <v>2.222</v>
      </c>
      <c r="FF6">
        <v>2.8879999999999999</v>
      </c>
      <c r="FG6">
        <v>2.6589999999999998</v>
      </c>
      <c r="FH6">
        <v>2.5009999999999999</v>
      </c>
      <c r="FI6">
        <v>2.3860000000000001</v>
      </c>
      <c r="FJ6">
        <v>1.641</v>
      </c>
      <c r="FK6">
        <v>2.54</v>
      </c>
      <c r="FL6">
        <v>2.4740000000000002</v>
      </c>
      <c r="FM6">
        <v>2.6309999999999998</v>
      </c>
      <c r="FN6">
        <v>2.7040000000000002</v>
      </c>
      <c r="FO6">
        <v>2.911</v>
      </c>
      <c r="FP6">
        <v>2.976</v>
      </c>
      <c r="FQ6">
        <v>2.669</v>
      </c>
      <c r="FR6">
        <v>1.97</v>
      </c>
      <c r="FS6">
        <v>2.3759999999999999</v>
      </c>
      <c r="FT6">
        <v>2.35</v>
      </c>
      <c r="FU6">
        <v>2.3929999999999998</v>
      </c>
      <c r="FV6">
        <v>2.2210000000000001</v>
      </c>
      <c r="FW6">
        <v>2.4940000000000002</v>
      </c>
      <c r="FX6">
        <v>1.9970000000000001</v>
      </c>
      <c r="FY6">
        <v>1.704</v>
      </c>
      <c r="FZ6" t="s">
        <v>76</v>
      </c>
      <c r="GA6" s="28">
        <v>1.639</v>
      </c>
      <c r="GB6">
        <v>1.153</v>
      </c>
      <c r="GC6">
        <v>1.1020000000000001</v>
      </c>
      <c r="GD6">
        <v>1.026</v>
      </c>
      <c r="GE6">
        <v>2.1739999999999999</v>
      </c>
      <c r="GF6">
        <v>2.0009999999999999</v>
      </c>
      <c r="GG6">
        <v>1.6619999999999999</v>
      </c>
      <c r="GH6">
        <v>1.929</v>
      </c>
      <c r="GI6"/>
      <c r="GJ6">
        <v>0</v>
      </c>
      <c r="GL6">
        <v>2.6859999999999999</v>
      </c>
      <c r="GM6">
        <v>2.286</v>
      </c>
      <c r="GN6">
        <v>2.6709999999999998</v>
      </c>
      <c r="GO6">
        <v>2.4340000000000002</v>
      </c>
      <c r="GP6">
        <v>2.7250000000000001</v>
      </c>
      <c r="GQ6">
        <v>2.5070000000000001</v>
      </c>
      <c r="GR6">
        <v>2.6230000000000002</v>
      </c>
      <c r="GS6">
        <v>2.2709999999999999</v>
      </c>
      <c r="GT6">
        <v>2.0070000000000001</v>
      </c>
      <c r="GU6">
        <v>2.452</v>
      </c>
      <c r="GV6">
        <v>2.5179999999999998</v>
      </c>
      <c r="GW6">
        <v>2.262</v>
      </c>
      <c r="GX6">
        <v>2.262</v>
      </c>
      <c r="GY6">
        <v>2.83</v>
      </c>
      <c r="GZ6">
        <v>2.1760000000000002</v>
      </c>
      <c r="HA6">
        <v>2.7909999999999999</v>
      </c>
      <c r="HB6">
        <v>0</v>
      </c>
      <c r="HC6">
        <v>2.6669999999999998</v>
      </c>
      <c r="HD6">
        <v>2.3610000000000002</v>
      </c>
      <c r="HE6">
        <v>2.605</v>
      </c>
      <c r="HF6">
        <v>0</v>
      </c>
      <c r="HG6">
        <v>2.3959999999999999</v>
      </c>
      <c r="HH6">
        <v>2.46</v>
      </c>
      <c r="HI6">
        <v>2.6549999999999998</v>
      </c>
      <c r="HJ6">
        <v>2.5270000000000001</v>
      </c>
      <c r="HK6">
        <v>2.4079999999999999</v>
      </c>
      <c r="HL6">
        <v>2.6659999999999999</v>
      </c>
      <c r="HM6">
        <v>2.7010000000000001</v>
      </c>
      <c r="HN6">
        <v>2.9670000000000001</v>
      </c>
      <c r="HO6">
        <v>1.8540000000000001</v>
      </c>
      <c r="HP6">
        <v>3.1629999999999998</v>
      </c>
      <c r="HQ6">
        <v>2.9140000000000001</v>
      </c>
      <c r="HR6">
        <v>2.75</v>
      </c>
      <c r="HS6">
        <v>2.7570000000000001</v>
      </c>
      <c r="HT6">
        <v>3.13</v>
      </c>
      <c r="HU6">
        <v>1.5149999999999999</v>
      </c>
      <c r="HV6">
        <v>1.966</v>
      </c>
      <c r="HW6">
        <v>1.3919999999999999</v>
      </c>
      <c r="HX6">
        <v>1.5209999999999999</v>
      </c>
      <c r="HY6" s="11">
        <v>2.028</v>
      </c>
      <c r="HZ6" s="11">
        <v>1.976</v>
      </c>
      <c r="IA6" s="11">
        <v>1.681</v>
      </c>
      <c r="IB6">
        <v>2.2450000000000001</v>
      </c>
      <c r="IC6" t="s">
        <v>76</v>
      </c>
      <c r="ID6">
        <v>2.617</v>
      </c>
      <c r="IE6">
        <v>1.7290000000000001</v>
      </c>
      <c r="IF6">
        <v>1.752</v>
      </c>
      <c r="IG6">
        <v>1.5860000000000001</v>
      </c>
      <c r="IH6">
        <v>2.8180000000000001</v>
      </c>
      <c r="II6">
        <v>2.9039999999999999</v>
      </c>
      <c r="IJ6">
        <v>2.78</v>
      </c>
      <c r="IK6">
        <v>2.448</v>
      </c>
      <c r="IL6">
        <v>1.8</v>
      </c>
      <c r="IM6">
        <v>2.3690000000000002</v>
      </c>
      <c r="IN6">
        <v>3.0960000000000001</v>
      </c>
      <c r="IO6">
        <v>2.8359999999999999</v>
      </c>
      <c r="IP6">
        <v>2.7040000000000002</v>
      </c>
      <c r="IQ6">
        <v>2.9319999999999999</v>
      </c>
      <c r="IR6">
        <v>3.0310000000000001</v>
      </c>
      <c r="IS6">
        <v>1.8919999999999999</v>
      </c>
      <c r="IT6">
        <v>2.1059999999999999</v>
      </c>
      <c r="IU6">
        <v>1.68</v>
      </c>
      <c r="IV6">
        <v>1.399</v>
      </c>
      <c r="IW6">
        <v>2.81</v>
      </c>
      <c r="IX6">
        <v>1.831</v>
      </c>
      <c r="IY6">
        <v>2.0699999999999998</v>
      </c>
      <c r="IZ6" s="11">
        <v>2.13</v>
      </c>
      <c r="JA6" s="11">
        <v>1.7270000000000001</v>
      </c>
      <c r="JB6" s="11">
        <v>2.0960000000000001</v>
      </c>
      <c r="JC6">
        <v>1.3520000000000001</v>
      </c>
      <c r="JD6">
        <v>1.573</v>
      </c>
      <c r="JE6">
        <v>2.0470000000000002</v>
      </c>
      <c r="JF6">
        <v>2.9319999999999999</v>
      </c>
      <c r="JG6">
        <v>3.226</v>
      </c>
      <c r="JH6">
        <v>3.032</v>
      </c>
      <c r="JI6">
        <v>3.0609999999999999</v>
      </c>
      <c r="JJ6">
        <v>2.6880000000000002</v>
      </c>
      <c r="JK6">
        <v>2.5819999999999999</v>
      </c>
      <c r="JL6" s="11">
        <v>2.3119999999999998</v>
      </c>
      <c r="JM6" s="11">
        <v>2.3889999999999998</v>
      </c>
      <c r="JN6" s="11">
        <v>2.0920000000000001</v>
      </c>
      <c r="JO6" s="24">
        <v>1.482</v>
      </c>
      <c r="JP6" s="24">
        <v>1.4179999999999999</v>
      </c>
      <c r="JQ6" s="24">
        <v>1.8480000000000001</v>
      </c>
      <c r="JR6" s="11">
        <v>2.625</v>
      </c>
      <c r="JS6" s="11">
        <v>2.891</v>
      </c>
      <c r="JT6" s="11">
        <v>2.9889999999999999</v>
      </c>
      <c r="JU6" s="11">
        <v>2.524</v>
      </c>
      <c r="JV6" s="11">
        <v>2.3879999999999999</v>
      </c>
      <c r="JW6" s="11">
        <v>2.7890000000000001</v>
      </c>
      <c r="JX6" s="11">
        <v>2.59</v>
      </c>
      <c r="JY6" s="11">
        <v>2.2570000000000001</v>
      </c>
      <c r="JZ6" s="11">
        <v>2.512</v>
      </c>
      <c r="KA6" s="11">
        <v>2.585</v>
      </c>
      <c r="KB6" s="11">
        <v>2.5270000000000001</v>
      </c>
      <c r="KC6" s="11">
        <v>2.032</v>
      </c>
      <c r="KD6" s="11">
        <v>0</v>
      </c>
      <c r="KF6" s="11">
        <v>1.3120000000000001</v>
      </c>
      <c r="KG6" s="11">
        <v>1.8480000000000001</v>
      </c>
      <c r="KH6" s="11">
        <v>2.383</v>
      </c>
      <c r="KI6" s="11">
        <v>2.8239999999999998</v>
      </c>
      <c r="KJ6" s="11">
        <v>1.4139999999999999</v>
      </c>
      <c r="KK6" s="11">
        <v>1.623</v>
      </c>
      <c r="KL6" s="11">
        <v>2.843</v>
      </c>
      <c r="KM6" s="11">
        <v>2.6760000000000002</v>
      </c>
      <c r="KN6" s="11">
        <v>3.06</v>
      </c>
      <c r="KO6" s="11">
        <v>2.415</v>
      </c>
      <c r="KP6" s="11">
        <v>2.4750000000000001</v>
      </c>
      <c r="KQ6" s="11">
        <v>2.6379999999999999</v>
      </c>
      <c r="KR6" s="11">
        <v>2.5550000000000002</v>
      </c>
      <c r="KS6" s="11">
        <v>2.1850000000000001</v>
      </c>
      <c r="KT6">
        <v>2.2970000000000002</v>
      </c>
      <c r="KU6">
        <v>2.5449999999999999</v>
      </c>
      <c r="KV6" s="42">
        <v>2.81</v>
      </c>
      <c r="KW6" s="42">
        <v>1.03</v>
      </c>
      <c r="KX6" s="42">
        <v>1.7549999999999999</v>
      </c>
      <c r="KY6" s="42">
        <v>1.1879999999999999</v>
      </c>
      <c r="LA6" s="42">
        <v>2.1480000000000001</v>
      </c>
      <c r="LB6" s="42">
        <v>1.653</v>
      </c>
      <c r="LE6" s="42">
        <v>0</v>
      </c>
      <c r="LF6" s="42">
        <v>0</v>
      </c>
      <c r="LI6" s="42">
        <v>0.55000000000000004</v>
      </c>
      <c r="LJ6" s="42">
        <v>2.4359999999999999</v>
      </c>
      <c r="LK6" s="42">
        <v>0</v>
      </c>
      <c r="LL6" s="42">
        <v>0</v>
      </c>
      <c r="LM6" s="42">
        <v>1.359</v>
      </c>
      <c r="LN6" s="42">
        <v>2.0099999999999998</v>
      </c>
      <c r="LO6" s="42">
        <v>1.268</v>
      </c>
      <c r="LP6" s="42">
        <v>1.754</v>
      </c>
      <c r="LQ6" s="42">
        <v>1.0620000000000001</v>
      </c>
      <c r="LR6" s="42">
        <v>1.4510000000000001</v>
      </c>
      <c r="LS6" s="42">
        <v>1.387</v>
      </c>
      <c r="LT6" s="42">
        <v>1.5840000000000001</v>
      </c>
    </row>
    <row r="7" spans="1:332" x14ac:dyDescent="0.35">
      <c r="A7" s="11">
        <v>2.5</v>
      </c>
      <c r="B7" s="11">
        <v>3.1</v>
      </c>
      <c r="C7" s="11">
        <v>2.81</v>
      </c>
      <c r="D7">
        <v>1.45</v>
      </c>
      <c r="E7">
        <v>0.89</v>
      </c>
      <c r="F7">
        <v>0.48</v>
      </c>
      <c r="G7">
        <v>0</v>
      </c>
      <c r="H7">
        <v>0</v>
      </c>
      <c r="I7">
        <v>0</v>
      </c>
      <c r="J7">
        <v>0</v>
      </c>
      <c r="K7">
        <v>0</v>
      </c>
      <c r="L7">
        <v>0</v>
      </c>
      <c r="M7">
        <v>0.97</v>
      </c>
      <c r="N7">
        <v>0.76</v>
      </c>
      <c r="O7">
        <v>0</v>
      </c>
      <c r="P7">
        <v>2.73</v>
      </c>
      <c r="Q7">
        <v>2.25</v>
      </c>
      <c r="R7">
        <v>1.91</v>
      </c>
      <c r="S7">
        <v>1.02</v>
      </c>
      <c r="T7">
        <v>1.94</v>
      </c>
      <c r="U7">
        <v>1.56</v>
      </c>
      <c r="V7">
        <v>1.68</v>
      </c>
      <c r="W7">
        <v>1.62</v>
      </c>
      <c r="X7">
        <v>1.24</v>
      </c>
      <c r="Y7">
        <v>1.75</v>
      </c>
      <c r="Z7">
        <v>1.1100000000000001</v>
      </c>
      <c r="AA7">
        <v>1.77</v>
      </c>
      <c r="AB7">
        <v>3.08</v>
      </c>
      <c r="AC7" t="s">
        <v>76</v>
      </c>
      <c r="AD7">
        <v>2.81</v>
      </c>
      <c r="AE7">
        <v>0</v>
      </c>
      <c r="AF7">
        <v>1.74</v>
      </c>
      <c r="AG7">
        <v>0.99</v>
      </c>
      <c r="AH7">
        <v>1.32</v>
      </c>
      <c r="AI7">
        <v>1.87</v>
      </c>
      <c r="AJ7">
        <v>2.7</v>
      </c>
      <c r="AK7">
        <v>2.907</v>
      </c>
      <c r="AL7">
        <v>1.6359999999999999</v>
      </c>
      <c r="AM7">
        <v>2.8929999999999998</v>
      </c>
      <c r="AN7">
        <v>3.0619999999999998</v>
      </c>
      <c r="AO7">
        <v>2.8410000000000002</v>
      </c>
      <c r="AP7">
        <v>2.8889999999999998</v>
      </c>
      <c r="AQ7">
        <v>1.621</v>
      </c>
      <c r="AR7">
        <v>1.825</v>
      </c>
      <c r="AS7">
        <v>1.2749999999999999</v>
      </c>
      <c r="AT7" s="11">
        <v>0</v>
      </c>
      <c r="AU7">
        <v>0.92300000000000004</v>
      </c>
      <c r="AV7">
        <v>0.75</v>
      </c>
      <c r="AW7">
        <v>1.0489999999999999</v>
      </c>
      <c r="AX7">
        <f>AVERAGE(3.976,4.367,2.822,3.543)</f>
        <v>3.6769999999999996</v>
      </c>
      <c r="AY7" t="s">
        <v>76</v>
      </c>
      <c r="AZ7">
        <v>4.3099999999999996</v>
      </c>
      <c r="BA7">
        <v>0</v>
      </c>
      <c r="BB7">
        <v>0</v>
      </c>
      <c r="BC7">
        <v>1.4059999999999999</v>
      </c>
      <c r="BD7">
        <v>0</v>
      </c>
      <c r="BE7">
        <v>1.2629999999999999</v>
      </c>
      <c r="BF7">
        <v>1.4590000000000001</v>
      </c>
      <c r="BG7">
        <v>2.3149999999999999</v>
      </c>
      <c r="BH7">
        <v>0</v>
      </c>
      <c r="BI7">
        <v>1.7270000000000001</v>
      </c>
      <c r="BJ7">
        <v>0</v>
      </c>
      <c r="BK7"/>
      <c r="BL7"/>
      <c r="BM7">
        <v>1.45</v>
      </c>
      <c r="BN7">
        <v>0</v>
      </c>
      <c r="BO7">
        <v>1.05</v>
      </c>
      <c r="BP7">
        <v>0.48</v>
      </c>
      <c r="BQ7">
        <v>0</v>
      </c>
      <c r="BR7">
        <v>0</v>
      </c>
      <c r="BS7">
        <v>2.15</v>
      </c>
      <c r="BT7">
        <v>1.5</v>
      </c>
      <c r="BU7">
        <v>2.41</v>
      </c>
      <c r="BV7">
        <v>1.25</v>
      </c>
      <c r="BW7">
        <v>0</v>
      </c>
      <c r="BX7">
        <v>0</v>
      </c>
      <c r="BY7">
        <v>0</v>
      </c>
      <c r="BZ7">
        <v>1.68</v>
      </c>
      <c r="CA7">
        <v>1.29</v>
      </c>
      <c r="CB7">
        <v>0</v>
      </c>
      <c r="CC7">
        <v>1.6419999999999999</v>
      </c>
      <c r="CD7">
        <v>2.0219999999999998</v>
      </c>
      <c r="CE7">
        <v>1.6539999999999999</v>
      </c>
      <c r="CF7">
        <v>1.706</v>
      </c>
      <c r="CG7"/>
      <c r="CH7"/>
      <c r="CI7">
        <v>1.2649999999999999</v>
      </c>
      <c r="CJ7">
        <v>1.8089999999999999</v>
      </c>
      <c r="CK7">
        <v>1.498</v>
      </c>
      <c r="CL7">
        <v>1.393</v>
      </c>
      <c r="CM7">
        <v>0.79100000000000004</v>
      </c>
      <c r="CN7">
        <v>1.6819999999999999</v>
      </c>
      <c r="CO7">
        <v>1.956</v>
      </c>
      <c r="CP7">
        <v>1.4930000000000001</v>
      </c>
      <c r="CQ7" s="11">
        <v>1.619</v>
      </c>
      <c r="CR7" s="11">
        <v>1.881</v>
      </c>
      <c r="CS7" s="11">
        <v>1.7549999999999999</v>
      </c>
      <c r="CT7">
        <v>0</v>
      </c>
      <c r="CU7">
        <v>1.05</v>
      </c>
      <c r="CV7">
        <v>0</v>
      </c>
      <c r="CW7">
        <v>1.22</v>
      </c>
      <c r="CX7">
        <v>2.0499999999999998</v>
      </c>
      <c r="CY7">
        <v>1.63</v>
      </c>
      <c r="CZ7">
        <v>1.06</v>
      </c>
      <c r="DA7">
        <v>1.85</v>
      </c>
      <c r="DB7">
        <v>1.43</v>
      </c>
      <c r="DC7">
        <v>4.79</v>
      </c>
      <c r="DD7">
        <v>4.24</v>
      </c>
      <c r="DE7">
        <v>4.0999999999999996</v>
      </c>
      <c r="DF7" s="11">
        <v>1.764</v>
      </c>
      <c r="DG7">
        <v>0</v>
      </c>
      <c r="DH7">
        <v>0</v>
      </c>
      <c r="DI7">
        <v>0</v>
      </c>
      <c r="DJ7">
        <v>3.407</v>
      </c>
      <c r="DK7" t="s">
        <v>76</v>
      </c>
      <c r="DL7">
        <v>3.2</v>
      </c>
      <c r="DM7">
        <v>3.6720000000000002</v>
      </c>
      <c r="DN7">
        <v>3.4380000000000002</v>
      </c>
      <c r="DO7">
        <v>3.444</v>
      </c>
      <c r="DP7">
        <v>1.853</v>
      </c>
      <c r="DQ7">
        <v>1.925</v>
      </c>
      <c r="DR7">
        <v>1.742</v>
      </c>
      <c r="DS7" s="11">
        <v>1.83</v>
      </c>
      <c r="DT7" s="11">
        <v>1.915</v>
      </c>
      <c r="DU7" s="11">
        <v>2.6</v>
      </c>
      <c r="DV7" s="11">
        <v>2.4940000000000002</v>
      </c>
      <c r="DW7">
        <v>2.6309999999999998</v>
      </c>
      <c r="DX7">
        <v>2.62</v>
      </c>
      <c r="DY7">
        <v>3.03</v>
      </c>
      <c r="DZ7">
        <v>1.363</v>
      </c>
      <c r="EA7">
        <v>1.4430000000000001</v>
      </c>
      <c r="EB7">
        <v>1.5</v>
      </c>
      <c r="EC7">
        <v>0</v>
      </c>
      <c r="ED7">
        <v>0</v>
      </c>
      <c r="EE7">
        <v>0</v>
      </c>
      <c r="EF7">
        <v>2.0139999999999998</v>
      </c>
      <c r="EG7">
        <v>2.407</v>
      </c>
      <c r="EH7">
        <v>1.9650000000000001</v>
      </c>
      <c r="EI7">
        <v>0</v>
      </c>
      <c r="EJ7">
        <v>0</v>
      </c>
      <c r="EK7">
        <v>0</v>
      </c>
      <c r="EL7">
        <v>0</v>
      </c>
      <c r="EM7">
        <v>2.4369999999999998</v>
      </c>
      <c r="EN7">
        <v>2.181</v>
      </c>
      <c r="EO7">
        <v>0</v>
      </c>
      <c r="EP7">
        <v>1.665</v>
      </c>
      <c r="EQ7">
        <v>1.383</v>
      </c>
      <c r="ER7">
        <v>0</v>
      </c>
      <c r="ES7">
        <v>0</v>
      </c>
      <c r="ET7"/>
      <c r="EU7">
        <v>0</v>
      </c>
      <c r="EV7">
        <v>0</v>
      </c>
      <c r="EW7"/>
      <c r="EX7">
        <v>0</v>
      </c>
      <c r="EY7">
        <v>0</v>
      </c>
      <c r="EZ7">
        <v>0</v>
      </c>
      <c r="FA7">
        <v>0</v>
      </c>
      <c r="FB7"/>
      <c r="FC7"/>
      <c r="FD7">
        <v>0</v>
      </c>
      <c r="FE7">
        <v>0</v>
      </c>
      <c r="FF7">
        <v>2.5819999999999999</v>
      </c>
      <c r="FG7">
        <v>2.0259999999999998</v>
      </c>
      <c r="FH7">
        <v>2.0859999999999999</v>
      </c>
      <c r="FI7">
        <v>1.9059999999999999</v>
      </c>
      <c r="FJ7">
        <v>0</v>
      </c>
      <c r="FK7">
        <v>2.3650000000000002</v>
      </c>
      <c r="FL7">
        <v>2.149</v>
      </c>
      <c r="FM7">
        <v>2.3010000000000002</v>
      </c>
      <c r="FN7">
        <v>2.2029999999999998</v>
      </c>
      <c r="FO7">
        <v>2.407</v>
      </c>
      <c r="FP7">
        <v>2.6179999999999999</v>
      </c>
      <c r="FQ7">
        <v>1.7649999999999999</v>
      </c>
      <c r="FR7">
        <v>0.67600000000000005</v>
      </c>
      <c r="FS7">
        <v>1.528</v>
      </c>
      <c r="FT7">
        <v>1.3</v>
      </c>
      <c r="FU7">
        <v>1.47</v>
      </c>
      <c r="FV7">
        <v>0</v>
      </c>
      <c r="FW7">
        <v>1.8149999999999999</v>
      </c>
      <c r="FX7">
        <v>1.1479999999999999</v>
      </c>
      <c r="FY7">
        <v>1.4570000000000001</v>
      </c>
      <c r="FZ7">
        <v>1.375</v>
      </c>
      <c r="GA7" s="28">
        <v>1.256</v>
      </c>
      <c r="GB7">
        <v>0.94199999999999995</v>
      </c>
      <c r="GC7">
        <v>0.84099999999999997</v>
      </c>
      <c r="GD7">
        <v>0.71299999999999997</v>
      </c>
      <c r="GE7">
        <v>1.409</v>
      </c>
      <c r="GF7">
        <v>1.4790000000000001</v>
      </c>
      <c r="GG7">
        <v>0</v>
      </c>
      <c r="GH7">
        <v>1.506</v>
      </c>
      <c r="GL7">
        <v>2.577</v>
      </c>
      <c r="GM7">
        <v>2.0590000000000002</v>
      </c>
      <c r="GN7">
        <v>2.4769999999999999</v>
      </c>
      <c r="GO7">
        <v>1.7749999999999999</v>
      </c>
      <c r="GP7">
        <v>1.792</v>
      </c>
      <c r="GQ7">
        <v>1.9379999999999999</v>
      </c>
      <c r="GR7">
        <v>1.5720000000000001</v>
      </c>
      <c r="GS7">
        <v>0</v>
      </c>
      <c r="GT7">
        <v>0</v>
      </c>
      <c r="GU7">
        <v>0</v>
      </c>
      <c r="GV7">
        <v>0</v>
      </c>
      <c r="GW7">
        <v>0</v>
      </c>
      <c r="GX7">
        <v>0</v>
      </c>
      <c r="GY7">
        <v>2.19</v>
      </c>
      <c r="GZ7">
        <v>1.825</v>
      </c>
      <c r="HA7">
        <v>2.2200000000000002</v>
      </c>
      <c r="HB7"/>
      <c r="HC7">
        <v>2.177</v>
      </c>
      <c r="HD7">
        <v>1.847</v>
      </c>
      <c r="HE7">
        <v>0</v>
      </c>
      <c r="HF7"/>
      <c r="HG7">
        <v>1.756</v>
      </c>
      <c r="HH7">
        <v>2.0449999999999999</v>
      </c>
      <c r="HI7">
        <v>2.0070000000000001</v>
      </c>
      <c r="HJ7">
        <v>0</v>
      </c>
      <c r="HK7">
        <v>1.8380000000000001</v>
      </c>
      <c r="HL7">
        <v>0</v>
      </c>
      <c r="HM7">
        <v>2.125</v>
      </c>
      <c r="HN7">
        <v>0.83</v>
      </c>
      <c r="HO7">
        <v>0</v>
      </c>
      <c r="HP7">
        <v>2.6389999999999998</v>
      </c>
      <c r="HQ7">
        <v>1.8180000000000001</v>
      </c>
      <c r="HR7">
        <v>1.9730000000000001</v>
      </c>
      <c r="HS7">
        <v>1.345</v>
      </c>
      <c r="HT7">
        <v>2.141</v>
      </c>
      <c r="HU7">
        <v>0</v>
      </c>
      <c r="HV7">
        <v>0</v>
      </c>
      <c r="HW7">
        <v>0</v>
      </c>
      <c r="HX7">
        <v>0</v>
      </c>
      <c r="HY7" s="11">
        <v>0</v>
      </c>
      <c r="HZ7" s="11">
        <v>1.3</v>
      </c>
      <c r="IA7" s="11">
        <v>0</v>
      </c>
      <c r="IB7">
        <v>1.099</v>
      </c>
      <c r="IC7">
        <v>1.9319999999999999</v>
      </c>
      <c r="ID7">
        <v>0.78700000000000003</v>
      </c>
      <c r="IE7">
        <v>1.145</v>
      </c>
      <c r="IF7">
        <v>1.272</v>
      </c>
      <c r="IG7">
        <v>0</v>
      </c>
      <c r="IH7">
        <v>1.617</v>
      </c>
      <c r="II7">
        <v>2.1190000000000002</v>
      </c>
      <c r="IJ7">
        <v>1.8680000000000001</v>
      </c>
      <c r="IK7">
        <v>1.6180000000000001</v>
      </c>
      <c r="IL7">
        <v>0</v>
      </c>
      <c r="IM7">
        <v>0</v>
      </c>
      <c r="IN7" t="s">
        <v>76</v>
      </c>
      <c r="IO7">
        <v>2.4929999999999999</v>
      </c>
      <c r="IP7">
        <v>1.944</v>
      </c>
      <c r="IQ7">
        <v>2.5710000000000002</v>
      </c>
      <c r="IR7">
        <v>2.891</v>
      </c>
      <c r="IS7">
        <v>0</v>
      </c>
      <c r="IT7">
        <v>1.6020000000000001</v>
      </c>
      <c r="IU7">
        <v>0.96199999999999997</v>
      </c>
      <c r="IV7">
        <v>0.88800000000000001</v>
      </c>
      <c r="IW7">
        <v>2.73</v>
      </c>
      <c r="IX7">
        <v>1.3620000000000001</v>
      </c>
      <c r="IY7">
        <v>0.91700000000000004</v>
      </c>
      <c r="IZ7" s="11">
        <v>2.008</v>
      </c>
      <c r="JA7" s="11">
        <v>0.71199999999999997</v>
      </c>
      <c r="JB7" s="11">
        <v>1.603</v>
      </c>
      <c r="JC7">
        <v>0.54700000000000004</v>
      </c>
      <c r="JD7">
        <v>0.45900000000000002</v>
      </c>
      <c r="JE7">
        <v>0.92100000000000004</v>
      </c>
      <c r="JF7">
        <v>2.8809999999999998</v>
      </c>
      <c r="JG7">
        <v>2.7170000000000001</v>
      </c>
      <c r="JH7">
        <v>0.93400000000000005</v>
      </c>
      <c r="JI7">
        <v>2.9529999999999998</v>
      </c>
      <c r="JJ7">
        <v>1.7909999999999999</v>
      </c>
      <c r="JK7">
        <v>1.9350000000000001</v>
      </c>
      <c r="JL7" s="11">
        <v>1.2649999999999999</v>
      </c>
      <c r="JM7" s="11">
        <v>2.0350000000000001</v>
      </c>
      <c r="JN7" s="11">
        <v>1.8149999999999999</v>
      </c>
      <c r="JO7" s="24">
        <v>0.73399999999999999</v>
      </c>
      <c r="JP7" s="24">
        <v>0</v>
      </c>
      <c r="JQ7" s="24">
        <v>0.83199999999999996</v>
      </c>
      <c r="JR7" s="11">
        <v>1.768</v>
      </c>
      <c r="JS7" s="11">
        <v>2.2599999999999998</v>
      </c>
      <c r="JT7" s="11">
        <v>2.9340000000000002</v>
      </c>
      <c r="JU7" s="11">
        <v>0</v>
      </c>
      <c r="JV7" s="11">
        <v>2.0449999999999999</v>
      </c>
      <c r="JW7" s="11">
        <v>2.4969999999999999</v>
      </c>
      <c r="JX7" s="11">
        <v>2.5630000000000002</v>
      </c>
      <c r="JY7" s="11">
        <v>1.4510000000000001</v>
      </c>
      <c r="JZ7" s="11">
        <v>2.11</v>
      </c>
      <c r="KA7" s="11">
        <v>1.843</v>
      </c>
      <c r="KB7" s="11">
        <v>1.4510000000000001</v>
      </c>
      <c r="KF7" s="11">
        <v>0.71399999999999997</v>
      </c>
      <c r="KG7" s="11">
        <v>1.335</v>
      </c>
      <c r="KH7" s="11">
        <v>1.5429999999999999</v>
      </c>
      <c r="KI7" s="11">
        <v>1.9910000000000001</v>
      </c>
      <c r="KJ7" s="11">
        <v>0</v>
      </c>
      <c r="KK7" s="11">
        <v>0</v>
      </c>
      <c r="KL7" s="11">
        <v>1.0389999999999999</v>
      </c>
      <c r="KM7" s="11">
        <v>1.573</v>
      </c>
      <c r="KN7" s="11">
        <v>2.3780000000000001</v>
      </c>
      <c r="KO7" s="11">
        <v>0</v>
      </c>
      <c r="KP7" s="11">
        <v>0</v>
      </c>
      <c r="KQ7" s="11">
        <v>0</v>
      </c>
      <c r="KR7" s="11">
        <v>0</v>
      </c>
      <c r="KS7" s="11">
        <v>0</v>
      </c>
      <c r="KT7">
        <v>0</v>
      </c>
      <c r="KU7">
        <v>0</v>
      </c>
      <c r="KV7" s="42">
        <v>0</v>
      </c>
      <c r="KW7" s="42">
        <v>0</v>
      </c>
      <c r="KX7" s="42">
        <v>0</v>
      </c>
      <c r="KY7" s="42">
        <v>0</v>
      </c>
      <c r="LA7" s="42">
        <v>0</v>
      </c>
      <c r="LB7" s="42">
        <v>0</v>
      </c>
      <c r="LI7" s="42">
        <v>0</v>
      </c>
      <c r="LJ7" s="42">
        <v>0</v>
      </c>
      <c r="LM7" s="42">
        <v>1.3149999999999999</v>
      </c>
      <c r="LN7" s="42">
        <v>1.3160000000000001</v>
      </c>
      <c r="LO7" s="42">
        <v>0.97599999999999998</v>
      </c>
      <c r="LP7" s="42">
        <v>1.1559999999999999</v>
      </c>
      <c r="LQ7" s="42">
        <v>0</v>
      </c>
      <c r="LR7" s="42">
        <v>1.1080000000000001</v>
      </c>
      <c r="LS7" s="42">
        <v>0</v>
      </c>
      <c r="LT7" s="42">
        <v>0</v>
      </c>
    </row>
    <row r="8" spans="1:332" x14ac:dyDescent="0.35">
      <c r="A8" s="11">
        <v>0</v>
      </c>
      <c r="B8" s="11">
        <v>2.2000000000000002</v>
      </c>
      <c r="C8" s="11">
        <v>2.2999999999999998</v>
      </c>
      <c r="D8">
        <v>0.86</v>
      </c>
      <c r="E8">
        <v>0.43</v>
      </c>
      <c r="F8">
        <v>0</v>
      </c>
      <c r="M8">
        <v>0</v>
      </c>
      <c r="N8">
        <v>0</v>
      </c>
      <c r="O8"/>
      <c r="P8">
        <v>0</v>
      </c>
      <c r="Q8">
        <v>1.1100000000000001</v>
      </c>
      <c r="R8">
        <v>0</v>
      </c>
      <c r="S8">
        <v>0.31</v>
      </c>
      <c r="T8">
        <v>0.97</v>
      </c>
      <c r="U8">
        <v>0.75</v>
      </c>
      <c r="V8">
        <v>0</v>
      </c>
      <c r="W8">
        <v>0</v>
      </c>
      <c r="X8">
        <v>0.66</v>
      </c>
      <c r="Y8">
        <v>0.56999999999999995</v>
      </c>
      <c r="Z8">
        <v>0</v>
      </c>
      <c r="AA8">
        <v>0</v>
      </c>
      <c r="AB8">
        <v>2.88</v>
      </c>
      <c r="AC8" t="s">
        <v>76</v>
      </c>
      <c r="AD8">
        <v>2.5099999999999998</v>
      </c>
      <c r="AE8"/>
      <c r="AF8">
        <v>0</v>
      </c>
      <c r="AG8">
        <v>0</v>
      </c>
      <c r="AH8">
        <v>0.57999999999999996</v>
      </c>
      <c r="AI8">
        <v>0.71</v>
      </c>
      <c r="AJ8">
        <v>0.56999999999999995</v>
      </c>
      <c r="AK8">
        <v>1.9339999999999999</v>
      </c>
      <c r="AL8">
        <v>0.61299999999999999</v>
      </c>
      <c r="AM8">
        <v>1.9370000000000001</v>
      </c>
      <c r="AN8">
        <v>1.325</v>
      </c>
      <c r="AO8">
        <v>1.224</v>
      </c>
      <c r="AP8">
        <v>1.363</v>
      </c>
      <c r="AQ8">
        <v>0.83099999999999996</v>
      </c>
      <c r="AR8">
        <v>0.86799999999999999</v>
      </c>
      <c r="AS8">
        <v>0</v>
      </c>
      <c r="AT8"/>
      <c r="AU8">
        <v>0</v>
      </c>
      <c r="AV8">
        <v>0</v>
      </c>
      <c r="AW8">
        <v>0</v>
      </c>
      <c r="AX8">
        <f>AVERAGE(3.055,2.235,1.456)</f>
        <v>2.2486666666666668</v>
      </c>
      <c r="AY8">
        <v>2.0009999999999999</v>
      </c>
      <c r="AZ8">
        <v>1.7450000000000001</v>
      </c>
      <c r="BA8"/>
      <c r="BB8"/>
      <c r="BC8">
        <v>0</v>
      </c>
      <c r="BD8"/>
      <c r="BE8">
        <v>0</v>
      </c>
      <c r="BF8">
        <v>0</v>
      </c>
      <c r="BG8">
        <v>2.04</v>
      </c>
      <c r="BH8"/>
      <c r="BI8">
        <v>0</v>
      </c>
      <c r="BM8">
        <v>0</v>
      </c>
      <c r="BN8"/>
      <c r="BO8">
        <v>0</v>
      </c>
      <c r="BP8">
        <v>0</v>
      </c>
      <c r="BQ8"/>
      <c r="BR8"/>
      <c r="BS8">
        <v>1.42</v>
      </c>
      <c r="BT8">
        <v>0.89</v>
      </c>
      <c r="BU8">
        <v>1.71</v>
      </c>
      <c r="BV8">
        <v>0</v>
      </c>
      <c r="BW8"/>
      <c r="BX8"/>
      <c r="BY8"/>
      <c r="BZ8">
        <v>0</v>
      </c>
      <c r="CA8">
        <v>0</v>
      </c>
      <c r="CB8"/>
      <c r="CC8">
        <v>0</v>
      </c>
      <c r="CD8">
        <v>0</v>
      </c>
      <c r="CE8">
        <v>0</v>
      </c>
      <c r="CF8">
        <v>1.65</v>
      </c>
      <c r="CG8"/>
      <c r="CH8"/>
      <c r="CI8">
        <v>0</v>
      </c>
      <c r="CJ8">
        <v>0</v>
      </c>
      <c r="CK8">
        <v>0</v>
      </c>
      <c r="CL8">
        <v>0</v>
      </c>
      <c r="CM8">
        <v>0</v>
      </c>
      <c r="CN8">
        <v>0</v>
      </c>
      <c r="CO8">
        <v>0</v>
      </c>
      <c r="CP8">
        <v>0</v>
      </c>
      <c r="CQ8" s="11">
        <v>0</v>
      </c>
      <c r="CR8" s="11">
        <v>0</v>
      </c>
      <c r="CS8" s="11">
        <v>0</v>
      </c>
      <c r="CT8"/>
      <c r="CU8">
        <v>0</v>
      </c>
      <c r="CV8"/>
      <c r="CW8">
        <v>0</v>
      </c>
      <c r="CX8">
        <v>0.8</v>
      </c>
      <c r="CY8">
        <v>0.54</v>
      </c>
      <c r="CZ8">
        <v>0</v>
      </c>
      <c r="DA8">
        <v>0</v>
      </c>
      <c r="DB8">
        <v>0</v>
      </c>
      <c r="DC8">
        <v>4</v>
      </c>
      <c r="DD8">
        <v>0</v>
      </c>
      <c r="DE8">
        <v>0</v>
      </c>
      <c r="DF8" s="11">
        <v>0</v>
      </c>
      <c r="DJ8">
        <v>3.0670000000000002</v>
      </c>
      <c r="DK8">
        <v>3.0329999999999999</v>
      </c>
      <c r="DL8">
        <v>2.3149999999999999</v>
      </c>
      <c r="DM8" t="s">
        <v>76</v>
      </c>
      <c r="DN8">
        <v>3.1040000000000001</v>
      </c>
      <c r="DO8">
        <v>2.8719999999999999</v>
      </c>
      <c r="DP8">
        <v>1.3380000000000001</v>
      </c>
      <c r="DQ8">
        <v>1.5820000000000001</v>
      </c>
      <c r="DR8">
        <v>1.2210000000000001</v>
      </c>
      <c r="DS8" s="11">
        <v>1.5620000000000001</v>
      </c>
      <c r="DT8" s="11">
        <v>0</v>
      </c>
      <c r="DU8" s="11">
        <v>1.698</v>
      </c>
      <c r="DV8" s="11">
        <v>1.218</v>
      </c>
      <c r="DW8">
        <v>2.3420000000000001</v>
      </c>
      <c r="DX8">
        <v>1.625</v>
      </c>
      <c r="DY8">
        <v>2.84</v>
      </c>
      <c r="DZ8">
        <v>0.94699999999999995</v>
      </c>
      <c r="EA8">
        <v>1.0609999999999999</v>
      </c>
      <c r="EB8">
        <v>1.143</v>
      </c>
      <c r="EF8">
        <v>1.0289999999999999</v>
      </c>
      <c r="EG8">
        <v>2.1190000000000002</v>
      </c>
      <c r="EH8">
        <v>1.014</v>
      </c>
      <c r="EM8">
        <v>2.262</v>
      </c>
      <c r="EN8">
        <v>0</v>
      </c>
      <c r="EO8"/>
      <c r="EP8">
        <v>0</v>
      </c>
      <c r="EQ8">
        <v>0</v>
      </c>
      <c r="FF8">
        <v>2.0760000000000001</v>
      </c>
      <c r="FG8">
        <v>1.0389999999999999</v>
      </c>
      <c r="FH8">
        <v>1.3580000000000001</v>
      </c>
      <c r="FI8">
        <v>1.7170000000000001</v>
      </c>
      <c r="FJ8"/>
      <c r="FK8">
        <v>1.974</v>
      </c>
      <c r="FL8">
        <v>1.448</v>
      </c>
      <c r="FM8">
        <v>1.373</v>
      </c>
      <c r="FN8">
        <v>1.2410000000000001</v>
      </c>
      <c r="FO8">
        <v>2.198</v>
      </c>
      <c r="FP8">
        <v>2.4430000000000001</v>
      </c>
      <c r="FQ8">
        <v>0</v>
      </c>
      <c r="FR8">
        <v>0</v>
      </c>
      <c r="FS8">
        <v>0</v>
      </c>
      <c r="FT8">
        <v>0.85799999999999998</v>
      </c>
      <c r="FX8">
        <v>0</v>
      </c>
      <c r="FY8">
        <v>0</v>
      </c>
      <c r="FZ8">
        <v>0</v>
      </c>
      <c r="GA8" s="27">
        <v>0</v>
      </c>
      <c r="GB8">
        <v>0</v>
      </c>
      <c r="GC8">
        <v>0</v>
      </c>
      <c r="GD8">
        <v>0</v>
      </c>
      <c r="GE8">
        <v>0</v>
      </c>
      <c r="GF8">
        <v>0</v>
      </c>
      <c r="GG8"/>
      <c r="GH8">
        <v>0</v>
      </c>
      <c r="GL8">
        <v>0</v>
      </c>
      <c r="GM8">
        <v>1.7529999999999999</v>
      </c>
      <c r="GN8">
        <v>0</v>
      </c>
      <c r="GO8">
        <v>0</v>
      </c>
      <c r="GP8">
        <v>0</v>
      </c>
      <c r="GQ8">
        <v>0</v>
      </c>
      <c r="GR8">
        <v>0</v>
      </c>
      <c r="GS8"/>
      <c r="GY8">
        <v>0</v>
      </c>
      <c r="GZ8">
        <v>0</v>
      </c>
      <c r="HA8">
        <v>0</v>
      </c>
      <c r="HB8"/>
      <c r="HC8">
        <v>0</v>
      </c>
      <c r="HD8">
        <v>0</v>
      </c>
      <c r="HE8"/>
      <c r="HF8"/>
      <c r="HG8">
        <v>0</v>
      </c>
      <c r="HH8">
        <v>0</v>
      </c>
      <c r="HI8">
        <v>0</v>
      </c>
      <c r="HJ8"/>
      <c r="HK8">
        <v>0</v>
      </c>
      <c r="HL8"/>
      <c r="HM8">
        <v>1.796</v>
      </c>
      <c r="HN8">
        <v>0</v>
      </c>
      <c r="HO8"/>
      <c r="HP8">
        <v>0</v>
      </c>
      <c r="HQ8">
        <v>0</v>
      </c>
      <c r="HR8">
        <v>0</v>
      </c>
      <c r="HS8">
        <v>0</v>
      </c>
      <c r="HT8">
        <v>0</v>
      </c>
      <c r="IB8">
        <v>0</v>
      </c>
      <c r="IC8">
        <v>0.93200000000000005</v>
      </c>
      <c r="ID8">
        <v>0</v>
      </c>
      <c r="IE8">
        <v>0</v>
      </c>
      <c r="IF8">
        <v>0</v>
      </c>
      <c r="IG8"/>
      <c r="IH8">
        <v>0</v>
      </c>
      <c r="II8">
        <v>0</v>
      </c>
      <c r="IJ8">
        <v>0</v>
      </c>
      <c r="IK8">
        <v>0</v>
      </c>
      <c r="IL8"/>
      <c r="IM8"/>
      <c r="IN8">
        <v>0.8</v>
      </c>
      <c r="IO8" t="s">
        <v>76</v>
      </c>
      <c r="IP8">
        <v>0</v>
      </c>
      <c r="IQ8">
        <v>0</v>
      </c>
      <c r="IR8">
        <v>0</v>
      </c>
      <c r="IS8"/>
      <c r="IT8">
        <v>0.78900000000000003</v>
      </c>
      <c r="IU8">
        <v>0</v>
      </c>
      <c r="IV8">
        <v>0</v>
      </c>
      <c r="IW8">
        <v>1.702</v>
      </c>
      <c r="IX8">
        <v>0</v>
      </c>
      <c r="IY8">
        <v>0</v>
      </c>
      <c r="IZ8" s="11">
        <v>0</v>
      </c>
      <c r="JA8" s="11">
        <v>0</v>
      </c>
      <c r="JB8" s="11">
        <v>0</v>
      </c>
      <c r="JC8">
        <v>0</v>
      </c>
      <c r="JD8">
        <v>0</v>
      </c>
      <c r="JE8">
        <v>0</v>
      </c>
      <c r="JF8">
        <v>0</v>
      </c>
      <c r="JG8">
        <v>0</v>
      </c>
      <c r="JH8">
        <v>0</v>
      </c>
      <c r="JI8">
        <v>0</v>
      </c>
      <c r="JJ8">
        <v>0</v>
      </c>
      <c r="JK8">
        <v>0</v>
      </c>
      <c r="JL8" s="11">
        <v>0</v>
      </c>
      <c r="JM8" s="11">
        <v>0</v>
      </c>
      <c r="JN8" s="11">
        <v>0</v>
      </c>
      <c r="JO8" s="24">
        <v>0</v>
      </c>
      <c r="JP8" s="24"/>
      <c r="JQ8" s="24">
        <v>0</v>
      </c>
      <c r="JR8" s="11">
        <v>0</v>
      </c>
      <c r="JS8" s="11">
        <v>0</v>
      </c>
      <c r="JT8" s="11">
        <v>0</v>
      </c>
      <c r="JV8" s="11">
        <v>0</v>
      </c>
      <c r="JW8" s="11">
        <v>0</v>
      </c>
      <c r="JX8" s="11">
        <v>0</v>
      </c>
      <c r="JY8" s="11">
        <v>0</v>
      </c>
      <c r="JZ8" s="11">
        <v>1.909</v>
      </c>
      <c r="KA8" s="11">
        <v>0</v>
      </c>
      <c r="KB8" s="11">
        <v>0</v>
      </c>
      <c r="KF8" s="11">
        <v>0</v>
      </c>
      <c r="KG8" s="11">
        <v>0</v>
      </c>
      <c r="KH8" s="11">
        <v>0</v>
      </c>
      <c r="KI8" s="11">
        <v>0</v>
      </c>
      <c r="KL8" s="11">
        <v>0</v>
      </c>
      <c r="KM8" s="11">
        <v>0</v>
      </c>
      <c r="KN8" s="11">
        <v>1.159</v>
      </c>
      <c r="LM8" s="42">
        <v>0</v>
      </c>
      <c r="LN8" s="42">
        <v>0</v>
      </c>
      <c r="LO8" s="42">
        <v>0</v>
      </c>
      <c r="LP8" s="42">
        <v>0</v>
      </c>
      <c r="LQ8" s="42"/>
      <c r="LR8" s="42">
        <v>0</v>
      </c>
    </row>
    <row r="9" spans="1:332" x14ac:dyDescent="0.35">
      <c r="B9" s="11">
        <v>0</v>
      </c>
      <c r="C9" s="11">
        <v>0</v>
      </c>
      <c r="D9">
        <v>0</v>
      </c>
      <c r="E9">
        <v>0</v>
      </c>
      <c r="F9"/>
      <c r="P9"/>
      <c r="Q9">
        <v>0</v>
      </c>
      <c r="R9"/>
      <c r="S9">
        <v>0</v>
      </c>
      <c r="T9">
        <v>0</v>
      </c>
      <c r="U9">
        <v>0</v>
      </c>
      <c r="V9"/>
      <c r="W9"/>
      <c r="X9">
        <v>0</v>
      </c>
      <c r="Y9">
        <v>0</v>
      </c>
      <c r="Z9"/>
      <c r="AA9"/>
      <c r="AB9">
        <v>0</v>
      </c>
      <c r="AC9">
        <v>0</v>
      </c>
      <c r="AD9">
        <v>0</v>
      </c>
      <c r="AH9">
        <v>0</v>
      </c>
      <c r="AI9">
        <v>0</v>
      </c>
      <c r="AJ9">
        <v>0</v>
      </c>
      <c r="AK9" t="s">
        <v>76</v>
      </c>
      <c r="AL9">
        <v>0</v>
      </c>
      <c r="AM9">
        <v>0</v>
      </c>
      <c r="AN9">
        <v>0</v>
      </c>
      <c r="AO9">
        <v>0</v>
      </c>
      <c r="AP9">
        <v>0</v>
      </c>
      <c r="AQ9">
        <v>0</v>
      </c>
      <c r="AR9">
        <v>0</v>
      </c>
      <c r="AS9"/>
      <c r="AT9"/>
      <c r="AX9">
        <v>0</v>
      </c>
      <c r="AY9">
        <v>0</v>
      </c>
      <c r="AZ9">
        <v>0</v>
      </c>
      <c r="BG9">
        <v>0</v>
      </c>
      <c r="BH9"/>
      <c r="BI9"/>
      <c r="BS9">
        <v>0</v>
      </c>
      <c r="BT9">
        <v>0</v>
      </c>
      <c r="BU9">
        <v>0</v>
      </c>
      <c r="CW9">
        <v>0</v>
      </c>
      <c r="CX9">
        <v>0</v>
      </c>
      <c r="CY9">
        <v>0</v>
      </c>
      <c r="DC9">
        <v>0</v>
      </c>
      <c r="DD9"/>
      <c r="DE9"/>
      <c r="DF9"/>
      <c r="DJ9">
        <v>2.3460000000000001</v>
      </c>
      <c r="DK9">
        <v>0.94099999999999995</v>
      </c>
      <c r="DL9">
        <v>0.69599999999999995</v>
      </c>
      <c r="DM9">
        <v>2.302</v>
      </c>
      <c r="DN9">
        <v>1.411</v>
      </c>
      <c r="DO9">
        <v>0</v>
      </c>
      <c r="DP9">
        <v>0</v>
      </c>
      <c r="DQ9">
        <v>0</v>
      </c>
      <c r="DR9">
        <v>0</v>
      </c>
      <c r="DS9" s="11">
        <v>0</v>
      </c>
      <c r="DU9" s="11">
        <v>0</v>
      </c>
      <c r="DV9" s="11">
        <v>0</v>
      </c>
      <c r="DW9">
        <v>0</v>
      </c>
      <c r="DX9">
        <v>0</v>
      </c>
      <c r="DY9">
        <v>2.5</v>
      </c>
      <c r="DZ9">
        <v>0</v>
      </c>
      <c r="EA9">
        <v>0</v>
      </c>
      <c r="EB9">
        <v>0</v>
      </c>
      <c r="EF9">
        <v>0</v>
      </c>
      <c r="EG9">
        <v>0</v>
      </c>
      <c r="EH9">
        <v>0</v>
      </c>
      <c r="FF9">
        <v>1.4430000000000001</v>
      </c>
      <c r="FG9">
        <v>0</v>
      </c>
      <c r="FH9">
        <v>0</v>
      </c>
      <c r="FL9">
        <v>0</v>
      </c>
      <c r="FM9">
        <v>0.8</v>
      </c>
      <c r="FN9">
        <v>0</v>
      </c>
      <c r="FO9">
        <v>0</v>
      </c>
      <c r="FP9">
        <v>1.1890000000000001</v>
      </c>
      <c r="FQ9"/>
      <c r="GL9"/>
      <c r="GM9">
        <v>0</v>
      </c>
      <c r="GN9"/>
      <c r="HK9"/>
      <c r="HL9"/>
      <c r="HM9">
        <v>0</v>
      </c>
      <c r="IN9">
        <v>0</v>
      </c>
      <c r="IO9">
        <v>0</v>
      </c>
      <c r="IP9"/>
      <c r="IW9">
        <v>0</v>
      </c>
      <c r="IX9"/>
      <c r="IY9"/>
      <c r="IZ9"/>
      <c r="JA9"/>
      <c r="JB9"/>
      <c r="JO9" s="26"/>
      <c r="JZ9" s="11">
        <v>0</v>
      </c>
    </row>
    <row r="10" spans="1:332" x14ac:dyDescent="0.35">
      <c r="AK10">
        <v>1.169</v>
      </c>
      <c r="AL10"/>
      <c r="AM10"/>
      <c r="DJ10" t="s">
        <v>76</v>
      </c>
      <c r="DK10">
        <v>0</v>
      </c>
      <c r="DL10">
        <v>0</v>
      </c>
      <c r="DM10">
        <v>0</v>
      </c>
      <c r="DN10">
        <v>0</v>
      </c>
      <c r="DO10"/>
      <c r="DW10"/>
      <c r="DX10"/>
      <c r="DY10">
        <v>0</v>
      </c>
    </row>
    <row r="11" spans="1:332" x14ac:dyDescent="0.35">
      <c r="AK11">
        <v>0</v>
      </c>
      <c r="AL11"/>
      <c r="AM11"/>
      <c r="DJ11">
        <v>0</v>
      </c>
      <c r="DK11"/>
      <c r="DL11"/>
    </row>
    <row r="13" spans="1:332" x14ac:dyDescent="0.35">
      <c r="CY13"/>
    </row>
    <row r="16" spans="1:332" x14ac:dyDescent="0.35">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3"/>
      <c r="DH16" s="43"/>
      <c r="DI16" s="43"/>
      <c r="DJ16" s="43"/>
      <c r="DK16" s="43"/>
      <c r="DL16" s="43"/>
      <c r="DM16" s="43"/>
      <c r="DN16" s="43"/>
      <c r="DO16" s="43"/>
      <c r="DP16" s="43"/>
      <c r="DQ16" s="43"/>
      <c r="DR16" s="43"/>
      <c r="DS16" s="43"/>
      <c r="DT16" s="43"/>
      <c r="DU16" s="43"/>
      <c r="DV16" s="43"/>
      <c r="DW16" s="43"/>
      <c r="DX16" s="43"/>
      <c r="DY16" s="43"/>
      <c r="DZ16" s="43"/>
      <c r="EA16" s="43"/>
      <c r="EB16" s="43"/>
      <c r="EC16" s="43"/>
      <c r="ED16" s="43"/>
      <c r="EE16" s="43"/>
      <c r="EF16" s="43"/>
      <c r="EG16" s="43"/>
      <c r="EH16" s="43"/>
      <c r="EI16" s="43"/>
      <c r="EJ16" s="43"/>
      <c r="EK16" s="43"/>
      <c r="EL16" s="43"/>
      <c r="EM16" s="43"/>
      <c r="EN16" s="43"/>
      <c r="EO16" s="43"/>
      <c r="EP16" s="43"/>
      <c r="EQ16" s="43"/>
      <c r="ER16" s="43"/>
      <c r="ES16" s="43"/>
      <c r="ET16" s="43"/>
      <c r="EU16" s="43"/>
      <c r="EV16" s="43"/>
      <c r="EW16" s="43"/>
      <c r="EX16" s="43"/>
      <c r="EY16" s="43"/>
      <c r="EZ16" s="43"/>
      <c r="FA16" s="43"/>
      <c r="FB16" s="43"/>
      <c r="FC16" s="43"/>
      <c r="FD16" s="43"/>
      <c r="FE16" s="43"/>
      <c r="FF16" s="43"/>
      <c r="FG16" s="43"/>
      <c r="FH16" s="43"/>
      <c r="FI16" s="43"/>
      <c r="FJ16" s="43"/>
      <c r="FK16" s="43"/>
      <c r="FL16" s="43"/>
      <c r="FM16" s="43"/>
      <c r="FN16" s="43"/>
      <c r="FO16" s="43"/>
      <c r="FP16" s="43"/>
      <c r="FQ16" s="43"/>
      <c r="FR16" s="43"/>
      <c r="FS16" s="43"/>
      <c r="FT16" s="43"/>
      <c r="FU16" s="43"/>
      <c r="FV16" s="43"/>
      <c r="FW16" s="43"/>
      <c r="FX16" s="43"/>
      <c r="FY16" s="43"/>
      <c r="FZ16" s="43"/>
      <c r="GA16" s="43"/>
      <c r="GB16" s="43"/>
      <c r="GC16" s="43"/>
      <c r="GD16" s="43"/>
      <c r="GE16" s="43"/>
      <c r="GF16" s="43"/>
      <c r="GG16" s="43"/>
      <c r="GH16" s="43"/>
      <c r="GI16" s="43"/>
      <c r="GJ16" s="43"/>
      <c r="GK16" s="43"/>
      <c r="GL16" s="43"/>
      <c r="GM16" s="43"/>
      <c r="GN16" s="43"/>
      <c r="GO16" s="43"/>
      <c r="GP16" s="43"/>
      <c r="GQ16" s="43"/>
      <c r="GR16" s="43"/>
      <c r="GS16" s="43"/>
      <c r="GT16" s="43"/>
      <c r="GU16" s="43"/>
      <c r="GV16" s="43"/>
      <c r="GW16" s="43"/>
      <c r="GX16" s="43"/>
      <c r="GY16" s="43"/>
      <c r="GZ16" s="43"/>
      <c r="HA16" s="43"/>
      <c r="HB16" s="43"/>
      <c r="HC16" s="43"/>
      <c r="HD16" s="43"/>
      <c r="HE16" s="43"/>
      <c r="HF16" s="43"/>
      <c r="HG16" s="43"/>
      <c r="HH16" s="43"/>
      <c r="HI16" s="43"/>
      <c r="HJ16" s="43"/>
      <c r="HK16" s="43"/>
      <c r="HL16" s="43"/>
      <c r="HM16" s="43"/>
      <c r="HN16" s="43"/>
      <c r="HO16" s="43"/>
      <c r="HP16" s="43"/>
      <c r="HQ16" s="43"/>
      <c r="HR16" s="43"/>
      <c r="HS16" s="43"/>
      <c r="HT16" s="43"/>
      <c r="HU16" s="43"/>
      <c r="HV16" s="43"/>
      <c r="HW16" s="43"/>
      <c r="HX16" s="43"/>
      <c r="HY16" s="43"/>
      <c r="HZ16" s="43"/>
      <c r="IA16" s="43"/>
      <c r="IB16" s="43"/>
      <c r="IC16" s="43"/>
      <c r="ID16" s="43"/>
      <c r="IE16" s="43"/>
      <c r="IF16" s="43"/>
      <c r="IG16" s="43"/>
      <c r="IH16" s="43"/>
      <c r="II16" s="43"/>
      <c r="IJ16" s="43"/>
      <c r="IK16" s="43"/>
      <c r="IL16" s="43"/>
      <c r="IM16" s="43"/>
      <c r="IN16" s="43"/>
      <c r="IO16" s="43"/>
      <c r="IP16" s="43"/>
      <c r="IQ16" s="43"/>
      <c r="IR16" s="43"/>
      <c r="IS16" s="43"/>
      <c r="IT16" s="43"/>
      <c r="IU16" s="43"/>
      <c r="IV16" s="43"/>
      <c r="IW16" s="43"/>
      <c r="IX16" s="43"/>
      <c r="IY16" s="43"/>
      <c r="IZ16" s="43"/>
      <c r="JA16" s="43"/>
      <c r="JB16" s="43"/>
      <c r="JC16" s="43"/>
      <c r="JD16" s="43"/>
      <c r="JE16" s="43"/>
      <c r="JF16" s="43"/>
      <c r="JG16" s="43"/>
      <c r="JH16" s="43"/>
      <c r="JI16" s="43"/>
      <c r="JJ16" s="43"/>
      <c r="JK16" s="43"/>
      <c r="JL16" s="43"/>
      <c r="JM16" s="43"/>
      <c r="JN16" s="43"/>
      <c r="JO16" s="43"/>
      <c r="JP16" s="43"/>
      <c r="JQ16" s="43"/>
      <c r="JR16" s="43"/>
      <c r="JS16" s="43"/>
      <c r="JT16" s="43"/>
      <c r="JU16" s="43"/>
      <c r="JV16" s="43"/>
      <c r="JW16" s="43"/>
      <c r="JX16" s="43"/>
      <c r="JY16" s="43"/>
      <c r="JZ16" s="43"/>
      <c r="KA16" s="43"/>
      <c r="KB16" s="43"/>
      <c r="KC16" s="43"/>
      <c r="KD16" s="43"/>
      <c r="KE16" s="43"/>
      <c r="KF16" s="43"/>
      <c r="KG16" s="43"/>
      <c r="KH16" s="43"/>
      <c r="KI16" s="43"/>
      <c r="KJ16" s="43"/>
      <c r="KK16" s="43"/>
      <c r="KL16" s="43"/>
      <c r="KM16" s="43"/>
      <c r="KN16" s="43"/>
      <c r="KO16" s="43"/>
      <c r="KP16" s="43"/>
      <c r="KQ16" s="43"/>
      <c r="KR16" s="43"/>
      <c r="KS16" s="43"/>
      <c r="KT16" s="43"/>
      <c r="KU16" s="43"/>
      <c r="KV16" s="43"/>
      <c r="KW16" s="43"/>
      <c r="KX16" s="43"/>
      <c r="KY16" s="43"/>
      <c r="KZ16" s="43"/>
      <c r="LA16" s="43"/>
      <c r="LB16" s="43"/>
      <c r="LC16" s="43"/>
      <c r="LD16" s="43"/>
      <c r="LE16" s="43"/>
      <c r="LF16" s="43"/>
      <c r="LG16" s="43"/>
      <c r="LH16" s="43"/>
      <c r="LI16" s="43"/>
      <c r="LJ16" s="43"/>
      <c r="LK16" s="43"/>
      <c r="LL16" s="43"/>
      <c r="LM16" s="43"/>
      <c r="LN16" s="43"/>
      <c r="LO16" s="43"/>
      <c r="LP16" s="43"/>
      <c r="LQ16" s="43"/>
      <c r="LR16" s="43"/>
      <c r="LS16" s="43"/>
      <c r="LT16" s="43"/>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D18"/>
  <sheetViews>
    <sheetView topLeftCell="CQ2" zoomScale="140" zoomScaleNormal="140" workbookViewId="0">
      <selection activeCell="CY10" sqref="CY10"/>
    </sheetView>
  </sheetViews>
  <sheetFormatPr defaultRowHeight="14.5" x14ac:dyDescent="0.35"/>
  <cols>
    <col min="3" max="3" width="11.08984375" customWidth="1"/>
    <col min="6" max="6" width="12.453125" customWidth="1"/>
    <col min="9" max="9" width="9.6328125" customWidth="1"/>
    <col min="10" max="10" width="11" customWidth="1"/>
    <col min="29" max="29" width="10.08984375" customWidth="1"/>
    <col min="31" max="31" width="12" customWidth="1"/>
    <col min="32" max="32" width="10.54296875" customWidth="1"/>
    <col min="56" max="56" width="10.36328125" customWidth="1"/>
    <col min="60" max="60" width="11.36328125" customWidth="1"/>
    <col min="61" max="61" width="11.1796875" customWidth="1"/>
    <col min="62" max="62" width="10.6328125" customWidth="1"/>
    <col min="63" max="63" width="12" customWidth="1"/>
    <col min="65" max="65" width="11.81640625" customWidth="1"/>
    <col min="68" max="68" width="11.36328125" customWidth="1"/>
    <col min="71" max="71" width="11.81640625" customWidth="1"/>
    <col min="74" max="74" width="12.90625" customWidth="1"/>
  </cols>
  <sheetData>
    <row r="1" spans="1:108" s="60" customFormat="1" x14ac:dyDescent="0.35">
      <c r="A1" s="60" t="s">
        <v>546</v>
      </c>
    </row>
    <row r="2" spans="1:108" s="60" customFormat="1" x14ac:dyDescent="0.35"/>
    <row r="3" spans="1:108" s="44" customFormat="1" ht="83.75" customHeight="1" x14ac:dyDescent="0.35">
      <c r="A3" s="44" t="str">
        <f>'Formulation Name Data'!A37&amp;"_T1"</f>
        <v>D502W_G225_DGBE_0.2_0.3_0.5_T1</v>
      </c>
      <c r="B3" s="44" t="str">
        <f>'Formulation Name Data'!A37&amp;"_T2"</f>
        <v>D502W_G225_DGBE_0.2_0.3_0.5_T2</v>
      </c>
      <c r="C3" s="44" t="str">
        <f>'Formulation Name Data'!A37&amp;"_T3"</f>
        <v>D502W_G225_DGBE_0.2_0.3_0.5_T3</v>
      </c>
      <c r="D3" s="44" t="str">
        <f>'Formulation Name Data'!A8&amp;"_T1"</f>
        <v>Cap_G215_DGBE_0.3_0.2_0.5_T1</v>
      </c>
      <c r="E3" s="44" t="str">
        <f>'Formulation Name Data'!A8&amp;"_T2"</f>
        <v>Cap_G215_DGBE_0.3_0.2_0.5_T2</v>
      </c>
      <c r="F3" s="44" t="str">
        <f>'Formulation Name Data'!A8&amp;"_T3"</f>
        <v>Cap_G215_DGBE_0.3_0.2_0.5_T3</v>
      </c>
      <c r="G3" s="44" t="str">
        <f>'Formulation Name Data'!A113&amp;"_T1"</f>
        <v>D502W_DGBE_0.5_0.5_T1</v>
      </c>
      <c r="H3" s="44" t="str">
        <f>'Formulation Name Data'!A113&amp;"_T2"</f>
        <v>D502W_DGBE_0.5_0.5_T2</v>
      </c>
      <c r="I3" s="44" t="str">
        <f>'Formulation Name Data'!A113&amp;"_T3"</f>
        <v>D502W_DGBE_0.5_0.5_T3</v>
      </c>
      <c r="J3" s="44" t="str">
        <f>'Formulation Name Data'!A37&amp;"_T4"</f>
        <v>D502W_G225_DGBE_0.2_0.3_0.5_T4</v>
      </c>
      <c r="K3" s="44" t="str">
        <f>'Formulation Name Data'!A98&amp;"_T1"</f>
        <v>ComSor1830503_T1</v>
      </c>
      <c r="L3" s="44" t="str">
        <f>'Formulation Name Data'!A99&amp;"_T1"</f>
        <v>ComSor_26990-95B_T1</v>
      </c>
      <c r="M3" s="44" t="str">
        <f>'Formulation Name Data'!A99&amp;"_T2"</f>
        <v>ComSor_26990-95B_T2</v>
      </c>
      <c r="N3" s="44" t="str">
        <f>'Formulation Name Data'!A100&amp;"_T1"</f>
        <v>ComSor_26990-95C_T1</v>
      </c>
      <c r="O3" s="44" t="str">
        <f>'Formulation Name Data'!A100&amp;"_T2"</f>
        <v>ComSor_26990-95C_T2</v>
      </c>
      <c r="P3" s="44" t="str">
        <f>'Formulation Name Data'!A101&amp;"_T1"</f>
        <v>ComSor_26990-95D_T1</v>
      </c>
      <c r="Q3" s="44" t="str">
        <f>'Formulation Name Data'!A101&amp;"_T2"</f>
        <v>ComSor_26990-95D_T2</v>
      </c>
      <c r="R3" s="44" t="str">
        <f>'Formulation Name Data'!A58&amp;"_T1"</f>
        <v>ComSor_EXP-20-C10628-B_T1</v>
      </c>
      <c r="S3" s="44" t="str">
        <f>'Formulation Name Data'!A58&amp;"_T2"</f>
        <v>ComSor_EXP-20-C10628-B_T2</v>
      </c>
      <c r="T3" s="44" t="str">
        <f>'Formulation Name Data'!A58&amp;"_T3"</f>
        <v>ComSor_EXP-20-C10628-B_T3</v>
      </c>
      <c r="U3" s="44" t="str">
        <f>'Formulation Name Data'!A60&amp;"_T1"</f>
        <v>ComSor_EXP-20-C10628-D_T1</v>
      </c>
      <c r="V3" s="44" t="str">
        <f>'Formulation Name Data'!A60&amp;"_T2"</f>
        <v>ComSor_EXP-20-C10628-D_T2</v>
      </c>
      <c r="W3" s="44" t="str">
        <f>'Formulation Name Data'!A60&amp;"_T3"</f>
        <v>ComSor_EXP-20-C10628-D_T3</v>
      </c>
      <c r="X3" s="44" t="str">
        <f>'Formulation Name Data'!A59&amp;"_T1"</f>
        <v>ComSor_EXP-20-C10628-C_T1</v>
      </c>
      <c r="Y3" s="44" t="str">
        <f>'Formulation Name Data'!A61&amp;"_T1"</f>
        <v>ComSor_EXP-20-C10628-E_T1</v>
      </c>
      <c r="Z3" s="44" t="str">
        <f>'Formulation Name Data'!A61&amp;"_T2"</f>
        <v>ComSor_EXP-20-C10628-E_T2</v>
      </c>
      <c r="AA3" s="44" t="str">
        <f>'Formulation Name Data'!A61&amp;"_T3"</f>
        <v>ComSor_EXP-20-C10628-E_T3</v>
      </c>
      <c r="AB3" s="44" t="str">
        <f>'Formulation Name Data'!A109&amp;"_T1"</f>
        <v>G225_DGBE_0.3_0.5_T1</v>
      </c>
      <c r="AC3" s="44" t="str">
        <f>'Formulation Name Data'!A109&amp;"_T2"</f>
        <v>G225_DGBE_0.3_0.5_T2</v>
      </c>
      <c r="AD3" s="44" t="str">
        <f>'Formulation Name Data'!A138&amp;"_T1"</f>
        <v>CL_MD2086-97_G225_DGBE_0.34_0.56_0.5_T1</v>
      </c>
      <c r="AE3" s="44" t="str">
        <f>'Formulation Name Data'!A138&amp;"_T2"</f>
        <v>CL_MD2086-97_G225_DGBE_0.34_0.56_0.5_T2</v>
      </c>
      <c r="AF3" s="44" t="str">
        <f>'Formulation Name Data'!A139&amp;"_T1"</f>
        <v>CL_MD2086-97_0.5_T1</v>
      </c>
      <c r="AG3" s="44" t="str">
        <f>'Formulation Name Data'!A63&amp;"_T1"</f>
        <v>ComSor_EXP-21-1_T1</v>
      </c>
      <c r="AH3" s="44" t="str">
        <f>'Formulation Name Data'!A63&amp;"_T2"</f>
        <v>ComSor_EXP-21-1_T2</v>
      </c>
      <c r="AI3" s="44" t="str">
        <f>'Formulation Name Data'!A62&amp;"_T1"</f>
        <v>ComSor_EXP-21-2_T1</v>
      </c>
      <c r="AJ3" s="44" t="str">
        <f>'Formulation Name Data'!A62&amp;"_T2"</f>
        <v>ComSor_EXP-21-2_T2</v>
      </c>
      <c r="AK3" s="44" t="str">
        <f>'Formulation Name Data'!A68&amp;"_T1"</f>
        <v>ComSor_EXP-21-3_T1</v>
      </c>
      <c r="AL3" s="44" t="str">
        <f>'Formulation Name Data'!A68&amp;"_T2"</f>
        <v>ComSor_EXP-21-3_T2</v>
      </c>
      <c r="AM3" s="44" t="str">
        <f>'Formulation Name Data'!A69&amp;"_T1"</f>
        <v>ComSor_EXP-21-5_T1</v>
      </c>
      <c r="AN3" s="44" t="str">
        <f>'Formulation Name Data'!A69&amp;"_T2"</f>
        <v>ComSor_EXP-21-5_T2</v>
      </c>
      <c r="AO3" s="44" t="str">
        <f>'Formulation Name Data'!A70&amp;"_T1"</f>
        <v>ComSor_EXP-21-6_T1</v>
      </c>
      <c r="AP3" s="44" t="str">
        <f>'Formulation Name Data'!A70&amp;"_T2"</f>
        <v>ComSor_EXP-21-6_T2</v>
      </c>
      <c r="AQ3" s="44" t="str">
        <f>'Formulation Name Data'!A71&amp;"_T1"</f>
        <v>ComSor_EXP-21-7_T1</v>
      </c>
      <c r="AR3" s="44" t="str">
        <f>'Formulation Name Data'!A71&amp;"_T2"</f>
        <v>ComSor_EXP-21-7_T2</v>
      </c>
      <c r="AS3" s="44" t="str">
        <f>'Formulation Name Data'!A64&amp;"_T1"</f>
        <v>Avio®F3 Green KHC_T1</v>
      </c>
      <c r="AT3" s="44" t="str">
        <f>'Formulation Name Data'!A64&amp;"_T2"</f>
        <v>Avio®F3 Green KHC_T2</v>
      </c>
      <c r="AU3" s="44" t="str">
        <f>'Formulation Name Data'!A64&amp;"_T3"</f>
        <v>Avio®F3 Green KHC_T3</v>
      </c>
      <c r="AV3" s="44" t="str">
        <f>'Formulation Name Data'!A65&amp;"_T1"</f>
        <v>JetFoam 3%_T1</v>
      </c>
      <c r="AW3" s="44" t="str">
        <f>'Formulation Name Data'!A66&amp;"_T1"</f>
        <v>Solberg® Rehealing RF3 3%_T1</v>
      </c>
      <c r="AX3" s="44" t="str">
        <f>'Formulation Name Data'!A66&amp;"_T2"</f>
        <v>Solberg® Rehealing RF3 3%_T2</v>
      </c>
      <c r="AY3" s="44" t="str">
        <f>'Formulation Name Data'!A66&amp;"_T3"</f>
        <v>Solberg® Rehealing RF3 3%_T3</v>
      </c>
      <c r="AZ3" s="44" t="str">
        <f>'Formulation Name Data'!A67&amp;"_T1"</f>
        <v>FomtecEnviroUSP 3%_T1</v>
      </c>
      <c r="BA3" s="44" t="str">
        <f>'Formulation Name Data'!A67&amp;"_T2"</f>
        <v>FomtecEnviroUSP 3%_T2</v>
      </c>
      <c r="BB3" s="44" t="str">
        <f>'Formulation Name Data'!A67&amp;"_T3"</f>
        <v>FomtecEnviroUSP 3%_T3</v>
      </c>
      <c r="BC3" s="44" t="str">
        <f>'Formulation Name Data'!A110&amp;"_T1"</f>
        <v>ComSor_EXP-21-CH1035-B_T1</v>
      </c>
      <c r="BD3" s="44" t="str">
        <f>'Formulation Name Data'!A110&amp;"_T2"</f>
        <v>ComSor_EXP-21-CH1035-B_T2</v>
      </c>
      <c r="BE3" s="44" t="str">
        <f>'Formulation Name Data'!A117&amp;"_T1"</f>
        <v>ComSor_EXP-21-CH1035-A_T1</v>
      </c>
      <c r="BF3" s="44" t="str">
        <f>'Formulation Name Data'!A117&amp;"_T2"</f>
        <v>ComSor_EXP-21-CH1035-A_T2</v>
      </c>
      <c r="BG3" s="44" t="str">
        <f>'Formulation Name Data'!A118&amp;"_T1"</f>
        <v>ComSor_EXP-21-CH1035-C_T1</v>
      </c>
      <c r="BH3" s="44" t="str">
        <f>'Formulation Name Data'!A118&amp;"_T2"</f>
        <v>ComSor_EXP-21-CH1035-C_T2</v>
      </c>
      <c r="BI3" s="44" t="str">
        <f>'Formulation Name Data'!A111&amp;"_T1"</f>
        <v>G225_DGBE_0.5_0.5_T1</v>
      </c>
      <c r="BJ3" s="44" t="str">
        <f>'Formulation Name Data'!A111&amp;"_T2"</f>
        <v>G225_DGBE_0.5_0.5_T2</v>
      </c>
      <c r="BK3" s="44" t="str">
        <f>'Formulation Name Data'!A111&amp;"_T3"</f>
        <v>G225_DGBE_0.5_0.5_T3</v>
      </c>
      <c r="BL3" s="44" t="str">
        <f>'Formulation Name Data'!A140&amp;"_T1"</f>
        <v>ComSor_EXP-20-CH1024-A_T1</v>
      </c>
      <c r="BM3" s="44" t="str">
        <f>'Formulation Name Data'!A140&amp;"_T2"</f>
        <v>ComSor_EXP-20-CH1024-A_T2</v>
      </c>
      <c r="BN3" s="44" t="str">
        <f>'Formulation Name Data'!A141&amp;"_T1"</f>
        <v>ComSor_EXP-20-CH1024-B_T1</v>
      </c>
      <c r="BO3" s="44" t="str">
        <f>'Formulation Name Data'!A141&amp;"_T2"</f>
        <v>ComSor_EXP-20-CH1024-B_T2</v>
      </c>
      <c r="BP3" s="44" t="str">
        <f>'Formulation Name Data'!A141&amp;"_T3"</f>
        <v>ComSor_EXP-20-CH1024-B_T3</v>
      </c>
      <c r="BQ3" s="44" t="str">
        <f>'Formulation Name Data'!A145&amp;"_T1"</f>
        <v>ComSor_EXP-20-CH1024-F_T1</v>
      </c>
      <c r="BR3" s="44" t="str">
        <f>'Formulation Name Data'!A145&amp;"_T2"</f>
        <v>ComSor_EXP-20-CH1024-F_T2</v>
      </c>
      <c r="BS3" s="44" t="str">
        <f>'Formulation Name Data'!A145&amp;"_T3"</f>
        <v>ComSor_EXP-20-CH1024-F_T3</v>
      </c>
      <c r="BT3" s="44" t="str">
        <f>'Formulation Name Data'!A146&amp;"_T1"</f>
        <v>ComSor_EXP-20-CH1024-G_T1</v>
      </c>
      <c r="BU3" s="44" t="str">
        <f>'Formulation Name Data'!A146&amp;"_T2"</f>
        <v>ComSor_EXP-20-CH1024-G_T2</v>
      </c>
      <c r="BV3" s="44" t="str">
        <f>'Formulation Name Data'!A146&amp;"_T3"</f>
        <v>ComSor_EXP-20-CH1024-G_T3</v>
      </c>
      <c r="BW3" s="17" t="str">
        <f>'Formulation Name Data'!A148&amp;"_T1"</f>
        <v>ComSor_EXP-21-CM7837-5_T1</v>
      </c>
      <c r="BX3" s="44" t="str">
        <f>'Formulation Name Data'!A148&amp;"_T2"</f>
        <v>ComSor_EXP-21-CM7837-5_T2</v>
      </c>
      <c r="BY3" s="44" t="str">
        <f>'Formulation Name Data'!A149&amp;"_T1"</f>
        <v>ComSor_EXP-21-CM7837-4_T1</v>
      </c>
      <c r="BZ3" s="44" t="str">
        <f>'Formulation Name Data'!A152&amp;"_T1"</f>
        <v>ComSor_EXP-21-CM7837-3_T1</v>
      </c>
      <c r="CA3" s="44" t="str">
        <f>'Formulation Name Data'!A153&amp;"_T1"</f>
        <v>ComSor_EXP-21-CH1050-1_T1</v>
      </c>
      <c r="CB3" s="44" t="str">
        <f>'Formulation Name Data'!A154&amp;"_T1"</f>
        <v>CL_MD2012-16_G225_DGBE_0.52_0.78_0.5_T1</v>
      </c>
      <c r="CC3" s="44" t="str">
        <f>'Formulation Name Data'!A154&amp;"_T2"</f>
        <v>CL_MD2012-16_G225_DGBE_0.52_0.78_0.5_T2</v>
      </c>
      <c r="CD3" s="1" t="str">
        <f>'Formulation Name Data'!A155&amp;"_T1"</f>
        <v>NRL_N10478-198_G225_DGBE_0.065_0.3_0.5_T1</v>
      </c>
      <c r="CE3" s="1" t="str">
        <f>'Formulation Name Data'!A155&amp;"_T2"</f>
        <v>NRL_N10478-198_G225_DGBE_0.065_0.3_0.5_T2</v>
      </c>
      <c r="CF3" s="1" t="str">
        <f>'Formulation Name Data'!A158&amp;"_T1"</f>
        <v>CL_MD2102-54_G225_DGBE_0.2_0.3_0.5_T1</v>
      </c>
      <c r="CG3" s="1" t="str">
        <f>'Formulation Name Data'!A158&amp;"_T2"</f>
        <v>CL_MD2102-54_G225_DGBE_0.2_0.3_0.5_T2</v>
      </c>
      <c r="CH3" s="1" t="str">
        <f>'Formulation Name Data'!A182&amp;"_T1"</f>
        <v>NRL_LBII43_G225_DGBE_0.2_0.3_0.5_T1</v>
      </c>
      <c r="CI3" s="1" t="str">
        <f>'Formulation Name Data'!A182&amp;"_T2"</f>
        <v>NRL_LBII43_G225_DGBE_0.2_0.3_0.5_T2</v>
      </c>
      <c r="CJ3" s="1" t="str">
        <f>'Formulation Name Data'!A184&amp;"_T1"</f>
        <v>NRL_CB-1-123_G225_DGBE_0.2_0.3_0.5_T1</v>
      </c>
      <c r="CK3" s="1" t="str">
        <f>'Formulation Name Data'!A183&amp;"_T1"</f>
        <v>NRL_CB_DTBTS_SB_G225_DGBE_0.02_0.3_0.5_T1</v>
      </c>
      <c r="CL3" s="1" t="str">
        <f>'Formulation Name Data'!A183&amp;"_T2"</f>
        <v>NRL_CB_DTBTS_SB_G225_DGBE_0.02_0.3_0.5_T2</v>
      </c>
      <c r="CM3" s="44" t="str">
        <f>'Formulation Name Data'!A185&amp;"_T1"</f>
        <v>NRL_N10478-227_G225_DGBE_0.063_0.3_0.5_T1</v>
      </c>
      <c r="CN3" s="44" t="str">
        <f>'Formulation Name Data'!A186&amp;"_T1"</f>
        <v>NRL_N10478-233_G225_DGBE_0.03_0.3_0.5_T1</v>
      </c>
      <c r="CO3" s="44" t="str">
        <f>'Formulation Name Data'!A187&amp;"_T1"</f>
        <v>NRL_N10478-240_G225_DGBE_#_0.3_0.5_T1</v>
      </c>
      <c r="CP3" s="44" t="str">
        <f>'Formulation Name Data'!A187&amp;"_T2"</f>
        <v>NRL_N10478-240_G225_DGBE_#_0.3_0.5_T2</v>
      </c>
      <c r="CQ3" s="44" t="str">
        <f>'Formulation Name Data'!A188&amp;"_T1"</f>
        <v>CL_MD2102-90_G225_DGBE_0.2_0.3_0.5_T1</v>
      </c>
      <c r="CR3" s="44" t="str">
        <f>'Formulation Name Data'!A188&amp;"_T2"</f>
        <v>CL_MD2102-90_G225_DGBE_0.2_0.3_0.5_T2</v>
      </c>
      <c r="CS3" s="44" t="str">
        <f>'Formulation Name Data'!A189&amp;"_T1"</f>
        <v>CL_MD2102-112_G225_DGBE_0.05_0.3_0.5_T1</v>
      </c>
      <c r="CT3" s="44" t="str">
        <f>'Formulation Name Data'!A189&amp;"_T2"</f>
        <v>CL_MD2102-112_G225_DGBE_0.05_0.3_0.5_T2</v>
      </c>
      <c r="CU3" s="44" t="str">
        <f>'Formulation Name Data'!A190&amp;"_T1"</f>
        <v>CL_MD2102-118_G225_DGBE_0.2_0.3_0.5_T1</v>
      </c>
      <c r="CV3" s="44" t="str">
        <f>'Formulation Name Data'!A190&amp;"_T2"</f>
        <v>CL_MD2102-118_G225_DGBE_0.2_0.3_0.5_T2</v>
      </c>
      <c r="CW3" s="44" t="str">
        <f>'Formulation Name Data'!A191&amp;"_T1"</f>
        <v>ComSor_EXP-21-CH1070-1_3_T1</v>
      </c>
      <c r="CX3" s="44" t="str">
        <f>'Formulation Name Data'!A191&amp;"_T2"</f>
        <v>ComSor_EXP-21-CH1070-1_3_T2</v>
      </c>
      <c r="CY3" s="1" t="str">
        <f>'Formulation Name Data'!A192&amp;"_T1"</f>
        <v>ComSor_EXP-21-CH1070-2_3_T1</v>
      </c>
      <c r="CZ3" s="1" t="str">
        <f>'Formulation Name Data'!A192&amp;"_T2"</f>
        <v>ComSor_EXP-21-CH1070-2_3_T2</v>
      </c>
      <c r="DA3" s="1" t="str">
        <f>'Formulation Name Data'!A193&amp;"_T1"</f>
        <v>ComSor_EXP-21-CH1070-4_1_T1</v>
      </c>
      <c r="DB3" s="1" t="str">
        <f>'Formulation Name Data'!A193&amp;"_T2"</f>
        <v>ComSor_EXP-21-CH1070-4_1_T2</v>
      </c>
      <c r="DC3" s="1" t="str">
        <f>'Formulation Name Data'!A197&amp;"_T1"</f>
        <v>NRL_CB-1-192_G225_DGBE_0.14_0.21_0.5_T1</v>
      </c>
      <c r="DD3" s="1" t="str">
        <f>'Formulation Name Data'!A197&amp;"_T2"</f>
        <v>NRL_CB-1-192_G225_DGBE_0.14_0.21_0.5_T2</v>
      </c>
    </row>
    <row r="4" spans="1:108" x14ac:dyDescent="0.35">
      <c r="A4">
        <v>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s="42">
        <v>0</v>
      </c>
      <c r="CG4" s="42">
        <v>0</v>
      </c>
      <c r="CH4" s="42">
        <v>0</v>
      </c>
      <c r="CI4" s="42">
        <v>0</v>
      </c>
      <c r="CJ4" s="42">
        <v>0</v>
      </c>
      <c r="CK4" s="42">
        <v>0</v>
      </c>
      <c r="CL4" s="42">
        <v>0</v>
      </c>
      <c r="CM4" s="42">
        <v>0</v>
      </c>
      <c r="CN4" s="42">
        <v>0</v>
      </c>
      <c r="CO4">
        <v>0</v>
      </c>
      <c r="CP4">
        <v>0</v>
      </c>
      <c r="CQ4" s="42">
        <v>0</v>
      </c>
      <c r="CR4" s="42">
        <v>0</v>
      </c>
      <c r="CS4">
        <v>0</v>
      </c>
      <c r="CT4">
        <v>0</v>
      </c>
      <c r="CU4">
        <v>0</v>
      </c>
      <c r="CV4">
        <v>0</v>
      </c>
      <c r="CW4">
        <v>0</v>
      </c>
      <c r="CX4">
        <v>0</v>
      </c>
      <c r="CY4" s="42">
        <v>0</v>
      </c>
      <c r="CZ4" s="42">
        <v>0</v>
      </c>
      <c r="DA4" s="42">
        <v>0</v>
      </c>
      <c r="DB4" s="42">
        <v>0</v>
      </c>
      <c r="DC4" s="42">
        <v>0</v>
      </c>
      <c r="DD4" s="42">
        <v>0</v>
      </c>
    </row>
    <row r="5" spans="1:108" x14ac:dyDescent="0.35">
      <c r="A5">
        <v>10</v>
      </c>
      <c r="B5">
        <v>10</v>
      </c>
      <c r="C5">
        <v>10</v>
      </c>
      <c r="D5">
        <v>30</v>
      </c>
      <c r="E5">
        <v>30</v>
      </c>
      <c r="F5">
        <v>30</v>
      </c>
      <c r="G5">
        <v>4</v>
      </c>
      <c r="H5">
        <v>4</v>
      </c>
      <c r="I5">
        <v>4</v>
      </c>
      <c r="J5">
        <v>5</v>
      </c>
      <c r="K5">
        <v>10</v>
      </c>
      <c r="L5">
        <v>10</v>
      </c>
      <c r="M5">
        <v>10</v>
      </c>
      <c r="N5">
        <v>5</v>
      </c>
      <c r="O5">
        <v>5</v>
      </c>
      <c r="P5">
        <v>3</v>
      </c>
      <c r="Q5">
        <v>3</v>
      </c>
      <c r="R5">
        <v>2</v>
      </c>
      <c r="S5">
        <v>2</v>
      </c>
      <c r="T5">
        <v>2</v>
      </c>
      <c r="U5">
        <v>10</v>
      </c>
      <c r="V5">
        <v>10</v>
      </c>
      <c r="W5">
        <v>10</v>
      </c>
      <c r="X5">
        <v>2</v>
      </c>
      <c r="Y5">
        <v>4</v>
      </c>
      <c r="Z5">
        <v>4</v>
      </c>
      <c r="AA5">
        <v>4</v>
      </c>
      <c r="AB5">
        <v>10</v>
      </c>
      <c r="AC5">
        <v>10</v>
      </c>
      <c r="AD5">
        <v>2</v>
      </c>
      <c r="AE5">
        <v>2</v>
      </c>
      <c r="AF5">
        <v>1</v>
      </c>
      <c r="AG5">
        <v>30</v>
      </c>
      <c r="AH5">
        <v>30</v>
      </c>
      <c r="AI5">
        <v>20</v>
      </c>
      <c r="AJ5">
        <v>20</v>
      </c>
      <c r="AK5">
        <v>30</v>
      </c>
      <c r="AL5">
        <v>30</v>
      </c>
      <c r="AM5">
        <v>30</v>
      </c>
      <c r="AN5">
        <v>30</v>
      </c>
      <c r="AO5">
        <v>20</v>
      </c>
      <c r="AP5">
        <v>20</v>
      </c>
      <c r="AQ5">
        <v>20</v>
      </c>
      <c r="AR5">
        <v>20</v>
      </c>
      <c r="AS5">
        <v>5</v>
      </c>
      <c r="AT5">
        <v>5</v>
      </c>
      <c r="AU5">
        <v>5</v>
      </c>
      <c r="AV5">
        <v>10</v>
      </c>
      <c r="AW5">
        <v>10</v>
      </c>
      <c r="AX5">
        <v>10</v>
      </c>
      <c r="AY5">
        <v>10</v>
      </c>
      <c r="AZ5">
        <v>10</v>
      </c>
      <c r="BA5">
        <v>10</v>
      </c>
      <c r="BB5">
        <v>10</v>
      </c>
      <c r="BC5">
        <v>10</v>
      </c>
      <c r="BD5">
        <v>10</v>
      </c>
      <c r="BE5">
        <v>10</v>
      </c>
      <c r="BF5">
        <v>10</v>
      </c>
      <c r="BG5">
        <v>10</v>
      </c>
      <c r="BH5">
        <v>10</v>
      </c>
      <c r="BI5">
        <v>10</v>
      </c>
      <c r="BJ5">
        <v>10</v>
      </c>
      <c r="BK5">
        <v>10</v>
      </c>
      <c r="BL5">
        <v>20</v>
      </c>
      <c r="BM5">
        <v>20</v>
      </c>
      <c r="BN5">
        <v>20</v>
      </c>
      <c r="BO5">
        <v>20</v>
      </c>
      <c r="BP5">
        <v>20</v>
      </c>
      <c r="BQ5">
        <v>10</v>
      </c>
      <c r="BR5">
        <v>10</v>
      </c>
      <c r="BS5">
        <v>10</v>
      </c>
      <c r="BT5">
        <v>10</v>
      </c>
      <c r="BU5">
        <v>10</v>
      </c>
      <c r="BV5">
        <v>10</v>
      </c>
      <c r="BW5">
        <v>5</v>
      </c>
      <c r="BX5">
        <v>5</v>
      </c>
      <c r="BY5">
        <v>40</v>
      </c>
      <c r="BZ5">
        <v>103</v>
      </c>
      <c r="CA5">
        <v>15</v>
      </c>
      <c r="CB5">
        <v>5</v>
      </c>
      <c r="CC5">
        <v>5</v>
      </c>
      <c r="CD5">
        <v>2</v>
      </c>
      <c r="CE5">
        <v>2</v>
      </c>
      <c r="CF5" s="42">
        <v>5</v>
      </c>
      <c r="CG5" s="42">
        <v>5</v>
      </c>
      <c r="CH5" s="42">
        <v>5</v>
      </c>
      <c r="CI5" s="42">
        <v>5</v>
      </c>
      <c r="CJ5" s="42">
        <v>1</v>
      </c>
      <c r="CK5" s="42">
        <v>6</v>
      </c>
      <c r="CL5" s="42">
        <v>6</v>
      </c>
      <c r="CM5" s="42">
        <v>1</v>
      </c>
      <c r="CN5" s="42">
        <v>0.5</v>
      </c>
      <c r="CO5">
        <v>2</v>
      </c>
      <c r="CP5">
        <v>2</v>
      </c>
      <c r="CQ5" s="42">
        <v>1.5</v>
      </c>
      <c r="CR5" s="42">
        <v>1.5</v>
      </c>
      <c r="CS5">
        <v>3</v>
      </c>
      <c r="CT5">
        <v>3</v>
      </c>
      <c r="CU5">
        <v>5</v>
      </c>
      <c r="CV5">
        <v>5</v>
      </c>
      <c r="CW5">
        <v>20</v>
      </c>
      <c r="CX5">
        <v>20</v>
      </c>
      <c r="CY5" s="42">
        <v>20</v>
      </c>
      <c r="CZ5" s="42">
        <v>20</v>
      </c>
      <c r="DA5" s="42">
        <v>40</v>
      </c>
      <c r="DB5" s="42">
        <v>40</v>
      </c>
      <c r="DC5" s="42">
        <v>5</v>
      </c>
      <c r="DD5" s="42">
        <v>5</v>
      </c>
    </row>
    <row r="6" spans="1:108" x14ac:dyDescent="0.35">
      <c r="A6">
        <v>20</v>
      </c>
      <c r="B6">
        <v>20</v>
      </c>
      <c r="C6">
        <v>20</v>
      </c>
      <c r="D6">
        <v>60</v>
      </c>
      <c r="E6">
        <v>60</v>
      </c>
      <c r="F6">
        <v>60</v>
      </c>
      <c r="G6">
        <v>8</v>
      </c>
      <c r="H6">
        <v>8</v>
      </c>
      <c r="I6">
        <v>8</v>
      </c>
      <c r="J6">
        <v>10</v>
      </c>
      <c r="K6">
        <v>20</v>
      </c>
      <c r="L6">
        <v>20</v>
      </c>
      <c r="M6">
        <v>20</v>
      </c>
      <c r="N6">
        <v>10</v>
      </c>
      <c r="O6">
        <v>10</v>
      </c>
      <c r="P6">
        <v>6</v>
      </c>
      <c r="Q6">
        <v>6</v>
      </c>
      <c r="R6">
        <v>4</v>
      </c>
      <c r="S6">
        <v>4</v>
      </c>
      <c r="T6">
        <v>4</v>
      </c>
      <c r="U6">
        <v>20</v>
      </c>
      <c r="V6">
        <v>20</v>
      </c>
      <c r="W6">
        <v>20</v>
      </c>
      <c r="X6">
        <v>4</v>
      </c>
      <c r="Y6">
        <v>8</v>
      </c>
      <c r="Z6">
        <v>8</v>
      </c>
      <c r="AA6">
        <v>8</v>
      </c>
      <c r="AB6">
        <v>20</v>
      </c>
      <c r="AC6">
        <v>20</v>
      </c>
      <c r="AD6">
        <v>5</v>
      </c>
      <c r="AE6">
        <v>5</v>
      </c>
      <c r="AG6">
        <v>60</v>
      </c>
      <c r="AH6">
        <v>60</v>
      </c>
      <c r="AI6">
        <v>40</v>
      </c>
      <c r="AJ6">
        <v>40</v>
      </c>
      <c r="AK6">
        <v>60</v>
      </c>
      <c r="AL6">
        <v>60</v>
      </c>
      <c r="AM6">
        <v>60</v>
      </c>
      <c r="AN6">
        <v>60</v>
      </c>
      <c r="AO6">
        <v>60</v>
      </c>
      <c r="AP6">
        <v>60</v>
      </c>
      <c r="AQ6">
        <v>60</v>
      </c>
      <c r="AR6">
        <v>60</v>
      </c>
      <c r="AS6">
        <v>10</v>
      </c>
      <c r="AT6">
        <v>10</v>
      </c>
      <c r="AU6">
        <v>10</v>
      </c>
      <c r="AV6">
        <v>20</v>
      </c>
      <c r="AW6">
        <v>20</v>
      </c>
      <c r="AX6">
        <v>20</v>
      </c>
      <c r="AY6">
        <v>20</v>
      </c>
      <c r="AZ6">
        <v>20</v>
      </c>
      <c r="BA6">
        <v>20</v>
      </c>
      <c r="BB6">
        <v>20</v>
      </c>
      <c r="BC6">
        <v>20</v>
      </c>
      <c r="BD6">
        <v>20</v>
      </c>
      <c r="BE6">
        <v>20</v>
      </c>
      <c r="BF6">
        <v>20</v>
      </c>
      <c r="BG6">
        <v>20</v>
      </c>
      <c r="BH6">
        <v>20</v>
      </c>
      <c r="BI6">
        <v>20</v>
      </c>
      <c r="BJ6">
        <v>20</v>
      </c>
      <c r="BK6">
        <v>20</v>
      </c>
      <c r="BL6">
        <v>40</v>
      </c>
      <c r="BM6">
        <v>40</v>
      </c>
      <c r="BN6">
        <v>30</v>
      </c>
      <c r="BO6">
        <v>30</v>
      </c>
      <c r="BP6">
        <v>30</v>
      </c>
      <c r="BQ6">
        <v>20</v>
      </c>
      <c r="BR6">
        <v>20</v>
      </c>
      <c r="BS6">
        <v>20</v>
      </c>
      <c r="BT6">
        <v>20</v>
      </c>
      <c r="BU6">
        <v>20</v>
      </c>
      <c r="BV6">
        <v>20</v>
      </c>
      <c r="BW6">
        <v>10</v>
      </c>
      <c r="BX6">
        <v>10</v>
      </c>
      <c r="BY6">
        <v>80</v>
      </c>
      <c r="CA6">
        <v>45</v>
      </c>
      <c r="CB6">
        <v>10</v>
      </c>
      <c r="CC6">
        <v>10</v>
      </c>
      <c r="CD6">
        <v>4</v>
      </c>
      <c r="CE6">
        <v>4</v>
      </c>
      <c r="CF6" s="42">
        <v>10</v>
      </c>
      <c r="CG6" s="42">
        <v>10</v>
      </c>
      <c r="CH6" s="42">
        <v>10</v>
      </c>
      <c r="CI6" s="42">
        <v>10</v>
      </c>
      <c r="CJ6" s="42">
        <v>2.5</v>
      </c>
      <c r="CK6" s="42">
        <v>12</v>
      </c>
      <c r="CL6" s="42">
        <v>12</v>
      </c>
      <c r="CM6" s="42">
        <v>2</v>
      </c>
      <c r="CO6">
        <v>4</v>
      </c>
      <c r="CP6">
        <v>4</v>
      </c>
      <c r="CS6">
        <v>6</v>
      </c>
      <c r="CT6">
        <v>6</v>
      </c>
      <c r="CU6">
        <v>10</v>
      </c>
      <c r="CV6">
        <v>10</v>
      </c>
      <c r="CW6">
        <v>40</v>
      </c>
      <c r="CX6">
        <v>40</v>
      </c>
      <c r="CY6" s="42">
        <v>40</v>
      </c>
      <c r="CZ6" s="42">
        <v>40</v>
      </c>
      <c r="DA6" s="42">
        <v>80</v>
      </c>
      <c r="DB6" s="42">
        <v>80</v>
      </c>
      <c r="DC6" s="42">
        <v>10</v>
      </c>
      <c r="DD6" s="42">
        <v>10</v>
      </c>
    </row>
    <row r="7" spans="1:108" x14ac:dyDescent="0.35">
      <c r="A7">
        <v>30</v>
      </c>
      <c r="B7">
        <v>30</v>
      </c>
      <c r="C7">
        <v>30</v>
      </c>
      <c r="D7">
        <v>90</v>
      </c>
      <c r="E7">
        <v>90</v>
      </c>
      <c r="F7">
        <v>90</v>
      </c>
      <c r="G7">
        <v>12</v>
      </c>
      <c r="H7">
        <v>12</v>
      </c>
      <c r="I7">
        <v>12</v>
      </c>
      <c r="J7">
        <v>15</v>
      </c>
      <c r="K7">
        <v>30</v>
      </c>
      <c r="L7">
        <v>30</v>
      </c>
      <c r="M7">
        <v>30</v>
      </c>
      <c r="N7">
        <v>15</v>
      </c>
      <c r="O7">
        <v>15</v>
      </c>
      <c r="P7">
        <v>9</v>
      </c>
      <c r="Q7">
        <v>9</v>
      </c>
      <c r="R7">
        <v>6</v>
      </c>
      <c r="S7">
        <v>6</v>
      </c>
      <c r="T7">
        <v>6</v>
      </c>
      <c r="U7">
        <v>30</v>
      </c>
      <c r="V7">
        <v>30</v>
      </c>
      <c r="W7">
        <v>30</v>
      </c>
      <c r="X7">
        <v>6</v>
      </c>
      <c r="Y7">
        <v>12</v>
      </c>
      <c r="Z7">
        <v>12</v>
      </c>
      <c r="AA7">
        <v>12</v>
      </c>
      <c r="AB7">
        <v>30</v>
      </c>
      <c r="AC7">
        <v>30</v>
      </c>
      <c r="AD7">
        <v>7</v>
      </c>
      <c r="AE7">
        <v>7</v>
      </c>
      <c r="AG7">
        <v>90</v>
      </c>
      <c r="AH7">
        <v>90</v>
      </c>
      <c r="AI7">
        <v>60</v>
      </c>
      <c r="AJ7">
        <v>60</v>
      </c>
      <c r="AK7">
        <v>90</v>
      </c>
      <c r="AL7">
        <v>90</v>
      </c>
      <c r="AM7">
        <v>90</v>
      </c>
      <c r="AN7">
        <v>90</v>
      </c>
      <c r="AO7">
        <v>100</v>
      </c>
      <c r="AP7">
        <v>100</v>
      </c>
      <c r="AQ7">
        <v>80</v>
      </c>
      <c r="AS7">
        <v>20</v>
      </c>
      <c r="AT7">
        <v>20</v>
      </c>
      <c r="AU7">
        <v>20</v>
      </c>
      <c r="AV7">
        <v>25</v>
      </c>
      <c r="AW7">
        <v>40</v>
      </c>
      <c r="AX7">
        <v>40</v>
      </c>
      <c r="AY7">
        <v>40</v>
      </c>
      <c r="AZ7">
        <v>30</v>
      </c>
      <c r="BA7">
        <v>30</v>
      </c>
      <c r="BB7">
        <v>30</v>
      </c>
      <c r="BC7">
        <v>40</v>
      </c>
      <c r="BD7">
        <v>40</v>
      </c>
      <c r="BE7">
        <v>30</v>
      </c>
      <c r="BF7">
        <v>30</v>
      </c>
      <c r="BG7">
        <v>30</v>
      </c>
      <c r="BH7">
        <v>30</v>
      </c>
      <c r="BI7">
        <v>29.5</v>
      </c>
      <c r="BJ7">
        <v>29.5</v>
      </c>
      <c r="BK7">
        <v>29.5</v>
      </c>
      <c r="BL7">
        <v>60</v>
      </c>
      <c r="BM7">
        <v>60</v>
      </c>
      <c r="BN7">
        <v>40</v>
      </c>
      <c r="BO7">
        <v>40</v>
      </c>
      <c r="BP7">
        <v>40</v>
      </c>
      <c r="BQ7">
        <v>30</v>
      </c>
      <c r="BR7">
        <v>30</v>
      </c>
      <c r="BS7">
        <v>30</v>
      </c>
      <c r="BT7">
        <v>26</v>
      </c>
      <c r="BU7">
        <v>26</v>
      </c>
      <c r="BV7">
        <v>26</v>
      </c>
      <c r="BW7">
        <v>15</v>
      </c>
      <c r="BX7">
        <v>15</v>
      </c>
      <c r="BY7">
        <v>120</v>
      </c>
      <c r="CA7">
        <v>60</v>
      </c>
      <c r="CB7">
        <v>13.75</v>
      </c>
      <c r="CC7">
        <v>13.75</v>
      </c>
      <c r="CD7">
        <v>6</v>
      </c>
      <c r="CE7">
        <v>6</v>
      </c>
      <c r="CF7" s="42">
        <v>15</v>
      </c>
      <c r="CG7" s="42">
        <v>15</v>
      </c>
      <c r="CH7" s="42">
        <v>15</v>
      </c>
      <c r="CI7" s="42">
        <v>15</v>
      </c>
      <c r="CK7" s="42">
        <v>17.5</v>
      </c>
      <c r="CL7" s="42">
        <v>14.75</v>
      </c>
      <c r="CO7">
        <v>6.5</v>
      </c>
      <c r="CP7">
        <v>6.25</v>
      </c>
      <c r="CS7">
        <v>9</v>
      </c>
      <c r="CT7">
        <v>9</v>
      </c>
      <c r="CU7">
        <v>15</v>
      </c>
      <c r="CV7">
        <v>15</v>
      </c>
      <c r="CW7">
        <v>80</v>
      </c>
      <c r="CX7">
        <v>80</v>
      </c>
      <c r="CY7" s="42">
        <v>80</v>
      </c>
      <c r="CZ7" s="42">
        <v>80</v>
      </c>
      <c r="DA7" s="42">
        <v>100</v>
      </c>
      <c r="DB7" s="42">
        <v>100</v>
      </c>
      <c r="DC7" s="42">
        <v>20</v>
      </c>
      <c r="DD7" s="42">
        <v>17</v>
      </c>
    </row>
    <row r="8" spans="1:108" x14ac:dyDescent="0.35">
      <c r="A8">
        <v>36</v>
      </c>
      <c r="B8">
        <v>36</v>
      </c>
      <c r="C8">
        <v>36</v>
      </c>
      <c r="D8">
        <v>120</v>
      </c>
      <c r="E8">
        <v>120</v>
      </c>
      <c r="F8">
        <v>120</v>
      </c>
      <c r="G8">
        <v>14</v>
      </c>
      <c r="H8">
        <v>14</v>
      </c>
      <c r="I8">
        <v>14</v>
      </c>
      <c r="J8">
        <v>20</v>
      </c>
      <c r="K8">
        <v>40</v>
      </c>
      <c r="L8">
        <v>32</v>
      </c>
      <c r="M8">
        <v>32</v>
      </c>
      <c r="N8">
        <v>19</v>
      </c>
      <c r="O8">
        <v>19</v>
      </c>
      <c r="P8">
        <v>15</v>
      </c>
      <c r="Q8">
        <v>15</v>
      </c>
      <c r="R8">
        <v>8</v>
      </c>
      <c r="S8">
        <v>8</v>
      </c>
      <c r="T8">
        <v>8</v>
      </c>
      <c r="U8">
        <v>40</v>
      </c>
      <c r="V8">
        <v>40</v>
      </c>
      <c r="W8">
        <v>40</v>
      </c>
      <c r="X8">
        <v>8.5</v>
      </c>
      <c r="Y8">
        <v>16</v>
      </c>
      <c r="Z8">
        <v>16</v>
      </c>
      <c r="AA8">
        <v>16</v>
      </c>
      <c r="AB8">
        <v>31</v>
      </c>
      <c r="AC8">
        <v>31</v>
      </c>
      <c r="AG8">
        <v>105</v>
      </c>
      <c r="AH8">
        <v>105</v>
      </c>
      <c r="AI8">
        <v>75</v>
      </c>
      <c r="AJ8">
        <v>75</v>
      </c>
      <c r="AK8">
        <v>100</v>
      </c>
      <c r="AL8">
        <v>100</v>
      </c>
      <c r="AM8">
        <v>105</v>
      </c>
      <c r="AN8">
        <v>105</v>
      </c>
      <c r="AO8">
        <v>120</v>
      </c>
      <c r="AP8">
        <v>120</v>
      </c>
      <c r="AQ8">
        <v>100</v>
      </c>
      <c r="AS8">
        <v>32</v>
      </c>
      <c r="AT8">
        <v>32</v>
      </c>
      <c r="AU8">
        <v>32</v>
      </c>
      <c r="AV8">
        <v>27</v>
      </c>
      <c r="AW8">
        <v>56</v>
      </c>
      <c r="AX8">
        <v>56</v>
      </c>
      <c r="AY8">
        <v>56</v>
      </c>
      <c r="AZ8">
        <v>40</v>
      </c>
      <c r="BA8">
        <v>40</v>
      </c>
      <c r="BB8">
        <v>40</v>
      </c>
      <c r="BC8">
        <v>60</v>
      </c>
      <c r="BE8">
        <v>32</v>
      </c>
      <c r="BF8">
        <v>32</v>
      </c>
      <c r="BG8">
        <v>40</v>
      </c>
      <c r="BH8">
        <v>40</v>
      </c>
      <c r="BL8">
        <v>75</v>
      </c>
      <c r="BM8">
        <v>75</v>
      </c>
      <c r="BN8">
        <v>50</v>
      </c>
      <c r="BO8">
        <v>50</v>
      </c>
      <c r="BP8">
        <v>50</v>
      </c>
      <c r="BQ8">
        <v>40</v>
      </c>
      <c r="BR8">
        <v>40</v>
      </c>
      <c r="BS8">
        <v>40</v>
      </c>
      <c r="BW8">
        <v>19</v>
      </c>
      <c r="BX8">
        <v>19</v>
      </c>
      <c r="BY8">
        <v>150</v>
      </c>
      <c r="CA8">
        <v>75</v>
      </c>
      <c r="CD8">
        <v>7</v>
      </c>
      <c r="CE8">
        <v>10</v>
      </c>
      <c r="CF8" s="42">
        <v>16</v>
      </c>
      <c r="CG8" s="42">
        <v>22</v>
      </c>
      <c r="CH8" s="42">
        <v>22</v>
      </c>
      <c r="CI8" s="42">
        <v>21</v>
      </c>
      <c r="CS8">
        <v>10</v>
      </c>
      <c r="CT8">
        <v>12.25</v>
      </c>
      <c r="CU8">
        <v>18</v>
      </c>
      <c r="CV8">
        <v>18</v>
      </c>
      <c r="CW8">
        <v>120</v>
      </c>
      <c r="CX8">
        <v>130</v>
      </c>
      <c r="CY8" s="42">
        <v>100</v>
      </c>
      <c r="CZ8" s="42">
        <v>110</v>
      </c>
      <c r="DA8" s="42">
        <v>120</v>
      </c>
      <c r="DB8" s="42">
        <v>140</v>
      </c>
    </row>
    <row r="9" spans="1:108" x14ac:dyDescent="0.35">
      <c r="C9">
        <v>41</v>
      </c>
      <c r="J9">
        <v>25</v>
      </c>
      <c r="K9">
        <v>46</v>
      </c>
      <c r="R9">
        <v>10</v>
      </c>
      <c r="S9">
        <v>10</v>
      </c>
      <c r="U9">
        <v>50</v>
      </c>
      <c r="V9">
        <v>50</v>
      </c>
      <c r="W9">
        <v>50</v>
      </c>
      <c r="Y9">
        <v>21</v>
      </c>
      <c r="Z9">
        <v>21</v>
      </c>
      <c r="AA9">
        <v>21</v>
      </c>
      <c r="BC9">
        <v>90</v>
      </c>
      <c r="BN9">
        <v>54</v>
      </c>
      <c r="BO9">
        <v>54</v>
      </c>
      <c r="BP9">
        <v>54</v>
      </c>
      <c r="BQ9">
        <v>46</v>
      </c>
      <c r="BR9">
        <v>46</v>
      </c>
      <c r="BS9">
        <v>46</v>
      </c>
    </row>
    <row r="10" spans="1:108" x14ac:dyDescent="0.35">
      <c r="J10">
        <v>30</v>
      </c>
      <c r="R10">
        <v>12</v>
      </c>
      <c r="U10">
        <v>60</v>
      </c>
      <c r="V10">
        <v>60</v>
      </c>
      <c r="W10">
        <v>60</v>
      </c>
    </row>
    <row r="11" spans="1:108" x14ac:dyDescent="0.35">
      <c r="J11">
        <v>35</v>
      </c>
      <c r="R11">
        <v>14</v>
      </c>
      <c r="U11">
        <v>70</v>
      </c>
      <c r="V11">
        <v>70</v>
      </c>
      <c r="W11">
        <v>70</v>
      </c>
    </row>
    <row r="12" spans="1:108" x14ac:dyDescent="0.35">
      <c r="J12">
        <v>40</v>
      </c>
    </row>
    <row r="13" spans="1:108" x14ac:dyDescent="0.35">
      <c r="J13">
        <v>42</v>
      </c>
    </row>
    <row r="18" spans="2:108" x14ac:dyDescent="0.35">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D18"/>
  <sheetViews>
    <sheetView topLeftCell="CS1" zoomScale="120" zoomScaleNormal="120" workbookViewId="0">
      <selection activeCell="A2" sqref="A2"/>
    </sheetView>
  </sheetViews>
  <sheetFormatPr defaultRowHeight="14.5" x14ac:dyDescent="0.35"/>
  <cols>
    <col min="3" max="3" width="11.81640625" customWidth="1"/>
    <col min="6" max="6" width="13" customWidth="1"/>
    <col min="9" max="9" width="13.453125" customWidth="1"/>
    <col min="10" max="10" width="12.453125" customWidth="1"/>
    <col min="28" max="31" width="10.36328125" customWidth="1"/>
    <col min="32" max="32" width="10" customWidth="1"/>
    <col min="58" max="58" width="11.54296875" customWidth="1"/>
    <col min="60" max="60" width="8.6328125" customWidth="1"/>
    <col min="63" max="63" width="9.6328125" customWidth="1"/>
    <col min="68" max="68" width="10.36328125" customWidth="1"/>
    <col min="74" max="74" width="10.6328125" customWidth="1"/>
    <col min="76" max="76" width="11.1796875" customWidth="1"/>
  </cols>
  <sheetData>
    <row r="1" spans="1:108" s="60" customFormat="1" x14ac:dyDescent="0.35">
      <c r="A1" s="60" t="s">
        <v>548</v>
      </c>
    </row>
    <row r="2" spans="1:108" s="60" customFormat="1" x14ac:dyDescent="0.35"/>
    <row r="3" spans="1:108" s="44" customFormat="1" ht="83.75" customHeight="1" x14ac:dyDescent="0.35">
      <c r="A3" s="44" t="str">
        <f>'Formulation Name Data'!A37&amp;"_T1"</f>
        <v>D502W_G225_DGBE_0.2_0.3_0.5_T1</v>
      </c>
      <c r="B3" s="44" t="str">
        <f>'Formulation Name Data'!A37&amp;"_T2"</f>
        <v>D502W_G225_DGBE_0.2_0.3_0.5_T2</v>
      </c>
      <c r="C3" s="44" t="str">
        <f>'Formulation Name Data'!A37&amp;"_T3"</f>
        <v>D502W_G225_DGBE_0.2_0.3_0.5_T3</v>
      </c>
      <c r="D3" s="44" t="str">
        <f>'Formulation Name Data'!A8&amp;"_T1"</f>
        <v>Cap_G215_DGBE_0.3_0.2_0.5_T1</v>
      </c>
      <c r="E3" s="44" t="str">
        <f>'Formulation Name Data'!A8&amp;"_T2"</f>
        <v>Cap_G215_DGBE_0.3_0.2_0.5_T2</v>
      </c>
      <c r="F3" s="44" t="str">
        <f>'Formulation Name Data'!A8&amp;"_T3"</f>
        <v>Cap_G215_DGBE_0.3_0.2_0.5_T3</v>
      </c>
      <c r="G3" s="44" t="str">
        <f>'Formulation Name Data'!A113&amp;"_T1"</f>
        <v>D502W_DGBE_0.5_0.5_T1</v>
      </c>
      <c r="H3" s="44" t="str">
        <f>'Formulation Name Data'!A113&amp;"_T2"</f>
        <v>D502W_DGBE_0.5_0.5_T2</v>
      </c>
      <c r="I3" s="44" t="str">
        <f>'Formulation Name Data'!A113&amp;"_T3"</f>
        <v>D502W_DGBE_0.5_0.5_T3</v>
      </c>
      <c r="J3" s="44" t="str">
        <f>'Formulation Name Data'!A37&amp;"_T4"</f>
        <v>D502W_G225_DGBE_0.2_0.3_0.5_T4</v>
      </c>
      <c r="K3" s="44" t="str">
        <f>'Formulation Name Data'!A98&amp;"_T1"</f>
        <v>ComSor1830503_T1</v>
      </c>
      <c r="L3" s="44" t="str">
        <f>'Formulation Name Data'!A99&amp;"_T1"</f>
        <v>ComSor_26990-95B_T1</v>
      </c>
      <c r="M3" s="44" t="str">
        <f>'Formulation Name Data'!A99&amp;"_T2"</f>
        <v>ComSor_26990-95B_T2</v>
      </c>
      <c r="N3" s="44" t="str">
        <f>'Formulation Name Data'!A100&amp;"_T1"</f>
        <v>ComSor_26990-95C_T1</v>
      </c>
      <c r="O3" s="44" t="str">
        <f>'Formulation Name Data'!A100&amp;"_T2"</f>
        <v>ComSor_26990-95C_T2</v>
      </c>
      <c r="P3" s="44" t="str">
        <f>'Formulation Name Data'!A101&amp;"_T1"</f>
        <v>ComSor_26990-95D_T1</v>
      </c>
      <c r="Q3" s="44" t="str">
        <f>'Formulation Name Data'!A101&amp;"_T2"</f>
        <v>ComSor_26990-95D_T2</v>
      </c>
      <c r="R3" s="44" t="str">
        <f>'Formulation Name Data'!A58&amp;"_T1"</f>
        <v>ComSor_EXP-20-C10628-B_T1</v>
      </c>
      <c r="S3" s="44" t="str">
        <f>'Formulation Name Data'!A58&amp;"_T2"</f>
        <v>ComSor_EXP-20-C10628-B_T2</v>
      </c>
      <c r="T3" s="44" t="str">
        <f>'Formulation Name Data'!A58&amp;"_T3"</f>
        <v>ComSor_EXP-20-C10628-B_T3</v>
      </c>
      <c r="U3" s="44" t="str">
        <f>'Formulation Name Data'!A60&amp;"_T1"</f>
        <v>ComSor_EXP-20-C10628-D_T1</v>
      </c>
      <c r="V3" s="44" t="str">
        <f>'Formulation Name Data'!A60&amp;"_T2"</f>
        <v>ComSor_EXP-20-C10628-D_T2</v>
      </c>
      <c r="W3" s="44" t="str">
        <f>'Formulation Name Data'!A60&amp;"_T3"</f>
        <v>ComSor_EXP-20-C10628-D_T3</v>
      </c>
      <c r="X3" s="44" t="str">
        <f>'Formulation Name Data'!A59&amp;"_T1"</f>
        <v>ComSor_EXP-20-C10628-C_T1</v>
      </c>
      <c r="Y3" s="44" t="str">
        <f>'Formulation Name Data'!A61&amp;"_T1"</f>
        <v>ComSor_EXP-20-C10628-E_T1</v>
      </c>
      <c r="Z3" s="44" t="str">
        <f>'Formulation Name Data'!A61&amp;"_T2"</f>
        <v>ComSor_EXP-20-C10628-E_T2</v>
      </c>
      <c r="AA3" s="44" t="str">
        <f>'Formulation Name Data'!A61&amp;"_T3"</f>
        <v>ComSor_EXP-20-C10628-E_T3</v>
      </c>
      <c r="AB3" s="44" t="str">
        <f>'Formulation Name Data'!A109&amp;"_T1"</f>
        <v>G225_DGBE_0.3_0.5_T1</v>
      </c>
      <c r="AC3" s="44" t="str">
        <f>'Formulation Name Data'!A109&amp;"_T2"</f>
        <v>G225_DGBE_0.3_0.5_T2</v>
      </c>
      <c r="AD3" s="44" t="str">
        <f>'Formulation Name Data'!A138&amp;"_T1"</f>
        <v>CL_MD2086-97_G225_DGBE_0.34_0.56_0.5_T1</v>
      </c>
      <c r="AE3" s="44" t="str">
        <f>'Formulation Name Data'!A138&amp;"_T2"</f>
        <v>CL_MD2086-97_G225_DGBE_0.34_0.56_0.5_T2</v>
      </c>
      <c r="AF3" s="44" t="str">
        <f>'Formulation Name Data'!A139&amp;"_T1"</f>
        <v>CL_MD2086-97_0.5_T1</v>
      </c>
      <c r="AG3" s="44" t="str">
        <f>'Formulation Name Data'!A63&amp;"_T1"</f>
        <v>ComSor_EXP-21-1_T1</v>
      </c>
      <c r="AH3" s="44" t="str">
        <f>'Formulation Name Data'!A63&amp;"_T2"</f>
        <v>ComSor_EXP-21-1_T2</v>
      </c>
      <c r="AI3" s="44" t="str">
        <f>'Formulation Name Data'!A62&amp;"_T1"</f>
        <v>ComSor_EXP-21-2_T1</v>
      </c>
      <c r="AJ3" s="44" t="str">
        <f>'Formulation Name Data'!A62&amp;"_T2"</f>
        <v>ComSor_EXP-21-2_T2</v>
      </c>
      <c r="AK3" s="44" t="str">
        <f>'Formulation Name Data'!A68&amp;"_T1"</f>
        <v>ComSor_EXP-21-3_T1</v>
      </c>
      <c r="AL3" s="44" t="str">
        <f>'Formulation Name Data'!A68&amp;"_T2"</f>
        <v>ComSor_EXP-21-3_T2</v>
      </c>
      <c r="AM3" s="44" t="str">
        <f>'Formulation Name Data'!A69&amp;"_T1"</f>
        <v>ComSor_EXP-21-5_T1</v>
      </c>
      <c r="AN3" s="44" t="str">
        <f>'Formulation Name Data'!A69&amp;"_T2"</f>
        <v>ComSor_EXP-21-5_T2</v>
      </c>
      <c r="AO3" s="44" t="str">
        <f>'Formulation Name Data'!A70&amp;"_T1"</f>
        <v>ComSor_EXP-21-6_T1</v>
      </c>
      <c r="AP3" s="44" t="str">
        <f>'Formulation Name Data'!A70&amp;"_T2"</f>
        <v>ComSor_EXP-21-6_T2</v>
      </c>
      <c r="AQ3" s="44" t="str">
        <f>'Formulation Name Data'!A71&amp;"_T1"</f>
        <v>ComSor_EXP-21-7_T1</v>
      </c>
      <c r="AR3" s="44" t="str">
        <f>'Formulation Name Data'!A71&amp;"_T2"</f>
        <v>ComSor_EXP-21-7_T2</v>
      </c>
      <c r="AS3" s="44" t="str">
        <f>'Formulation Name Data'!A64&amp;"_T1"</f>
        <v>Avio®F3 Green KHC_T1</v>
      </c>
      <c r="AT3" s="44" t="str">
        <f>'Formulation Name Data'!A64&amp;"_T2"</f>
        <v>Avio®F3 Green KHC_T2</v>
      </c>
      <c r="AU3" s="44" t="str">
        <f>'Formulation Name Data'!A64&amp;"_T3"</f>
        <v>Avio®F3 Green KHC_T3</v>
      </c>
      <c r="AV3" s="44" t="str">
        <f>'Formulation Name Data'!A65&amp;"_T1"</f>
        <v>JetFoam 3%_T1</v>
      </c>
      <c r="AW3" s="44" t="str">
        <f>'Formulation Name Data'!A66&amp;"_T1"</f>
        <v>Solberg® Rehealing RF3 3%_T1</v>
      </c>
      <c r="AX3" s="44" t="str">
        <f>'Formulation Name Data'!A66&amp;"_T2"</f>
        <v>Solberg® Rehealing RF3 3%_T2</v>
      </c>
      <c r="AY3" s="44" t="str">
        <f>'Formulation Name Data'!A66&amp;"_T3"</f>
        <v>Solberg® Rehealing RF3 3%_T3</v>
      </c>
      <c r="AZ3" s="44" t="str">
        <f>'Formulation Name Data'!A67&amp;"_T1"</f>
        <v>FomtecEnviroUSP 3%_T1</v>
      </c>
      <c r="BA3" s="44" t="str">
        <f>'Formulation Name Data'!A67&amp;"_T2"</f>
        <v>FomtecEnviroUSP 3%_T2</v>
      </c>
      <c r="BB3" s="44" t="str">
        <f>'Formulation Name Data'!A67&amp;"_T3"</f>
        <v>FomtecEnviroUSP 3%_T3</v>
      </c>
      <c r="BC3" s="44" t="str">
        <f>'Formulation Name Data'!A110&amp;"_T1"</f>
        <v>ComSor_EXP-21-CH1035-B_T1</v>
      </c>
      <c r="BD3" s="44" t="str">
        <f>'Formulation Name Data'!A110&amp;"_T2"</f>
        <v>ComSor_EXP-21-CH1035-B_T2</v>
      </c>
      <c r="BE3" s="44" t="str">
        <f>'Formulation Name Data'!A117&amp;"_T1"</f>
        <v>ComSor_EXP-21-CH1035-A_T1</v>
      </c>
      <c r="BF3" s="44" t="str">
        <f>'Formulation Name Data'!A117&amp;"_T2"</f>
        <v>ComSor_EXP-21-CH1035-A_T2</v>
      </c>
      <c r="BG3" s="44" t="str">
        <f>'Formulation Name Data'!A118&amp;"_T1"</f>
        <v>ComSor_EXP-21-CH1035-C_T1</v>
      </c>
      <c r="BH3" s="44" t="str">
        <f>'Formulation Name Data'!A118&amp;"_T2"</f>
        <v>ComSor_EXP-21-CH1035-C_T2</v>
      </c>
      <c r="BI3" s="44" t="str">
        <f>'Formulation Name Data'!A111&amp;"_T1"</f>
        <v>G225_DGBE_0.5_0.5_T1</v>
      </c>
      <c r="BJ3" s="44" t="str">
        <f>'Formulation Name Data'!A111&amp;"_T2"</f>
        <v>G225_DGBE_0.5_0.5_T2</v>
      </c>
      <c r="BK3" s="44" t="str">
        <f>'Formulation Name Data'!A111&amp;"_T3"</f>
        <v>G225_DGBE_0.5_0.5_T3</v>
      </c>
      <c r="BL3" s="44" t="str">
        <f>'Formulation Name Data'!A140&amp;"_T1"</f>
        <v>ComSor_EXP-20-CH1024-A_T1</v>
      </c>
      <c r="BM3" s="44" t="str">
        <f>'Formulation Name Data'!A140&amp;"_T2"</f>
        <v>ComSor_EXP-20-CH1024-A_T2</v>
      </c>
      <c r="BN3" s="44" t="str">
        <f>'Formulation Name Data'!A141&amp;"_T1"</f>
        <v>ComSor_EXP-20-CH1024-B_T1</v>
      </c>
      <c r="BO3" s="44" t="str">
        <f>'Formulation Name Data'!A141&amp;"_T2"</f>
        <v>ComSor_EXP-20-CH1024-B_T2</v>
      </c>
      <c r="BP3" s="44" t="str">
        <f>'Formulation Name Data'!A141&amp;"_T3"</f>
        <v>ComSor_EXP-20-CH1024-B_T3</v>
      </c>
      <c r="BQ3" s="44" t="str">
        <f>'Formulation Name Data'!A145&amp;"_T1"</f>
        <v>ComSor_EXP-20-CH1024-F_T1</v>
      </c>
      <c r="BR3" s="44" t="str">
        <f>'Formulation Name Data'!A145&amp;"_T2"</f>
        <v>ComSor_EXP-20-CH1024-F_T2</v>
      </c>
      <c r="BS3" s="44" t="str">
        <f>'Formulation Name Data'!A145&amp;"_T3"</f>
        <v>ComSor_EXP-20-CH1024-F_T3</v>
      </c>
      <c r="BT3" s="44" t="str">
        <f>'Formulation Name Data'!A146&amp;"_T1"</f>
        <v>ComSor_EXP-20-CH1024-G_T1</v>
      </c>
      <c r="BU3" s="44" t="str">
        <f>'Formulation Name Data'!A146&amp;"_T2"</f>
        <v>ComSor_EXP-20-CH1024-G_T2</v>
      </c>
      <c r="BV3" s="44" t="str">
        <f>'Formulation Name Data'!A146&amp;"_T3"</f>
        <v>ComSor_EXP-20-CH1024-G_T3</v>
      </c>
      <c r="BW3" s="17" t="str">
        <f>'Formulation Name Data'!A148&amp;"_T1"</f>
        <v>ComSor_EXP-21-CM7837-5_T1</v>
      </c>
      <c r="BX3" s="44" t="str">
        <f>'Formulation Name Data'!A148&amp;"_T2"</f>
        <v>ComSor_EXP-21-CM7837-5_T2</v>
      </c>
      <c r="BY3" s="44" t="str">
        <f>'Formulation Name Data'!A149&amp;"_T1"</f>
        <v>ComSor_EXP-21-CM7837-4_T1</v>
      </c>
      <c r="BZ3" s="44" t="str">
        <f>'Formulation Name Data'!A152&amp;"_T1"</f>
        <v>ComSor_EXP-21-CM7837-3_T1</v>
      </c>
      <c r="CA3" s="44" t="str">
        <f>'Formulation Name Data'!A153&amp;"_T1"</f>
        <v>ComSor_EXP-21-CH1050-1_T1</v>
      </c>
      <c r="CB3" s="44" t="str">
        <f>'Formulation Name Data'!A154&amp;"_T1"</f>
        <v>CL_MD2012-16_G225_DGBE_0.52_0.78_0.5_T1</v>
      </c>
      <c r="CC3" s="44" t="str">
        <f>'Formulation Name Data'!A154&amp;"_T2"</f>
        <v>CL_MD2012-16_G225_DGBE_0.52_0.78_0.5_T2</v>
      </c>
      <c r="CD3" s="1" t="str">
        <f>'Formulation Name Data'!A155&amp;"_T1"</f>
        <v>NRL_N10478-198_G225_DGBE_0.065_0.3_0.5_T1</v>
      </c>
      <c r="CE3" s="1" t="str">
        <f>'Formulation Name Data'!A155&amp;"_T2"</f>
        <v>NRL_N10478-198_G225_DGBE_0.065_0.3_0.5_T2</v>
      </c>
      <c r="CF3" s="1" t="str">
        <f>'Formulation Name Data'!A158&amp;"_T1"</f>
        <v>CL_MD2102-54_G225_DGBE_0.2_0.3_0.5_T1</v>
      </c>
      <c r="CG3" s="1" t="str">
        <f>'Formulation Name Data'!A158&amp;"_T2"</f>
        <v>CL_MD2102-54_G225_DGBE_0.2_0.3_0.5_T2</v>
      </c>
      <c r="CH3" s="1" t="str">
        <f>'Formulation Name Data'!A182&amp;"_T1"</f>
        <v>NRL_LBII43_G225_DGBE_0.2_0.3_0.5_T1</v>
      </c>
      <c r="CI3" s="1" t="str">
        <f>'Formulation Name Data'!A182&amp;"_T2"</f>
        <v>NRL_LBII43_G225_DGBE_0.2_0.3_0.5_T2</v>
      </c>
      <c r="CJ3" s="1" t="str">
        <f>'Formulation Name Data'!A184&amp;"_T1"</f>
        <v>NRL_CB-1-123_G225_DGBE_0.2_0.3_0.5_T1</v>
      </c>
      <c r="CK3" s="1" t="str">
        <f>'Formulation Name Data'!A183&amp;"_T1"</f>
        <v>NRL_CB_DTBTS_SB_G225_DGBE_0.02_0.3_0.5_T1</v>
      </c>
      <c r="CL3" s="1" t="str">
        <f>'Formulation Name Data'!A183&amp;"_T2"</f>
        <v>NRL_CB_DTBTS_SB_G225_DGBE_0.02_0.3_0.5_T2</v>
      </c>
      <c r="CM3" s="44" t="str">
        <f>'Formulation Name Data'!A185&amp;"_T1"</f>
        <v>NRL_N10478-227_G225_DGBE_0.063_0.3_0.5_T1</v>
      </c>
      <c r="CN3" s="44" t="str">
        <f>'Formulation Name Data'!A186&amp;"_T1"</f>
        <v>NRL_N10478-233_G225_DGBE_0.03_0.3_0.5_T1</v>
      </c>
      <c r="CO3" s="44" t="str">
        <f>'Formulation Name Data'!A187&amp;"_T1"</f>
        <v>NRL_N10478-240_G225_DGBE_#_0.3_0.5_T1</v>
      </c>
      <c r="CP3" s="44" t="str">
        <f>'Formulation Name Data'!A187&amp;"_T2"</f>
        <v>NRL_N10478-240_G225_DGBE_#_0.3_0.5_T2</v>
      </c>
      <c r="CQ3" s="44" t="str">
        <f>'Formulation Name Data'!A188&amp;"_T1"</f>
        <v>CL_MD2102-90_G225_DGBE_0.2_0.3_0.5_T1</v>
      </c>
      <c r="CR3" s="44" t="str">
        <f>'Formulation Name Data'!A188&amp;"_T2"</f>
        <v>CL_MD2102-90_G225_DGBE_0.2_0.3_0.5_T2</v>
      </c>
      <c r="CS3" s="44" t="str">
        <f>'Formulation Name Data'!A189&amp;"_T1"</f>
        <v>CL_MD2102-112_G225_DGBE_0.05_0.3_0.5_T1</v>
      </c>
      <c r="CT3" s="44" t="str">
        <f>'Formulation Name Data'!A189&amp;"_T2"</f>
        <v>CL_MD2102-112_G225_DGBE_0.05_0.3_0.5_T2</v>
      </c>
      <c r="CU3" s="44" t="str">
        <f>'Formulation Name Data'!A190&amp;"_T1"</f>
        <v>CL_MD2102-118_G225_DGBE_0.2_0.3_0.5_T1</v>
      </c>
      <c r="CV3" s="44" t="str">
        <f>'Formulation Name Data'!A190&amp;"_T2"</f>
        <v>CL_MD2102-118_G225_DGBE_0.2_0.3_0.5_T2</v>
      </c>
      <c r="CW3" s="44" t="str">
        <f>'Formulation Name Data'!A191&amp;"_T1"</f>
        <v>ComSor_EXP-21-CH1070-1_3_T1</v>
      </c>
      <c r="CX3" s="44" t="str">
        <f>'Formulation Name Data'!A191&amp;"_T2"</f>
        <v>ComSor_EXP-21-CH1070-1_3_T2</v>
      </c>
      <c r="CY3" s="1" t="str">
        <f>'Formulation Name Data'!A192&amp;"_T1"</f>
        <v>ComSor_EXP-21-CH1070-2_3_T1</v>
      </c>
      <c r="CZ3" s="1" t="str">
        <f>'Formulation Name Data'!A192&amp;"_T2"</f>
        <v>ComSor_EXP-21-CH1070-2_3_T2</v>
      </c>
      <c r="DA3" s="1" t="str">
        <f>'Formulation Name Data'!A193&amp;"_T1"</f>
        <v>ComSor_EXP-21-CH1070-4_1_T1</v>
      </c>
      <c r="DB3" s="1" t="str">
        <f>'Formulation Name Data'!A193&amp;"_T2"</f>
        <v>ComSor_EXP-21-CH1070-4_1_T2</v>
      </c>
      <c r="DC3" s="1" t="str">
        <f>'Formulation Name Data'!A197&amp;"_T1"</f>
        <v>NRL_CB-1-192_G225_DGBE_0.14_0.21_0.5_T1</v>
      </c>
      <c r="DD3" s="1" t="str">
        <f>'Formulation Name Data'!A197&amp;"_T2"</f>
        <v>NRL_CB-1-192_G225_DGBE_0.14_0.21_0.5_T2</v>
      </c>
    </row>
    <row r="4" spans="1:108" x14ac:dyDescent="0.35">
      <c r="A4">
        <v>3.8460000000000001</v>
      </c>
      <c r="B4">
        <v>3.9119999999999999</v>
      </c>
      <c r="C4">
        <v>3.9409999999999998</v>
      </c>
      <c r="D4">
        <v>3.9470000000000001</v>
      </c>
      <c r="E4">
        <v>3.8620000000000001</v>
      </c>
      <c r="F4">
        <v>3.8530000000000002</v>
      </c>
      <c r="G4">
        <v>4.08</v>
      </c>
      <c r="H4">
        <v>4.1980000000000004</v>
      </c>
      <c r="I4">
        <v>4.1399999999999997</v>
      </c>
      <c r="J4">
        <f>AVERAGE(4.093, 4.24)</f>
        <v>4.1665000000000001</v>
      </c>
      <c r="K4">
        <v>3.9279999999999999</v>
      </c>
      <c r="L4">
        <v>4.0190000000000001</v>
      </c>
      <c r="M4">
        <v>4.1029999999999998</v>
      </c>
      <c r="N4">
        <v>3.9860000000000002</v>
      </c>
      <c r="O4">
        <v>4.0659999999999998</v>
      </c>
      <c r="P4">
        <v>4.1479999999999997</v>
      </c>
      <c r="Q4">
        <v>3.9649999999999999</v>
      </c>
      <c r="R4">
        <v>4</v>
      </c>
      <c r="S4">
        <v>4.0350000000000001</v>
      </c>
      <c r="T4">
        <v>3.9279999999999999</v>
      </c>
      <c r="U4">
        <v>3.9670000000000001</v>
      </c>
      <c r="V4">
        <v>3.8959999999999999</v>
      </c>
      <c r="W4">
        <v>3.9359999999999999</v>
      </c>
      <c r="X4">
        <v>4.0819999999999999</v>
      </c>
      <c r="Y4">
        <v>4.194</v>
      </c>
      <c r="Z4">
        <v>4.0110000000000001</v>
      </c>
      <c r="AA4">
        <v>4.1639999999999997</v>
      </c>
      <c r="AB4">
        <v>3.863</v>
      </c>
      <c r="AC4">
        <v>3.9470000000000001</v>
      </c>
      <c r="AD4">
        <v>4.0540000000000003</v>
      </c>
      <c r="AE4">
        <v>4.149</v>
      </c>
      <c r="AF4">
        <v>4</v>
      </c>
      <c r="AG4">
        <v>3.7749999999999999</v>
      </c>
      <c r="AH4">
        <v>3.7530000000000001</v>
      </c>
      <c r="AI4">
        <v>3.7570000000000001</v>
      </c>
      <c r="AJ4">
        <v>3.8149999999999999</v>
      </c>
      <c r="AK4">
        <v>3.673</v>
      </c>
      <c r="AL4">
        <v>3.7450000000000001</v>
      </c>
      <c r="AM4">
        <v>3.629</v>
      </c>
      <c r="AN4">
        <v>3.6760000000000002</v>
      </c>
      <c r="AO4">
        <v>3.6339999999999999</v>
      </c>
      <c r="AP4">
        <v>3.7669999999999999</v>
      </c>
      <c r="AQ4">
        <v>3.8149999999999999</v>
      </c>
      <c r="AR4">
        <v>3.798</v>
      </c>
      <c r="AS4">
        <v>3.9969999999999999</v>
      </c>
      <c r="AT4">
        <v>4.0970000000000004</v>
      </c>
      <c r="AU4">
        <v>4.0839999999999996</v>
      </c>
      <c r="AV4">
        <v>4.1479999999999997</v>
      </c>
      <c r="AW4">
        <v>4.3019999999999996</v>
      </c>
      <c r="AX4">
        <v>4.1820000000000004</v>
      </c>
      <c r="AY4">
        <v>4.0679999999999996</v>
      </c>
      <c r="AZ4">
        <v>4.2530000000000001</v>
      </c>
      <c r="BA4">
        <v>4.0979999999999999</v>
      </c>
      <c r="BB4">
        <v>4.0810000000000004</v>
      </c>
      <c r="BC4">
        <v>4.0289999999999999</v>
      </c>
      <c r="BD4">
        <v>3.9929999999999999</v>
      </c>
      <c r="BE4">
        <v>4.1130000000000004</v>
      </c>
      <c r="BF4">
        <v>4.0730000000000004</v>
      </c>
      <c r="BG4">
        <v>4.1710000000000003</v>
      </c>
      <c r="BH4">
        <v>4.2450000000000001</v>
      </c>
      <c r="BI4">
        <v>3.8279999999999998</v>
      </c>
      <c r="BJ4">
        <v>3.83</v>
      </c>
      <c r="BK4">
        <v>4.0570000000000004</v>
      </c>
      <c r="BL4">
        <v>4.0229999999999997</v>
      </c>
      <c r="BM4">
        <v>4.0599999999999996</v>
      </c>
      <c r="BN4">
        <v>3.9470000000000001</v>
      </c>
      <c r="BO4">
        <v>3.8780000000000001</v>
      </c>
      <c r="BP4">
        <v>3.9260000000000002</v>
      </c>
      <c r="BQ4">
        <v>3.956</v>
      </c>
      <c r="BR4">
        <v>3.83</v>
      </c>
      <c r="BS4">
        <v>3.964</v>
      </c>
      <c r="BT4" s="11">
        <v>4.024</v>
      </c>
      <c r="BU4" s="11">
        <v>3.952</v>
      </c>
      <c r="BV4" s="11">
        <v>4.1619999999999999</v>
      </c>
      <c r="BW4">
        <v>4.1719999999999997</v>
      </c>
      <c r="BX4">
        <v>4.2880000000000003</v>
      </c>
      <c r="BY4">
        <v>3.8860000000000001</v>
      </c>
      <c r="BZ4">
        <v>4</v>
      </c>
      <c r="CA4">
        <v>3.7290000000000001</v>
      </c>
      <c r="CB4">
        <v>4.0659999999999998</v>
      </c>
      <c r="CC4">
        <v>3.93</v>
      </c>
      <c r="CD4" s="42">
        <v>4.1920000000000002</v>
      </c>
      <c r="CE4" s="42">
        <v>4.226</v>
      </c>
      <c r="CF4" s="42">
        <v>3.9409999999999998</v>
      </c>
      <c r="CG4" s="42">
        <v>4.0209999999999999</v>
      </c>
      <c r="CH4" s="42">
        <v>4.1769999999999996</v>
      </c>
      <c r="CI4" s="42">
        <v>4.1079999999999997</v>
      </c>
      <c r="CJ4" s="42">
        <v>4.2140000000000004</v>
      </c>
      <c r="CK4" s="42">
        <v>3.9609999999999999</v>
      </c>
      <c r="CL4" s="42">
        <v>3.9</v>
      </c>
      <c r="CM4" s="42">
        <v>3.9630000000000001</v>
      </c>
      <c r="CN4" s="42">
        <v>4</v>
      </c>
      <c r="CO4" s="42">
        <v>3.831</v>
      </c>
      <c r="CP4" s="42">
        <v>3.988</v>
      </c>
      <c r="CQ4" s="42">
        <v>4</v>
      </c>
      <c r="CR4" s="42">
        <v>4</v>
      </c>
      <c r="CS4" s="42">
        <v>3.923</v>
      </c>
      <c r="CT4" s="42">
        <v>4</v>
      </c>
      <c r="CU4" s="42">
        <v>3.9430000000000001</v>
      </c>
      <c r="CV4" s="42">
        <v>4.194</v>
      </c>
      <c r="CW4" s="42">
        <v>3.9740000000000002</v>
      </c>
      <c r="CX4" s="42">
        <v>3.871</v>
      </c>
      <c r="CY4" s="42">
        <v>3.903</v>
      </c>
      <c r="CZ4" s="42">
        <v>3.907</v>
      </c>
      <c r="DA4" s="42">
        <v>3.9409999999999998</v>
      </c>
      <c r="DB4" s="42">
        <v>3.94</v>
      </c>
      <c r="DC4" s="42">
        <v>4.032</v>
      </c>
      <c r="DD4" s="42">
        <v>3.9470000000000001</v>
      </c>
    </row>
    <row r="5" spans="1:108" x14ac:dyDescent="0.35">
      <c r="A5">
        <v>3.4649999999999999</v>
      </c>
      <c r="B5">
        <v>3.6339999999999999</v>
      </c>
      <c r="C5">
        <v>3.2349999999999999</v>
      </c>
      <c r="D5">
        <v>4.5890000000000004</v>
      </c>
      <c r="E5">
        <v>4.569</v>
      </c>
      <c r="F5">
        <v>4.3129999999999997</v>
      </c>
      <c r="G5">
        <v>3.8460000000000001</v>
      </c>
      <c r="H5">
        <v>4.0709999999999997</v>
      </c>
      <c r="I5">
        <v>3.984</v>
      </c>
      <c r="J5">
        <v>3.7010000000000001</v>
      </c>
      <c r="K5">
        <v>3.4510000000000001</v>
      </c>
      <c r="L5">
        <v>4.42</v>
      </c>
      <c r="M5">
        <v>4.274</v>
      </c>
      <c r="N5">
        <v>3.68</v>
      </c>
      <c r="O5">
        <v>3.5249999999999999</v>
      </c>
      <c r="P5">
        <v>2.4350000000000001</v>
      </c>
      <c r="Q5">
        <v>2.6030000000000002</v>
      </c>
      <c r="R5">
        <v>3.8119999999999998</v>
      </c>
      <c r="S5">
        <v>2.6269999999999998</v>
      </c>
      <c r="T5">
        <v>2.706</v>
      </c>
      <c r="U5">
        <v>3.57</v>
      </c>
      <c r="V5">
        <v>3.5790000000000002</v>
      </c>
      <c r="W5">
        <v>3.1659999999999999</v>
      </c>
      <c r="X5">
        <v>3.0590000000000002</v>
      </c>
      <c r="Y5">
        <v>3.726</v>
      </c>
      <c r="Z5">
        <v>3.2589999999999999</v>
      </c>
      <c r="AA5">
        <v>3.645</v>
      </c>
      <c r="AB5">
        <v>3.0950000000000002</v>
      </c>
      <c r="AC5">
        <v>3.1520000000000001</v>
      </c>
      <c r="AD5">
        <v>2.2320000000000002</v>
      </c>
      <c r="AE5">
        <v>2.4969999999999999</v>
      </c>
      <c r="AF5">
        <v>0</v>
      </c>
      <c r="AG5">
        <v>3.1360000000000001</v>
      </c>
      <c r="AH5">
        <v>3.2240000000000002</v>
      </c>
      <c r="AI5">
        <v>3.0129999999999999</v>
      </c>
      <c r="AJ5">
        <v>3.0630000000000002</v>
      </c>
      <c r="AK5">
        <v>2.4550000000000001</v>
      </c>
      <c r="AL5">
        <v>2.8849999999999998</v>
      </c>
      <c r="AM5">
        <v>3.125</v>
      </c>
      <c r="AN5">
        <v>2.8929999999999998</v>
      </c>
      <c r="AO5">
        <v>2.944</v>
      </c>
      <c r="AP5">
        <v>3.1139999999999999</v>
      </c>
      <c r="AQ5">
        <v>3.173</v>
      </c>
      <c r="AR5">
        <v>3.2290000000000001</v>
      </c>
      <c r="AS5">
        <v>3.5329999999999999</v>
      </c>
      <c r="AT5">
        <v>3.8130000000000002</v>
      </c>
      <c r="AU5">
        <v>3.5390000000000001</v>
      </c>
      <c r="AV5">
        <v>3.4809999999999999</v>
      </c>
      <c r="AW5">
        <v>3.5</v>
      </c>
      <c r="AX5" t="s">
        <v>76</v>
      </c>
      <c r="AY5">
        <v>3.5139999999999998</v>
      </c>
      <c r="AZ5">
        <v>3.5009999999999999</v>
      </c>
      <c r="BA5">
        <v>3.3639999999999999</v>
      </c>
      <c r="BB5">
        <v>3.4129999999999998</v>
      </c>
      <c r="BC5">
        <v>1.548</v>
      </c>
      <c r="BD5">
        <v>1.6140000000000001</v>
      </c>
      <c r="BE5">
        <v>3.968</v>
      </c>
      <c r="BF5">
        <v>3.9750000000000001</v>
      </c>
      <c r="BG5">
        <v>0.77300000000000002</v>
      </c>
      <c r="BH5">
        <v>0.874</v>
      </c>
      <c r="BI5">
        <v>3.6789999999999998</v>
      </c>
      <c r="BJ5">
        <v>3.4470000000000001</v>
      </c>
      <c r="BK5">
        <v>3.6080000000000001</v>
      </c>
      <c r="BL5">
        <v>4.0860000000000003</v>
      </c>
      <c r="BM5">
        <v>3.9169999999999998</v>
      </c>
      <c r="BN5">
        <v>3.3</v>
      </c>
      <c r="BO5">
        <v>3.8220000000000001</v>
      </c>
      <c r="BP5">
        <v>3.6789999999999998</v>
      </c>
      <c r="BQ5">
        <v>3.9350000000000001</v>
      </c>
      <c r="BR5">
        <v>3.5409999999999999</v>
      </c>
      <c r="BS5">
        <v>3.9590000000000001</v>
      </c>
      <c r="BT5" s="11">
        <v>3.3</v>
      </c>
      <c r="BU5" s="11">
        <v>3.04</v>
      </c>
      <c r="BV5" s="11">
        <v>3.4870000000000001</v>
      </c>
      <c r="BW5">
        <v>3.5289999999999999</v>
      </c>
      <c r="BX5">
        <v>3.7349999999999999</v>
      </c>
      <c r="BY5">
        <v>4</v>
      </c>
      <c r="BZ5">
        <v>0</v>
      </c>
      <c r="CA5">
        <v>3.15</v>
      </c>
      <c r="CB5">
        <v>3.3679999999999999</v>
      </c>
      <c r="CC5">
        <v>3.53</v>
      </c>
      <c r="CD5" s="42">
        <v>4.194</v>
      </c>
      <c r="CE5" s="42">
        <v>4.0199999999999996</v>
      </c>
      <c r="CF5" s="42">
        <v>3.5819999999999999</v>
      </c>
      <c r="CG5" s="42">
        <v>3.7909999999999999</v>
      </c>
      <c r="CH5" s="42">
        <v>3.4420000000000002</v>
      </c>
      <c r="CI5" s="42">
        <v>3.2759999999999998</v>
      </c>
      <c r="CJ5" s="42">
        <v>2.254</v>
      </c>
      <c r="CK5" s="42">
        <v>3.4710000000000001</v>
      </c>
      <c r="CL5" s="42">
        <v>3.4</v>
      </c>
      <c r="CM5" s="42">
        <v>1.9350000000000001</v>
      </c>
      <c r="CN5" s="42">
        <v>0</v>
      </c>
      <c r="CO5" s="42">
        <v>2.9870000000000001</v>
      </c>
      <c r="CP5" s="42">
        <v>3.3769999999999998</v>
      </c>
      <c r="CQ5" s="42">
        <v>0</v>
      </c>
      <c r="CR5" s="42">
        <v>0</v>
      </c>
      <c r="CS5" s="42">
        <v>2.3679999999999999</v>
      </c>
      <c r="CT5" s="42">
        <v>3.117</v>
      </c>
      <c r="CU5" s="42">
        <v>3.032</v>
      </c>
      <c r="CV5" s="42">
        <v>2.3130000000000002</v>
      </c>
      <c r="CW5" s="42">
        <v>3.1760000000000002</v>
      </c>
      <c r="CX5" s="42">
        <v>3.0139999999999998</v>
      </c>
      <c r="CY5" s="42">
        <v>3.2069999999999999</v>
      </c>
      <c r="CZ5" s="42">
        <v>3.1890000000000001</v>
      </c>
      <c r="DA5" s="42">
        <v>2.0249999999999999</v>
      </c>
      <c r="DB5" s="42">
        <v>2.9380000000000002</v>
      </c>
      <c r="DC5" s="42">
        <v>3.5110000000000001</v>
      </c>
      <c r="DD5" s="42">
        <v>2.5920000000000001</v>
      </c>
    </row>
    <row r="6" spans="1:108" x14ac:dyDescent="0.35">
      <c r="A6" t="s">
        <v>76</v>
      </c>
      <c r="B6">
        <v>3.286</v>
      </c>
      <c r="C6">
        <v>2.863</v>
      </c>
      <c r="D6">
        <v>4.6920000000000002</v>
      </c>
      <c r="E6">
        <v>4.4770000000000003</v>
      </c>
      <c r="F6">
        <v>4.46</v>
      </c>
      <c r="G6">
        <v>3.605</v>
      </c>
      <c r="H6">
        <v>3.544</v>
      </c>
      <c r="I6">
        <v>3.7240000000000002</v>
      </c>
      <c r="J6">
        <f>AVERAGE(3.386,3.273,3.421)</f>
        <v>3.36</v>
      </c>
      <c r="K6">
        <v>3.2519999999999998</v>
      </c>
      <c r="L6">
        <v>3.37</v>
      </c>
      <c r="M6">
        <v>3.4710000000000001</v>
      </c>
      <c r="N6">
        <v>2.2109999999999999</v>
      </c>
      <c r="O6">
        <v>3.0339999999999998</v>
      </c>
      <c r="P6">
        <v>2.0960000000000001</v>
      </c>
      <c r="Q6">
        <v>2.4620000000000002</v>
      </c>
      <c r="R6">
        <v>3.3340000000000001</v>
      </c>
      <c r="S6">
        <v>2.06</v>
      </c>
      <c r="T6">
        <v>2.145</v>
      </c>
      <c r="U6">
        <v>3.4780000000000002</v>
      </c>
      <c r="V6">
        <v>3.4369999999999998</v>
      </c>
      <c r="W6">
        <v>3.012</v>
      </c>
      <c r="X6">
        <v>2.4340000000000002</v>
      </c>
      <c r="Y6">
        <v>3.5329999999999999</v>
      </c>
      <c r="Z6">
        <v>2.7650000000000001</v>
      </c>
      <c r="AA6">
        <v>3.3239999999999998</v>
      </c>
      <c r="AB6">
        <v>2.6030000000000002</v>
      </c>
      <c r="AC6">
        <v>2.7130000000000001</v>
      </c>
      <c r="AD6">
        <v>1.175</v>
      </c>
      <c r="AE6">
        <v>1.1679999999999999</v>
      </c>
      <c r="AG6">
        <v>2.6669999999999998</v>
      </c>
      <c r="AH6">
        <v>2.5640000000000001</v>
      </c>
      <c r="AI6">
        <v>2.556</v>
      </c>
      <c r="AJ6">
        <v>2.5680000000000001</v>
      </c>
      <c r="AK6">
        <v>1.3839999999999999</v>
      </c>
      <c r="AL6">
        <v>1.8540000000000001</v>
      </c>
      <c r="AM6">
        <v>2.4</v>
      </c>
      <c r="AN6">
        <v>2.407</v>
      </c>
      <c r="AO6">
        <v>1.393</v>
      </c>
      <c r="AP6">
        <v>2.012</v>
      </c>
      <c r="AQ6">
        <v>2.4940000000000002</v>
      </c>
      <c r="AR6">
        <v>2.6829999999999998</v>
      </c>
      <c r="AS6">
        <v>2.956</v>
      </c>
      <c r="AT6">
        <v>3.6949999999999998</v>
      </c>
      <c r="AU6">
        <v>3.4329999999999998</v>
      </c>
      <c r="AV6">
        <v>3.4780000000000002</v>
      </c>
      <c r="AW6" t="s">
        <v>76</v>
      </c>
      <c r="AX6">
        <v>3.4390000000000001</v>
      </c>
      <c r="AY6">
        <v>3.2040000000000002</v>
      </c>
      <c r="AZ6">
        <v>2.8250000000000002</v>
      </c>
      <c r="BA6">
        <v>3.2120000000000002</v>
      </c>
      <c r="BB6">
        <v>3.0990000000000002</v>
      </c>
      <c r="BC6">
        <v>1.016</v>
      </c>
      <c r="BD6">
        <v>0.92</v>
      </c>
      <c r="BE6">
        <v>3.2589999999999999</v>
      </c>
      <c r="BF6">
        <v>3.3679999999999999</v>
      </c>
      <c r="BG6">
        <v>0.66700000000000004</v>
      </c>
      <c r="BH6">
        <v>0</v>
      </c>
      <c r="BI6">
        <v>2.1920000000000002</v>
      </c>
      <c r="BJ6">
        <v>2.782</v>
      </c>
      <c r="BK6">
        <v>2.6760000000000002</v>
      </c>
      <c r="BL6">
        <v>4.048</v>
      </c>
      <c r="BM6">
        <v>3.722</v>
      </c>
      <c r="BN6">
        <v>3.0859999999999999</v>
      </c>
      <c r="BO6">
        <v>3.57</v>
      </c>
      <c r="BP6">
        <v>3.831</v>
      </c>
      <c r="BQ6">
        <v>4.0519999999999996</v>
      </c>
      <c r="BR6">
        <v>3.78</v>
      </c>
      <c r="BS6">
        <v>3.9729999999999999</v>
      </c>
      <c r="BT6" s="11">
        <v>2.3879999999999999</v>
      </c>
      <c r="BU6" s="11">
        <v>1.732</v>
      </c>
      <c r="BV6" s="11">
        <v>1.9870000000000001</v>
      </c>
      <c r="BW6">
        <v>2.6139999999999999</v>
      </c>
      <c r="BX6">
        <v>2.9129999999999998</v>
      </c>
      <c r="BY6">
        <v>3.835</v>
      </c>
      <c r="CA6">
        <v>2.113</v>
      </c>
      <c r="CB6">
        <v>1.044</v>
      </c>
      <c r="CC6">
        <v>3.0209999999999999</v>
      </c>
      <c r="CD6" s="42">
        <v>2.952</v>
      </c>
      <c r="CE6" s="42">
        <v>2.6680000000000001</v>
      </c>
      <c r="CF6" s="42">
        <v>3.15</v>
      </c>
      <c r="CG6" s="42">
        <v>3.6269999999999998</v>
      </c>
      <c r="CH6" s="42">
        <v>2.827</v>
      </c>
      <c r="CI6" s="42">
        <v>2.5579999999999998</v>
      </c>
      <c r="CJ6" s="42">
        <v>0</v>
      </c>
      <c r="CK6" s="42">
        <v>3.573</v>
      </c>
      <c r="CL6" s="42">
        <v>2.4449999999999998</v>
      </c>
      <c r="CM6" s="42">
        <v>0</v>
      </c>
      <c r="CO6" s="42">
        <v>1.468</v>
      </c>
      <c r="CP6" s="42">
        <v>1.6619999999999999</v>
      </c>
      <c r="CS6" s="42">
        <v>1.4630000000000001</v>
      </c>
      <c r="CT6" s="42">
        <v>1.837</v>
      </c>
      <c r="CU6" s="42">
        <v>1.1040000000000001</v>
      </c>
      <c r="CV6" s="42">
        <v>1.1879999999999999</v>
      </c>
      <c r="CW6" s="42">
        <v>2.2839999999999998</v>
      </c>
      <c r="CX6" s="42">
        <v>2.3420000000000001</v>
      </c>
      <c r="CY6" s="42">
        <v>2.12</v>
      </c>
      <c r="CZ6" s="42">
        <v>2.2749999999999999</v>
      </c>
      <c r="DA6" s="42">
        <v>0.83799999999999997</v>
      </c>
      <c r="DB6" s="42">
        <v>1.877</v>
      </c>
      <c r="DC6" s="42">
        <v>3.181</v>
      </c>
      <c r="DD6" s="42">
        <v>1.6279999999999999</v>
      </c>
    </row>
    <row r="7" spans="1:108" x14ac:dyDescent="0.35">
      <c r="A7">
        <v>1.8140000000000001</v>
      </c>
      <c r="B7">
        <v>2.117</v>
      </c>
      <c r="C7">
        <v>2.097</v>
      </c>
      <c r="D7">
        <v>3.6030000000000002</v>
      </c>
      <c r="E7">
        <v>4.0149999999999997</v>
      </c>
      <c r="F7">
        <v>3.3330000000000002</v>
      </c>
      <c r="G7">
        <v>3.226</v>
      </c>
      <c r="H7">
        <v>2.9129999999999998</v>
      </c>
      <c r="I7">
        <v>3.5</v>
      </c>
      <c r="J7">
        <v>3.3639999999999999</v>
      </c>
      <c r="K7">
        <v>1.929</v>
      </c>
      <c r="L7">
        <v>1.383</v>
      </c>
      <c r="M7">
        <v>0.72799999999999998</v>
      </c>
      <c r="N7">
        <v>1.5229999999999999</v>
      </c>
      <c r="O7">
        <v>1.4930000000000001</v>
      </c>
      <c r="P7">
        <v>1.4379999999999999</v>
      </c>
      <c r="Q7">
        <v>2.234</v>
      </c>
      <c r="R7">
        <v>2.121</v>
      </c>
      <c r="S7">
        <v>1.1910000000000001</v>
      </c>
      <c r="T7">
        <v>1.419</v>
      </c>
      <c r="U7">
        <v>3.242</v>
      </c>
      <c r="V7">
        <v>3.4009999999999998</v>
      </c>
      <c r="W7">
        <v>2.8719999999999999</v>
      </c>
      <c r="X7">
        <v>2.0390000000000001</v>
      </c>
      <c r="Y7">
        <v>2.8730000000000002</v>
      </c>
      <c r="Z7">
        <v>2.7909999999999999</v>
      </c>
      <c r="AA7">
        <v>3.0110000000000001</v>
      </c>
      <c r="AB7">
        <v>0</v>
      </c>
      <c r="AC7">
        <v>1.2150000000000001</v>
      </c>
      <c r="AD7">
        <v>0</v>
      </c>
      <c r="AE7">
        <v>0</v>
      </c>
      <c r="AG7">
        <v>1.272</v>
      </c>
      <c r="AH7">
        <v>1.895</v>
      </c>
      <c r="AI7">
        <v>2.46</v>
      </c>
      <c r="AJ7">
        <v>1.2470000000000001</v>
      </c>
      <c r="AK7">
        <v>0</v>
      </c>
      <c r="AL7">
        <v>1.2729999999999999</v>
      </c>
      <c r="AM7">
        <v>1.224</v>
      </c>
      <c r="AN7">
        <v>1.2350000000000001</v>
      </c>
      <c r="AO7">
        <v>1.351</v>
      </c>
      <c r="AP7">
        <v>1.4890000000000001</v>
      </c>
      <c r="AQ7">
        <v>1.6990000000000001</v>
      </c>
      <c r="AS7">
        <v>2.7949999999999999</v>
      </c>
      <c r="AT7">
        <v>3.2130000000000001</v>
      </c>
      <c r="AU7">
        <v>3.2080000000000002</v>
      </c>
      <c r="AV7">
        <v>1.75</v>
      </c>
      <c r="AW7">
        <v>3.37</v>
      </c>
      <c r="AX7">
        <v>3.399</v>
      </c>
      <c r="AY7">
        <v>2.0259999999999998</v>
      </c>
      <c r="AZ7" t="s">
        <v>76</v>
      </c>
      <c r="BA7">
        <v>2.77</v>
      </c>
      <c r="BB7">
        <v>2.4809999999999999</v>
      </c>
      <c r="BC7">
        <v>0.79500000000000004</v>
      </c>
      <c r="BD7">
        <v>0</v>
      </c>
      <c r="BE7">
        <v>1.2450000000000001</v>
      </c>
      <c r="BF7">
        <v>1.4770000000000001</v>
      </c>
      <c r="BG7">
        <v>0.70799999999999996</v>
      </c>
      <c r="BH7">
        <v>0</v>
      </c>
      <c r="BI7">
        <v>0</v>
      </c>
      <c r="BJ7">
        <v>0</v>
      </c>
      <c r="BK7">
        <v>0</v>
      </c>
      <c r="BL7">
        <v>1.1479999999999999</v>
      </c>
      <c r="BM7">
        <v>3.8279999999999998</v>
      </c>
      <c r="BN7">
        <v>2.536</v>
      </c>
      <c r="BO7">
        <v>2.7570000000000001</v>
      </c>
      <c r="BP7">
        <v>3.278</v>
      </c>
      <c r="BQ7">
        <v>4.0679999999999996</v>
      </c>
      <c r="BR7">
        <v>3.5459999999999998</v>
      </c>
      <c r="BS7">
        <v>4.0129999999999999</v>
      </c>
      <c r="BT7" s="11">
        <v>0</v>
      </c>
      <c r="BU7" s="11">
        <v>0</v>
      </c>
      <c r="BV7" s="11">
        <v>0</v>
      </c>
      <c r="BW7">
        <v>1.1539999999999999</v>
      </c>
      <c r="BX7">
        <v>2.2290000000000001</v>
      </c>
      <c r="BY7">
        <v>2.1560000000000001</v>
      </c>
      <c r="CA7">
        <v>1.7090000000000001</v>
      </c>
      <c r="CB7">
        <v>0</v>
      </c>
      <c r="CC7">
        <v>0</v>
      </c>
      <c r="CD7" s="42">
        <v>0.89500000000000002</v>
      </c>
      <c r="CE7" s="42">
        <v>0.89400000000000002</v>
      </c>
      <c r="CF7" s="42">
        <v>0.89</v>
      </c>
      <c r="CG7" s="42">
        <v>3.677</v>
      </c>
      <c r="CH7" s="42">
        <v>2.3879999999999999</v>
      </c>
      <c r="CI7" s="42">
        <v>1.9319999999999999</v>
      </c>
      <c r="CK7" s="42">
        <v>0</v>
      </c>
      <c r="CL7" s="42">
        <v>0</v>
      </c>
      <c r="CO7" s="42">
        <v>0</v>
      </c>
      <c r="CP7" s="42">
        <v>0</v>
      </c>
      <c r="CS7" s="42">
        <v>0.72099999999999997</v>
      </c>
      <c r="CT7" s="42">
        <v>1.1000000000000001</v>
      </c>
      <c r="CU7" s="42">
        <v>0.66700000000000004</v>
      </c>
      <c r="CV7" s="42">
        <v>0.79200000000000004</v>
      </c>
      <c r="CW7" s="42">
        <v>1.46</v>
      </c>
      <c r="CX7" s="42">
        <v>1.7110000000000001</v>
      </c>
      <c r="CY7" s="42">
        <v>0.90500000000000003</v>
      </c>
      <c r="CZ7" s="42">
        <v>1.3580000000000001</v>
      </c>
      <c r="DA7" s="42">
        <v>0.75900000000000001</v>
      </c>
      <c r="DB7" s="42">
        <v>1.4750000000000001</v>
      </c>
      <c r="DC7" s="42">
        <v>0</v>
      </c>
      <c r="DD7" s="42">
        <v>0</v>
      </c>
    </row>
    <row r="8" spans="1:108" x14ac:dyDescent="0.35">
      <c r="A8">
        <v>0</v>
      </c>
      <c r="B8">
        <v>0</v>
      </c>
      <c r="C8">
        <v>1.3620000000000001</v>
      </c>
      <c r="D8">
        <v>0</v>
      </c>
      <c r="E8">
        <v>0</v>
      </c>
      <c r="F8">
        <v>0</v>
      </c>
      <c r="G8">
        <v>0</v>
      </c>
      <c r="H8">
        <v>0</v>
      </c>
      <c r="I8">
        <v>0</v>
      </c>
      <c r="J8">
        <f>AVERAGE(2.989, 3.136, 3.114)</f>
        <v>3.0796666666666668</v>
      </c>
      <c r="K8">
        <v>1.198</v>
      </c>
      <c r="L8">
        <v>0</v>
      </c>
      <c r="M8">
        <v>0</v>
      </c>
      <c r="N8">
        <v>0</v>
      </c>
      <c r="O8">
        <v>0</v>
      </c>
      <c r="P8">
        <v>0</v>
      </c>
      <c r="Q8">
        <v>0</v>
      </c>
      <c r="R8">
        <v>2.1219999999999999</v>
      </c>
      <c r="S8" t="s">
        <v>76</v>
      </c>
      <c r="T8">
        <v>0</v>
      </c>
      <c r="U8">
        <v>3.1840000000000002</v>
      </c>
      <c r="V8">
        <v>3.2989999999999999</v>
      </c>
      <c r="W8">
        <v>2.8730000000000002</v>
      </c>
      <c r="X8">
        <v>0</v>
      </c>
      <c r="Y8">
        <v>2.4340000000000002</v>
      </c>
      <c r="Z8">
        <v>2.21</v>
      </c>
      <c r="AA8">
        <v>3.0219999999999998</v>
      </c>
      <c r="AB8">
        <v>0</v>
      </c>
      <c r="AC8">
        <v>0</v>
      </c>
      <c r="AG8">
        <v>0</v>
      </c>
      <c r="AH8">
        <v>0</v>
      </c>
      <c r="AI8">
        <v>0</v>
      </c>
      <c r="AJ8">
        <v>0</v>
      </c>
      <c r="AK8">
        <v>0</v>
      </c>
      <c r="AL8">
        <v>1.046</v>
      </c>
      <c r="AM8">
        <v>0</v>
      </c>
      <c r="AN8">
        <v>0</v>
      </c>
      <c r="AO8">
        <v>0</v>
      </c>
      <c r="AP8">
        <v>0</v>
      </c>
      <c r="AQ8">
        <v>0</v>
      </c>
      <c r="AS8">
        <v>0</v>
      </c>
      <c r="AT8">
        <v>0</v>
      </c>
      <c r="AU8">
        <v>0</v>
      </c>
      <c r="AV8">
        <v>0</v>
      </c>
      <c r="AW8">
        <v>0</v>
      </c>
      <c r="AX8">
        <v>0</v>
      </c>
      <c r="AY8">
        <v>0</v>
      </c>
      <c r="AZ8">
        <v>0</v>
      </c>
      <c r="BA8">
        <v>0</v>
      </c>
      <c r="BB8">
        <v>0</v>
      </c>
      <c r="BC8">
        <v>0.73</v>
      </c>
      <c r="BE8">
        <v>0</v>
      </c>
      <c r="BF8">
        <v>0</v>
      </c>
      <c r="BG8">
        <v>0.64900000000000002</v>
      </c>
      <c r="BH8">
        <v>0</v>
      </c>
      <c r="BL8">
        <v>0</v>
      </c>
      <c r="BM8">
        <v>0</v>
      </c>
      <c r="BN8">
        <v>0</v>
      </c>
      <c r="BO8">
        <v>1.2090000000000001</v>
      </c>
      <c r="BP8" t="s">
        <v>76</v>
      </c>
      <c r="BQ8">
        <v>1.944</v>
      </c>
      <c r="BR8">
        <v>1.3120000000000001</v>
      </c>
      <c r="BS8">
        <v>1.9870000000000001</v>
      </c>
      <c r="BW8">
        <v>0</v>
      </c>
      <c r="BX8">
        <v>0</v>
      </c>
      <c r="BY8">
        <v>0</v>
      </c>
      <c r="CA8">
        <v>1.5569999999999999</v>
      </c>
      <c r="CD8" s="42">
        <v>0</v>
      </c>
      <c r="CE8" s="42">
        <v>0</v>
      </c>
      <c r="CF8" s="42">
        <v>0</v>
      </c>
      <c r="CG8" s="42">
        <v>0</v>
      </c>
      <c r="CH8" s="42">
        <v>0</v>
      </c>
      <c r="CI8" s="42">
        <v>0</v>
      </c>
      <c r="CS8">
        <v>0</v>
      </c>
      <c r="CT8" s="42">
        <v>0</v>
      </c>
      <c r="CU8" s="42">
        <v>0</v>
      </c>
      <c r="CV8" s="42">
        <v>0</v>
      </c>
      <c r="CW8" s="42">
        <v>0</v>
      </c>
      <c r="CX8" s="42">
        <v>0</v>
      </c>
      <c r="CY8" s="42">
        <v>0</v>
      </c>
      <c r="CZ8" s="42">
        <v>0</v>
      </c>
      <c r="DA8" s="42">
        <v>0</v>
      </c>
      <c r="DB8" s="42">
        <v>0</v>
      </c>
    </row>
    <row r="9" spans="1:108" x14ac:dyDescent="0.35">
      <c r="C9">
        <v>0</v>
      </c>
      <c r="J9">
        <f>AVERAGE(2.425, 2.85, 2.839)</f>
        <v>2.7046666666666668</v>
      </c>
      <c r="K9">
        <v>0</v>
      </c>
      <c r="R9">
        <v>0.94299999999999995</v>
      </c>
      <c r="S9">
        <v>0</v>
      </c>
      <c r="U9">
        <v>2.96</v>
      </c>
      <c r="V9">
        <v>2.91</v>
      </c>
      <c r="W9">
        <v>2.4510000000000001</v>
      </c>
      <c r="Y9">
        <v>0</v>
      </c>
      <c r="Z9">
        <v>0</v>
      </c>
      <c r="AA9">
        <v>0</v>
      </c>
      <c r="BC9">
        <v>0</v>
      </c>
      <c r="BN9">
        <v>0</v>
      </c>
      <c r="BO9">
        <v>0</v>
      </c>
      <c r="BP9">
        <v>0</v>
      </c>
      <c r="BQ9">
        <v>0</v>
      </c>
      <c r="BR9">
        <v>0</v>
      </c>
      <c r="BS9">
        <v>0</v>
      </c>
    </row>
    <row r="10" spans="1:108" x14ac:dyDescent="0.35">
      <c r="J10">
        <f>AVERAGE(1.932, 2.125, 2.375)</f>
        <v>2.1440000000000001</v>
      </c>
      <c r="R10">
        <v>0.68</v>
      </c>
      <c r="U10">
        <v>1.8959999999999999</v>
      </c>
      <c r="V10">
        <v>1.7569999999999999</v>
      </c>
      <c r="W10">
        <v>2.3679999999999999</v>
      </c>
    </row>
    <row r="11" spans="1:108" x14ac:dyDescent="0.35">
      <c r="J11">
        <f>AVERAGE(1.244, 1.674, 1.64)</f>
        <v>1.5193333333333332</v>
      </c>
      <c r="R11">
        <v>0</v>
      </c>
      <c r="U11">
        <v>0</v>
      </c>
      <c r="V11">
        <v>0</v>
      </c>
      <c r="W11">
        <v>0</v>
      </c>
    </row>
    <row r="12" spans="1:108" x14ac:dyDescent="0.35">
      <c r="J12">
        <v>0.51100000000000001</v>
      </c>
    </row>
    <row r="13" spans="1:108" x14ac:dyDescent="0.35">
      <c r="J13">
        <v>0</v>
      </c>
    </row>
    <row r="17" spans="1:108" x14ac:dyDescent="0.35">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row>
    <row r="18" spans="1:108" x14ac:dyDescent="0.35">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F21"/>
  <sheetViews>
    <sheetView topLeftCell="DN1" zoomScale="110" zoomScaleNormal="110" workbookViewId="0">
      <selection activeCell="A3" sqref="A3:EF3"/>
    </sheetView>
  </sheetViews>
  <sheetFormatPr defaultRowHeight="14.5" x14ac:dyDescent="0.35"/>
  <cols>
    <col min="1" max="1" width="8.6328125" customWidth="1"/>
  </cols>
  <sheetData>
    <row r="1" spans="1:136" x14ac:dyDescent="0.35">
      <c r="A1" t="s">
        <v>523</v>
      </c>
    </row>
    <row r="3" spans="1:136" s="1" customFormat="1" ht="87" x14ac:dyDescent="0.35">
      <c r="A3" s="1" t="str">
        <f>'Formulation Name Data'!A10&amp;"_T1"</f>
        <v>Buckeye 3%_3_T1</v>
      </c>
      <c r="B3" s="1" t="str">
        <f>'Formulation Name Data'!A4&amp;"_T1"</f>
        <v>Cap_TrX100_DGBE_0.3_0.2_0.5_T1</v>
      </c>
      <c r="C3" s="1" t="str">
        <f>'Formulation Name Data'!A13&amp;"_T1"</f>
        <v>Cap_TrX100_DGBE_0.6_0.2_0.5_T1</v>
      </c>
      <c r="D3" s="1" t="str">
        <f>'Formulation Name Data'!A14&amp;"_T1"</f>
        <v>Cap_TrX100_DGBE_0.6_0.4_0.5_T1</v>
      </c>
      <c r="E3" s="1" t="str">
        <f>'Formulation Name Data'!A15&amp;"_T1"</f>
        <v>Cap_TrX100_DGBE_1.2_0.8_0.5_T1</v>
      </c>
      <c r="F3" s="1" t="str">
        <f>'Formulation Name Data'!A16&amp;"_T1"</f>
        <v>Cap_TrX100_DGBE_0.3_0.2_1_T1</v>
      </c>
      <c r="G3" s="1" t="str">
        <f>'Formulation Name Data'!A8&amp;"_T1"</f>
        <v>Cap_G215_DGBE_0.3_0.2_0.5_T1</v>
      </c>
      <c r="H3" s="1" t="str">
        <f>'Formulation Name Data'!A119&amp;"_T1"</f>
        <v>Cap_TrGR-5M_DGBE_0.3_0.2_0.5_T1</v>
      </c>
      <c r="I3" s="1" t="str">
        <f>'Formulation Name Data'!A7&amp;"_T1"</f>
        <v>G215_DGBE_0.5_0.5_T1</v>
      </c>
      <c r="J3" s="1" t="str">
        <f>'Formulation Name Data'!A6&amp;"_T1"</f>
        <v>Cap_DGBE_0.5_0.5_T1</v>
      </c>
      <c r="K3" s="1" t="str">
        <f>'Formulation Name Data'!A5&amp;"_T1"</f>
        <v>TrX100_DGBE_0.5_0.5_T1</v>
      </c>
      <c r="L3" s="1" t="str">
        <f>'Formulation Name Data'!A74&amp;"_T1"</f>
        <v>Cap_DGBE_0.225_0.5_T1</v>
      </c>
      <c r="M3" s="1" t="str">
        <f>'Formulation Name Data'!A11&amp;"_T1"</f>
        <v>RF6_6_T1</v>
      </c>
      <c r="N3" s="1" t="str">
        <f>'Formulation Name Data'!A33&amp;"_T1"</f>
        <v>D502W_G215_DGBE_0.075_0.05_0.5_T1</v>
      </c>
      <c r="O3" s="1" t="str">
        <f>'Formulation Name Data'!A7&amp;"_T2"</f>
        <v>G215_DGBE_0.5_0.5_T2</v>
      </c>
      <c r="P3" s="1" t="str">
        <f>'Formulation Name Data'!A5&amp;"_T2"</f>
        <v>TrX100_DGBE_0.5_0.5_T2</v>
      </c>
      <c r="Q3" s="1" t="str">
        <f>'Formulation Name Data'!A72&amp;"_T1"</f>
        <v>D502W_DGBE_0.1_0.5_T1</v>
      </c>
      <c r="R3" s="1" t="str">
        <f>'Formulation Name Data'!A35&amp;"_T1"</f>
        <v>L77_G215_DGBE_0.11_0.08_0.5_T1</v>
      </c>
      <c r="S3" s="1" t="str">
        <f>'Formulation Name Data'!A83&amp;"_T1"</f>
        <v>D502W_TrX100_DGBE_0.1_0.08_0.5_T1</v>
      </c>
      <c r="T3" s="1" t="str">
        <f>'Formulation Name Data'!A36&amp;"_T1"</f>
        <v>D67_G215_DGBE_0.06_0.04_0.5_T1</v>
      </c>
      <c r="U3" s="1" t="str">
        <f>'Formulation Name Data'!A122&amp;"_T1"</f>
        <v>D502W_G215_DGBE_0.3_0.2_0.5_T1</v>
      </c>
      <c r="V3" s="1" t="str">
        <f>'Formulation Name Data'!A75&amp;"_T1"</f>
        <v>D193_G215_DGBE_0.3_0.2_0.5_T1</v>
      </c>
      <c r="W3" s="1" t="str">
        <f>'Formulation Name Data'!A84&amp;"_T1"</f>
        <v>D502W_G215_DGBE_0.05_0.075_0.5_T1</v>
      </c>
      <c r="X3" s="1" t="str">
        <f>'Formulation Name Data'!A45&amp;"_T1"</f>
        <v>Gel6185_G215_DGBE_0.06_0.04_0.5_T1</v>
      </c>
      <c r="Y3" s="1" t="str">
        <f>'Formulation Name Data'!A123&amp;"_T1"</f>
        <v>D502W_G225_DGBE_0.17_0.33_0.5_T1</v>
      </c>
      <c r="Z3" s="1" t="str">
        <f>'Formulation Name Data'!A124&amp;"_T1"</f>
        <v>D502W_G225_DGBE_0.12_0.38_0.5_T1</v>
      </c>
      <c r="AA3" s="1" t="str">
        <f>'Formulation Name Data'!A125&amp;"_T1"</f>
        <v>G225_DGBE_0.25_0.25_T1</v>
      </c>
      <c r="AB3" s="1" t="str">
        <f>'Formulation Name Data'!A112&amp;"_T1"</f>
        <v>G600_DGBE_0.5_0.5_T1</v>
      </c>
      <c r="AC3" s="1" t="str">
        <f>'Formulation Name Data'!A113&amp;"_T1"</f>
        <v>D502W_DGBE_0.5_0.5_T1</v>
      </c>
      <c r="AD3" s="1" t="str">
        <f>'Formulation Name Data'!A8&amp;"_T2"</f>
        <v>Cap_G215_DGBE_0.3_0.2_0.5_T2</v>
      </c>
      <c r="AE3" s="1" t="str">
        <f>'Formulation Name Data'!A126&amp;"_T1"</f>
        <v>D5575_0.225_T1</v>
      </c>
      <c r="AF3" s="1" t="str">
        <f>'Formulation Name Data'!A29&amp;"_T1"</f>
        <v>D5575_G215_DGBE_0.3_0.2_0.5_T1</v>
      </c>
      <c r="AG3" s="1" t="str">
        <f>'Formulation Name Data'!A127&amp;"_T1"</f>
        <v>D5244_0.225_T1</v>
      </c>
      <c r="AH3" s="1" t="str">
        <f>'Formulation Name Data'!A30&amp;"_T1"</f>
        <v>D5244_G215_DGBE_0.3_0.2_0.5_T1</v>
      </c>
      <c r="AI3" s="1" t="str">
        <f>'Formulation Name Data'!A128&amp;"_T1"</f>
        <v>D193_0.225_T1</v>
      </c>
      <c r="AJ3" s="1" t="str">
        <f>'Formulation Name Data'!A75&amp;"_T1"</f>
        <v>D193_G215_DGBE_0.3_0.2_0.5_T1</v>
      </c>
      <c r="AK3" s="1" t="str">
        <f>'Formulation Name Data'!A129&amp;"_T1"</f>
        <v>D501W_0.05_T1</v>
      </c>
      <c r="AL3" s="1" t="str">
        <f>'Formulation Name Data'!A32&amp;"_T1"</f>
        <v>D501W_G215_DGBE_0.04_0.027_0.5_T1</v>
      </c>
      <c r="AM3" s="1" t="str">
        <f>'Formulation Name Data'!A130&amp;"_T1"</f>
        <v>D198_0.5_T1</v>
      </c>
      <c r="AN3" s="1" t="str">
        <f>'Formulation Name Data'!A131&amp;"_T1"</f>
        <v>D198_G215_DGBE_0.3_0.2_0.5_T1</v>
      </c>
      <c r="AO3" s="1" t="str">
        <f>'Formulation Name Data'!A132&amp;"_T1"</f>
        <v>D5604_0.24_T1</v>
      </c>
      <c r="AP3" s="1" t="str">
        <f>'Formulation Name Data'!A133&amp;"_T1"</f>
        <v>D5604_G215_DGBE_0.3_0.2_0.5_T1</v>
      </c>
      <c r="AQ3" s="1" t="str">
        <f>'Formulation Name Data'!A77&amp;"_T1"</f>
        <v>D502W_0.1_T1</v>
      </c>
      <c r="AR3" s="1" t="str">
        <f>'Formulation Name Data'!A134&amp;"_T1"</f>
        <v>D5098_0.1_T1</v>
      </c>
      <c r="AS3" s="1" t="str">
        <f>'Formulation Name Data'!A34&amp;"_T1"</f>
        <v>D5098_G215_DGBE_0.14_0.09_0.5_T1</v>
      </c>
      <c r="AT3" s="1" t="str">
        <f>'Formulation Name Data'!A80&amp;"_T1"</f>
        <v>AlphaFoam_1.3_T1</v>
      </c>
      <c r="AU3" s="1" t="str">
        <f>'Formulation Name Data'!A135&amp;"_T1"</f>
        <v>AlphaFoam_G215_DGBE_1.3_0.2_0.5_T1</v>
      </c>
      <c r="AV3" s="1" t="str">
        <f>'Formulation Name Data'!A79&amp;"_T1"</f>
        <v>TMN6_0.4_T1</v>
      </c>
      <c r="AW3" s="1" t="str">
        <f>'Formulation Name Data'!A19&amp;"_T1"</f>
        <v>TMN6_G215_DGBE_0.3_0.2_0.5_T1</v>
      </c>
      <c r="AX3" s="1" t="str">
        <f>'Formulation Name Data'!A78&amp;"_T1"</f>
        <v>T15-S-7_0.05_T1</v>
      </c>
      <c r="AY3" s="1" t="str">
        <f>'Formulation Name Data'!A20&amp;"_T1"</f>
        <v>T15-S-7_G215_DGBE_0.03_0.02_0.5_T1</v>
      </c>
      <c r="AZ3" s="1" t="str">
        <f>'Formulation Name Data'!A82&amp;"_T1"</f>
        <v>Silsurf_0.014_T1</v>
      </c>
      <c r="BA3" s="1" t="str">
        <f>'Formulation Name Data'!A136&amp;"_T1"</f>
        <v>Silsurf_0.14_T1</v>
      </c>
      <c r="BB3" s="1" t="str">
        <f>'Formulation Name Data'!A17&amp;"_T1"</f>
        <v>Silsurf_G215_DGBE_0.14_0.09_0.5_T1</v>
      </c>
      <c r="BC3" s="1" t="str">
        <f>'Formulation Name Data'!A81&amp;"_T1"</f>
        <v>Silphos_0.3_T1</v>
      </c>
      <c r="BD3" s="1" t="str">
        <f>'Formulation Name Data'!A18&amp;"_T1"</f>
        <v>Silphos_G215_DGBE_0.3_0.2_0.5_T1</v>
      </c>
      <c r="BE3" s="1" t="str">
        <f>'Formulation Name Data'!A156&amp;"_T1"</f>
        <v>NRL_N10477-189_G225_DGBE_0.05_0.3_0.5_T1</v>
      </c>
      <c r="BF3" s="1" t="str">
        <f>'Formulation Name Data'!A155&amp;"_T1"</f>
        <v>NRL_N10478-198_G225_DGBE_0.065_0.3_0.5_T1</v>
      </c>
      <c r="BG3" s="1" t="str">
        <f>'Formulation Name Data'!A157&amp;"_T1"</f>
        <v>NRL_N10478-81_G225_DGBE_0.116_0.3_0.5_T1</v>
      </c>
      <c r="BH3" s="1" t="str">
        <f>'Formulation Name Data'!A138&amp;"_T1"</f>
        <v>CL_MD2086-97_G225_DGBE_0.34_0.56_0.5_T1</v>
      </c>
      <c r="BI3" s="1" t="str">
        <f>'Formulation Name Data'!A158&amp;"_T1"</f>
        <v>CL_MD2102-54_G225_DGBE_0.2_0.3_0.5_T1</v>
      </c>
      <c r="BJ3" s="1" t="str">
        <f>'Formulation Name Data'!A160&amp;"_T1"</f>
        <v>D502W_CL_C8G3_DGBE_0.2_0.19_0.5_T1</v>
      </c>
      <c r="BK3" s="1" t="str">
        <f>'Formulation Name Data'!A161&amp;"_T1"</f>
        <v>D502W_C10G3_DGBE_0.2_0.21_0.5_T1</v>
      </c>
      <c r="BL3" s="1" t="str">
        <f>'Formulation Name Data'!A162&amp;"_T1"</f>
        <v>D502W_C12G3_DGBE_0.2_0.21_0.5_T1</v>
      </c>
      <c r="BM3" s="1" t="str">
        <f>'Formulation Name Data'!A38&amp;"_T1"</f>
        <v>D502W_G225_0.2_0.3_T1</v>
      </c>
      <c r="BN3" s="1" t="str">
        <f>'Formulation Name Data'!A165&amp;"_T1"</f>
        <v>NRL_N10478-40_G225_DGBE_0.2_0.3_0.5_T1</v>
      </c>
      <c r="BO3" s="1" t="str">
        <f>'Formulation Name Data'!A167&amp;"_T1"</f>
        <v>Ecoguard CF3F_T1</v>
      </c>
      <c r="BP3" s="1" t="str">
        <f>'Formulation Name Data'!A67&amp;"_T1"</f>
        <v>FomtecEnviroUSP 3%_T1</v>
      </c>
      <c r="BQ3" s="1" t="str">
        <f>'Formulation Name Data'!A8&amp;"_T3"</f>
        <v>Cap_G215_DGBE_0.3_0.2_0.5_T3</v>
      </c>
      <c r="BR3" s="1" t="str">
        <f>'Formulation Name Data'!A8&amp;"_T4"</f>
        <v>Cap_G215_DGBE_0.3_0.2_0.5_T4</v>
      </c>
      <c r="BS3" s="1" t="str">
        <f>'Formulation Name Data'!A37&amp;"_T1"</f>
        <v>D502W_G225_DGBE_0.2_0.3_0.5_T1</v>
      </c>
      <c r="BT3" s="1" t="str">
        <f>'Formulation Name Data'!A6&amp;"_T2"</f>
        <v>Cap_DGBE_0.5_0.5_T2</v>
      </c>
      <c r="BU3" s="1" t="str">
        <f>'Formulation Name Data'!A37&amp;"_T2"</f>
        <v>D502W_G225_DGBE_0.2_0.3_0.5_T2</v>
      </c>
      <c r="BV3" s="1" t="str">
        <f>'Formulation Name Data'!A168&amp;"_T1"</f>
        <v>D502W_G225_DGBE_0.4_0.6_1_T1</v>
      </c>
      <c r="BW3" s="1" t="str">
        <f>'Formulation Name Data'!A149&amp;"_T1"</f>
        <v>ComSor_EXP-21-CM7837-4_T1</v>
      </c>
      <c r="BX3" s="1" t="str">
        <f>'Formulation Name Data'!A148&amp;"_T1"</f>
        <v>ComSor_EXP-21-CM7837-5_T1</v>
      </c>
      <c r="BY3" s="1" t="str">
        <f>'Formulation Name Data'!A61&amp;"_T1"</f>
        <v>ComSor_EXP-20-C10628-E_T1</v>
      </c>
      <c r="BZ3" s="1" t="str">
        <f>'Formulation Name Data'!A60&amp;"_T1"</f>
        <v>ComSor_EXP-20-C10628-D_T1</v>
      </c>
      <c r="CA3" s="1" t="str">
        <f>'Formulation Name Data'!A101&amp;"_T1"</f>
        <v>ComSor_26990-95D_T1</v>
      </c>
      <c r="CB3" s="1" t="str">
        <f>'Formulation Name Data'!A100&amp;"_T1"</f>
        <v>ComSor_26990-95C_T1</v>
      </c>
      <c r="CC3" s="1" t="str">
        <f>'Formulation Name Data'!A99&amp;"_T1"</f>
        <v>ComSor_26990-95B_T1</v>
      </c>
      <c r="CD3" s="1" t="str">
        <f>'Formulation Name Data'!A98&amp;"_T1"</f>
        <v>ComSor1830503_T1</v>
      </c>
      <c r="CE3" s="1" t="str">
        <f>'Formulation Name Data'!A10&amp;"_T2"</f>
        <v>Buckeye 3%_3_T2</v>
      </c>
      <c r="CF3" s="1" t="str">
        <f>'Formulation Name Data'!A169&amp;"_T1"</f>
        <v>Universal®F3 Green_3_T1</v>
      </c>
      <c r="CG3" s="1" t="str">
        <f>'Formulation Name Data'!A8&amp;"_T5"</f>
        <v>Cap_G215_DGBE_0.3_0.2_0.5_T5</v>
      </c>
      <c r="CH3" s="1" t="str">
        <f>'Formulation Name Data'!A170&amp;"_T1"</f>
        <v>Cap_G225_DGBE_0.3_0.2_0.5_T1</v>
      </c>
      <c r="CI3" s="1" t="str">
        <f>'Formulation Name Data'!A50&amp;"_T1"</f>
        <v>D502W_C12G2_DGBE_0.2_0.19_0.5_T1</v>
      </c>
      <c r="CJ3" s="1" t="str">
        <f>'Formulation Name Data'!A49&amp;"_T1"</f>
        <v>D502W_C10G2_DGBE_0.2_0.19_0.5_T1</v>
      </c>
      <c r="CK3" s="1" t="str">
        <f>'Formulation Name Data'!A51&amp;"_T1"</f>
        <v>D502W_C8G1_DGBE_0.2_0.19_0.5_T1</v>
      </c>
      <c r="CL3" s="1" t="str">
        <f>'Formulation Name Data'!A51&amp;"_T2"</f>
        <v>D502W_C8G1_DGBE_0.2_0.19_0.5_T2</v>
      </c>
      <c r="CM3" s="1" t="str">
        <f>'Formulation Name Data'!A48&amp;"_T1"</f>
        <v>D502W_C8G2_DGBE_0.2_0.19_0.5_T1</v>
      </c>
      <c r="CN3" s="1" t="str">
        <f>'Formulation Name Data'!A106&amp;"_T1"</f>
        <v>D502W_C9G2_DGBE_0.2_0.19_0.5_T1</v>
      </c>
      <c r="CO3" s="1" t="str">
        <f>'Formulation Name Data'!A108&amp;"_T1"</f>
        <v>D502W_C7G1_DGBE_0.2_0.19_0.5_T1</v>
      </c>
      <c r="CP3" s="1" t="str">
        <f>'Formulation Name Data'!A107&amp;"_T1"</f>
        <v>D502W_C6G1_DGBE_0.2_0.19_0.5_T1</v>
      </c>
      <c r="CQ3" s="1" t="str">
        <f>'Formulation Name Data'!A103&amp;"_T1"</f>
        <v>D502W_Cymal_DGBE_0.2_0.19_0.5_T1</v>
      </c>
      <c r="CR3" s="1" t="str">
        <f>'Formulation Name Data'!A102&amp;"_T1"</f>
        <v>D502W_C8SG2_DGBE_0.2_0.19_0.5_T1</v>
      </c>
      <c r="CS3" s="1" t="str">
        <f>'Formulation Name Data'!A104&amp;"_T1"</f>
        <v>D502W_iC8G2_DGBE_0.2_0.19_0.5_T1</v>
      </c>
      <c r="CT3" s="1" t="str">
        <f>'Formulation Name Data'!A105&amp;"_T1"</f>
        <v>D502W_C6G2_DGBE_0.2_0.19_0.5_T1</v>
      </c>
      <c r="CU3" s="1" t="str">
        <f>'Formulation Name Data'!A37&amp;"_T3"</f>
        <v>D502W_G225_DGBE_0.2_0.3_0.5_T3</v>
      </c>
      <c r="CV3" s="1" t="str">
        <f>'Formulation Name Data'!A50&amp;"_T2"</f>
        <v>D502W_C12G2_DGBE_0.2_0.19_0.5_T2</v>
      </c>
      <c r="CW3" s="1" t="str">
        <f>'Formulation Name Data'!A49&amp;"_T2"</f>
        <v>D502W_C10G2_DGBE_0.2_0.19_0.5_T2</v>
      </c>
      <c r="CX3" s="1" t="str">
        <f>'Formulation Name Data'!A51&amp;"_T3"</f>
        <v>D502W_C8G1_DGBE_0.2_0.19_0.5_T3</v>
      </c>
      <c r="CY3" s="1" t="str">
        <f>'Formulation Name Data'!A48&amp;"_T2"</f>
        <v>D502W_C8G2_DGBE_0.2_0.19_0.5_T2</v>
      </c>
      <c r="CZ3" s="1" t="str">
        <f>'Formulation Name Data'!A37&amp;"_T4"</f>
        <v>D502W_G225_DGBE_0.2_0.3_0.5_T4</v>
      </c>
      <c r="DA3" s="1" t="str">
        <f>'Formulation Name Data'!A89&amp;"_T1"</f>
        <v>D502W_G600_DGBE_0.2_0.3_0.5_T1</v>
      </c>
      <c r="DB3" s="1" t="str">
        <f>'Formulation Name Data'!A171&amp;"_T1"</f>
        <v>D502W_G225_DGBE_0.3_0.2_0.5_T1</v>
      </c>
      <c r="DC3" s="1" t="str">
        <f>'Formulation Name Data'!A172&amp;"_T1"</f>
        <v>D502W_G225_DGBE_0.13_0.38_0.5_T1</v>
      </c>
      <c r="DD3" s="1" t="str">
        <f>'Formulation Name Data'!A173&amp;"_T1"</f>
        <v>D502W_TrCG-425_DGBE_0.2_0.3_0.5_T1</v>
      </c>
      <c r="DE3" s="1" t="str">
        <f>'Formulation Name Data'!A46&amp;"_T1"</f>
        <v>ComSor181360_G225_DGBE_0.2_0.3_0.5_T1</v>
      </c>
      <c r="DF3" s="1" t="str">
        <f>'Formulation Name Data'!A177&amp;"_T1"</f>
        <v>CL_MD2062-57_G225_DGBE_0.2_0.3_0.5_T1</v>
      </c>
      <c r="DG3" s="1" t="str">
        <f>'Formulation Name Data'!A109&amp;"_T1"</f>
        <v>G225_DGBE_0.3_0.5_T1</v>
      </c>
      <c r="DH3" s="1" t="str">
        <f>'Formulation Name Data'!A178&amp;"_T1"</f>
        <v>CL_MD2062-121_G225_DGBE_0.1_0.3_0.5_T1</v>
      </c>
      <c r="DI3" s="1" t="str">
        <f>'Formulation Name Data'!A37&amp;"_T5"</f>
        <v>D502W_G225_DGBE_0.2_0.3_0.5_T5</v>
      </c>
      <c r="DJ3" s="1" t="str">
        <f>'Formulation Name Data'!A39&amp;"_T1"</f>
        <v>NRL_N10358-176_G225_DGBE_0.2_0.3_0.5_T1</v>
      </c>
      <c r="DK3" s="1" t="str">
        <f>'Formulation Name Data'!A40&amp;"_T1"</f>
        <v>NRL_N10358-174_G225_DGBE_0.2_0.3_0.5_T1</v>
      </c>
      <c r="DL3" s="1" t="str">
        <f>'Formulation Name Data'!A120&amp;"_T2"</f>
        <v>NRL_N10477-03_G225_DGBE_0.2_0.3_0.5_T2</v>
      </c>
      <c r="DM3" s="1" t="str">
        <f>'Formulation Name Data'!A121&amp;"_T2"</f>
        <v>NRL_N10477-01_G225_DGBE_0.2_0.3_0.5_T2</v>
      </c>
      <c r="DN3" s="1" t="str">
        <f>'Formulation Name Data'!A92&amp;"_T1"</f>
        <v>NRL_N10477-09_G225_DGBE_0.2_0.3_0.5_T1</v>
      </c>
      <c r="DO3" s="1" t="str">
        <f>'Formulation Name Data'!A116&amp;"_T1"</f>
        <v>NRL_N10477-05_G215_DGBE_0.2_0.3_0.5_T1</v>
      </c>
      <c r="DP3" s="1" t="str">
        <f>'Formulation Name Data'!A97&amp;"_T2"</f>
        <v>NRL_N10477-07_G225_DGBE_0.2_0.3_0.5_T2</v>
      </c>
      <c r="DQ3" s="1" t="str">
        <f>'Formulation Name Data'!A96&amp;"_T1"</f>
        <v>NRL_N10477-12_G225_DGBE_0.2_0.3_0.5_T1</v>
      </c>
      <c r="DR3" s="1" t="str">
        <f>'Formulation Name Data'!A37&amp;"_T6"</f>
        <v>D502W_G225_DGBE_0.2_0.3_0.5_T6</v>
      </c>
      <c r="DS3" s="1" t="str">
        <f>'Formulation Name Data'!A182&amp;"_T1"</f>
        <v>NRL_LBII43_G225_DGBE_0.2_0.3_0.5_T1</v>
      </c>
      <c r="DT3" s="1" t="str">
        <f>'Formulation Name Data'!A183&amp;"_T1"</f>
        <v>NRL_CB_DTBTS_SB_G225_DGBE_0.02_0.3_0.5_T1</v>
      </c>
      <c r="DU3" s="1" t="str">
        <f>'Formulation Name Data'!A184&amp;"_T1"</f>
        <v>NRL_CB-1-123_G225_DGBE_0.2_0.3_0.5_T1</v>
      </c>
      <c r="DV3" s="1" t="str">
        <f>'Formulation Name Data'!A185&amp;"_T1"</f>
        <v>NRL_N10478-227_G225_DGBE_0.063_0.3_0.5_T1</v>
      </c>
      <c r="DW3" s="1" t="str">
        <f>'Formulation Name Data'!A186&amp;"_T1"</f>
        <v>NRL_N10478-233_G225_DGBE_0.03_0.3_0.5_T1</v>
      </c>
      <c r="DX3" s="1" t="str">
        <f>'Formulation Name Data'!A187&amp;"_T1"</f>
        <v>NRL_N10478-240_G225_DGBE_#_0.3_0.5_T1</v>
      </c>
      <c r="DY3" s="1" t="str">
        <f>'Formulation Name Data'!A188&amp;"_T1"</f>
        <v>CL_MD2102-90_G225_DGBE_0.2_0.3_0.5_T1</v>
      </c>
      <c r="DZ3" s="1" t="str">
        <f>'Formulation Name Data'!A189&amp;"_T1"</f>
        <v>CL_MD2102-112_G225_DGBE_0.05_0.3_0.5_T1</v>
      </c>
      <c r="EA3" s="1" t="str">
        <f>'Formulation Name Data'!A191&amp;"_T1"</f>
        <v>ComSor_EXP-21-CH1070-1_3_T1</v>
      </c>
      <c r="EB3" s="1" t="str">
        <f>'Formulation Name Data'!A192&amp;"_T1"</f>
        <v>ComSor_EXP-21-CH1070-2_3_T1</v>
      </c>
      <c r="EC3" s="1" t="str">
        <f>'Formulation Name Data'!A193&amp;"_T1"</f>
        <v>ComSor_EXP-21-CH1070-4_1_T1</v>
      </c>
      <c r="ED3" s="1" t="str">
        <f>'Formulation Name Data'!A37&amp;"_T7"</f>
        <v>D502W_G225_DGBE_0.2_0.3_0.5_T7</v>
      </c>
      <c r="EE3" s="1" t="str">
        <f>'Formulation Name Data'!A190&amp;"_T1"</f>
        <v>CL_MD2102-118_G225_DGBE_0.2_0.3_0.5_T1</v>
      </c>
      <c r="EF3" s="1" t="str">
        <f>'Formulation Name Data'!A197&amp;"_T1"</f>
        <v>NRL_CB-1-192_G225_DGBE_0.14_0.21_0.5_T1</v>
      </c>
    </row>
    <row r="4" spans="1:136" x14ac:dyDescent="0.35">
      <c r="A4">
        <f>(250/38)*60</f>
        <v>394.73684210526312</v>
      </c>
      <c r="B4">
        <f>(250/(91.78))*60</f>
        <v>163.43429941163652</v>
      </c>
      <c r="C4">
        <f>(250/(70.87))*60</f>
        <v>211.65514321998023</v>
      </c>
      <c r="D4">
        <f>(250/(59))*60</f>
        <v>254.23728813559325</v>
      </c>
      <c r="E4">
        <f>(250/(68.1))*60</f>
        <v>220.26431718061676</v>
      </c>
      <c r="F4">
        <f>(250/(61.25))*60</f>
        <v>244.89795918367346</v>
      </c>
      <c r="G4" s="16">
        <v>290.19</v>
      </c>
      <c r="H4" s="16">
        <f>(250/10.47)*60</f>
        <v>1432.6647564469913</v>
      </c>
      <c r="I4" s="16">
        <f>(250/10.63)*60</f>
        <v>1411.1006585136404</v>
      </c>
      <c r="J4" s="20">
        <f>(250/10.19)*60</f>
        <v>1472.0314033366044</v>
      </c>
      <c r="K4">
        <v>1505</v>
      </c>
      <c r="L4" s="20">
        <f>(250/10.09)*60</f>
        <v>1486.6204162537165</v>
      </c>
      <c r="M4">
        <v>649.56154595647934</v>
      </c>
      <c r="N4">
        <v>571.9733079122974</v>
      </c>
      <c r="O4">
        <v>597.72863120143461</v>
      </c>
      <c r="P4">
        <v>3610.1083032490974</v>
      </c>
      <c r="Q4">
        <v>645.36947402387864</v>
      </c>
      <c r="R4">
        <v>574.49253159708928</v>
      </c>
      <c r="S4">
        <v>649.49123186836982</v>
      </c>
      <c r="T4">
        <v>625.26052521884117</v>
      </c>
      <c r="U4">
        <v>587.77429467084642</v>
      </c>
      <c r="V4">
        <v>642.60469101424439</v>
      </c>
      <c r="W4">
        <v>656.59881812212745</v>
      </c>
      <c r="X4">
        <v>1185.0681414181315</v>
      </c>
      <c r="Y4">
        <v>573.94298832982599</v>
      </c>
      <c r="Z4">
        <v>600.18005401620485</v>
      </c>
      <c r="AA4">
        <v>2027.0270270270269</v>
      </c>
      <c r="AB4">
        <v>1794.2583732057417</v>
      </c>
      <c r="AC4">
        <v>1709.8888572242802</v>
      </c>
      <c r="AD4">
        <v>471.95783843309999</v>
      </c>
      <c r="AE4">
        <v>1420.45</v>
      </c>
      <c r="AF4">
        <v>1495.51</v>
      </c>
      <c r="AG4">
        <v>1500</v>
      </c>
      <c r="AH4">
        <v>1533.74233128834</v>
      </c>
      <c r="AI4">
        <v>1533.74233128834</v>
      </c>
      <c r="AJ4">
        <v>1476.37795275591</v>
      </c>
      <c r="AK4">
        <v>1440.92219020173</v>
      </c>
      <c r="AL4">
        <v>1527.49490835031</v>
      </c>
      <c r="AM4">
        <v>1482.21343873518</v>
      </c>
      <c r="AN4">
        <v>1467.7103718199601</v>
      </c>
      <c r="AO4">
        <v>1578.94736842105</v>
      </c>
      <c r="AP4">
        <v>1567.3981191222599</v>
      </c>
      <c r="AQ4">
        <v>1549.5867768595001</v>
      </c>
      <c r="AR4">
        <v>1482.21343873518</v>
      </c>
      <c r="AS4">
        <v>1549.5867768595001</v>
      </c>
      <c r="AT4">
        <v>1485.1485148514901</v>
      </c>
      <c r="AU4">
        <v>1463.4146341463399</v>
      </c>
      <c r="AV4">
        <v>1504.5135406218701</v>
      </c>
      <c r="AW4">
        <v>1476.37795275591</v>
      </c>
      <c r="AX4">
        <v>1504.5135406218701</v>
      </c>
      <c r="AY4">
        <v>1573.97691500525</v>
      </c>
      <c r="AZ4">
        <v>1383.76383763838</v>
      </c>
      <c r="BA4">
        <v>1472.0314033366001</v>
      </c>
      <c r="BB4">
        <v>1518.21862348178</v>
      </c>
      <c r="BC4">
        <v>1533.74233128834</v>
      </c>
      <c r="BD4">
        <v>1491.05367793241</v>
      </c>
      <c r="BE4">
        <v>584.68134866497758</v>
      </c>
      <c r="BF4">
        <v>1488.0952380952381</v>
      </c>
      <c r="BG4">
        <v>1258.6532410320956</v>
      </c>
      <c r="BH4">
        <v>1342.2818791946308</v>
      </c>
      <c r="BI4">
        <v>1558.4415584415585</v>
      </c>
      <c r="BJ4">
        <v>1367.3655423883317</v>
      </c>
      <c r="BK4">
        <v>520.74292657524734</v>
      </c>
      <c r="BL4">
        <v>808.18965517241384</v>
      </c>
      <c r="BM4">
        <v>538.26141562752309</v>
      </c>
      <c r="BN4">
        <v>1459.1439688715955</v>
      </c>
      <c r="BO4">
        <v>532.33963268565344</v>
      </c>
      <c r="BP4">
        <v>525.34804307853949</v>
      </c>
      <c r="BQ4">
        <v>118.56067342462504</v>
      </c>
      <c r="BR4">
        <v>1321.5859030837005</v>
      </c>
      <c r="BS4">
        <v>490.03593596863772</v>
      </c>
      <c r="BT4">
        <v>1367.365542388332</v>
      </c>
      <c r="BU4">
        <v>541.76072234762978</v>
      </c>
      <c r="BV4">
        <v>543.47826086956513</v>
      </c>
      <c r="BW4">
        <v>1517.8345560333923</v>
      </c>
      <c r="BX4">
        <v>1548.3870967741937</v>
      </c>
      <c r="BY4">
        <v>1216.7917258162645</v>
      </c>
      <c r="BZ4">
        <v>1441.2683161181842</v>
      </c>
      <c r="CA4">
        <v>1451.3788098693758</v>
      </c>
      <c r="CB4">
        <v>1385.0415512465374</v>
      </c>
      <c r="CC4">
        <v>2040.8163265306123</v>
      </c>
      <c r="CD4">
        <v>2247.1910112359551</v>
      </c>
      <c r="CE4">
        <v>534.95007132667615</v>
      </c>
      <c r="CF4">
        <v>600.60060060060061</v>
      </c>
      <c r="CG4">
        <v>471.95783843309999</v>
      </c>
      <c r="CH4">
        <v>485.82995951417001</v>
      </c>
      <c r="CI4">
        <v>1402.524544179523</v>
      </c>
      <c r="CJ4">
        <v>1376.4624913971093</v>
      </c>
      <c r="CK4">
        <v>1394.3760167325122</v>
      </c>
      <c r="CL4">
        <v>699.30069930069931</v>
      </c>
      <c r="CM4">
        <v>1437.4700527072355</v>
      </c>
      <c r="CN4">
        <v>1483.3127317676142</v>
      </c>
      <c r="CO4">
        <v>558.45122859270293</v>
      </c>
      <c r="CP4">
        <v>559.44055944055947</v>
      </c>
      <c r="CQ4">
        <v>1291.155584247902</v>
      </c>
      <c r="CR4">
        <v>1355.9322033898304</v>
      </c>
      <c r="CS4">
        <v>1357.7732518669384</v>
      </c>
      <c r="CT4">
        <v>1358.6956521739132</v>
      </c>
      <c r="CU4">
        <v>538.55129701104033</v>
      </c>
      <c r="CV4">
        <v>1347.4062429822591</v>
      </c>
      <c r="CW4" s="11">
        <v>540.19987395336273</v>
      </c>
      <c r="CX4">
        <v>1395.3488372093022</v>
      </c>
      <c r="CY4">
        <v>527.1481286241434</v>
      </c>
      <c r="CZ4">
        <v>290.38815216339174</v>
      </c>
      <c r="DA4">
        <v>549.5008700430443</v>
      </c>
      <c r="DB4">
        <v>319.26781248337147</v>
      </c>
      <c r="DC4">
        <v>326.28201642286155</v>
      </c>
      <c r="DD4">
        <v>316.42231832085224</v>
      </c>
      <c r="DE4">
        <v>517.86639047125846</v>
      </c>
      <c r="DF4">
        <v>1409.7744360902254</v>
      </c>
      <c r="DG4">
        <v>1525.940996948118</v>
      </c>
      <c r="DH4">
        <v>1462.3446260000001</v>
      </c>
      <c r="DI4">
        <v>1039.501</v>
      </c>
      <c r="DJ4">
        <v>491.15910000000002</v>
      </c>
      <c r="DK4">
        <v>512.64520000000005</v>
      </c>
      <c r="DL4">
        <v>493.17770000000002</v>
      </c>
      <c r="DM4">
        <v>496.15480000000002</v>
      </c>
      <c r="DN4">
        <v>515.72979999999995</v>
      </c>
      <c r="DO4">
        <v>500.16669999999999</v>
      </c>
      <c r="DP4">
        <v>513.78660000000002</v>
      </c>
      <c r="DQ4">
        <v>509.55414000000002</v>
      </c>
      <c r="DR4">
        <v>1875</v>
      </c>
      <c r="DS4" s="42">
        <v>1992.0318725099601</v>
      </c>
      <c r="DT4">
        <v>1586.4621893178212</v>
      </c>
      <c r="DU4">
        <v>1308.3296990841693</v>
      </c>
      <c r="DV4" s="42">
        <v>1202.8869286287088</v>
      </c>
      <c r="DW4" s="42">
        <v>1452.081316553727</v>
      </c>
      <c r="DX4">
        <v>1428.5714285714287</v>
      </c>
      <c r="DY4">
        <v>1350.1350135013502</v>
      </c>
      <c r="DZ4">
        <v>1479.2899408284022</v>
      </c>
      <c r="EA4">
        <v>1613.7708445400754</v>
      </c>
      <c r="EB4">
        <v>1678.7912702853944</v>
      </c>
      <c r="EC4">
        <v>1509.0543259557344</v>
      </c>
      <c r="ED4" s="42">
        <v>2042.2055820285909</v>
      </c>
      <c r="EE4">
        <v>1497.7533699450823</v>
      </c>
      <c r="EF4">
        <v>1506.7805123053743</v>
      </c>
    </row>
    <row r="5" spans="1:136" x14ac:dyDescent="0.35">
      <c r="A5">
        <f>(250/38.03)*60</f>
        <v>394.42545358927163</v>
      </c>
      <c r="B5">
        <f>(250/91.78)*60</f>
        <v>163.43429941163652</v>
      </c>
      <c r="C5">
        <f>(250/71.19)*60</f>
        <v>210.70375052675936</v>
      </c>
      <c r="D5">
        <f>(250/57.32)*60</f>
        <v>261.68876482902999</v>
      </c>
      <c r="E5">
        <f>(250/72.69)*60</f>
        <v>206.35575732562941</v>
      </c>
      <c r="F5">
        <f>(250/61.75)*60</f>
        <v>242.91497975708501</v>
      </c>
      <c r="G5" s="16">
        <v>278.24</v>
      </c>
      <c r="H5" s="16">
        <f>(250/10.28)*60</f>
        <v>1459.1439688715955</v>
      </c>
      <c r="I5" s="16">
        <f>(250/10.94)*60</f>
        <v>1371.1151736745887</v>
      </c>
      <c r="J5" s="20">
        <f>(250/10.03)*60</f>
        <v>1495.5134596211367</v>
      </c>
      <c r="K5">
        <v>1508</v>
      </c>
      <c r="L5" s="16">
        <f>(250/10.09)*60</f>
        <v>1486.6204162537165</v>
      </c>
      <c r="M5">
        <v>525.16411378555802</v>
      </c>
      <c r="N5">
        <v>591.0747709585263</v>
      </c>
      <c r="O5">
        <v>1035.3753235547886</v>
      </c>
      <c r="P5">
        <v>1823.7082066869302</v>
      </c>
      <c r="Q5">
        <v>911.30012150668279</v>
      </c>
      <c r="R5">
        <v>1551.9917227108124</v>
      </c>
      <c r="S5">
        <v>1118.7768040275964</v>
      </c>
      <c r="T5">
        <v>1138.0880121396056</v>
      </c>
      <c r="U5">
        <v>610.74918566775239</v>
      </c>
      <c r="V5">
        <v>985.70724494825026</v>
      </c>
      <c r="W5">
        <v>598.8621618924044</v>
      </c>
      <c r="X5">
        <v>597.43104650004977</v>
      </c>
      <c r="Y5">
        <v>594.11822952767591</v>
      </c>
      <c r="Z5">
        <v>603.80396497936999</v>
      </c>
      <c r="AA5">
        <v>1569.8587127158555</v>
      </c>
      <c r="AB5">
        <v>1596.1691939345569</v>
      </c>
      <c r="AC5">
        <v>1435.0633819660368</v>
      </c>
      <c r="AD5">
        <v>362.66924564796903</v>
      </c>
      <c r="AE5">
        <v>1420.45</v>
      </c>
      <c r="AF5">
        <v>1495.51</v>
      </c>
      <c r="BE5">
        <v>1502.2533800701053</v>
      </c>
      <c r="BF5">
        <v>1210.1653892698669</v>
      </c>
      <c r="BG5" t="e">
        <v>#DIV/0!</v>
      </c>
      <c r="BH5">
        <v>1136.3636363636365</v>
      </c>
      <c r="BI5">
        <v>600</v>
      </c>
      <c r="BJ5">
        <v>1959.5035924232527</v>
      </c>
      <c r="BK5">
        <v>1055.9662090813094</v>
      </c>
      <c r="BL5">
        <v>1651.9823788546255</v>
      </c>
      <c r="BM5">
        <v>399.33444259567386</v>
      </c>
      <c r="BN5">
        <v>2000</v>
      </c>
      <c r="BO5">
        <v>528.07604295018484</v>
      </c>
      <c r="BP5">
        <v>439.46385409800041</v>
      </c>
      <c r="BQ5">
        <v>156.38031693077565</v>
      </c>
      <c r="BR5">
        <v>510.24747002296112</v>
      </c>
      <c r="BS5">
        <v>372.78657968313144</v>
      </c>
      <c r="BT5">
        <v>488.91786179921775</v>
      </c>
      <c r="BU5">
        <v>408.97007702269781</v>
      </c>
      <c r="BV5">
        <v>409.44452026750372</v>
      </c>
      <c r="BW5">
        <v>1254.9675800041832</v>
      </c>
      <c r="BX5">
        <v>1285.3470437017995</v>
      </c>
      <c r="BY5">
        <v>694.68565474122954</v>
      </c>
      <c r="BZ5">
        <v>752.72864132480231</v>
      </c>
      <c r="CA5">
        <v>1943.6345966958211</v>
      </c>
      <c r="CB5">
        <v>1998.6675549633578</v>
      </c>
      <c r="CC5">
        <v>1359.6193065941538</v>
      </c>
      <c r="CD5">
        <v>2117.1489061397319</v>
      </c>
      <c r="CE5">
        <v>408.85860306643951</v>
      </c>
      <c r="CF5">
        <v>457.03839122486289</v>
      </c>
      <c r="CG5">
        <v>362.66924564796903</v>
      </c>
      <c r="CH5">
        <v>356.48505733468005</v>
      </c>
      <c r="CI5">
        <v>1144.3829868395956</v>
      </c>
      <c r="CJ5">
        <v>1122.3344556677889</v>
      </c>
      <c r="CK5">
        <v>1167.3151750972763</v>
      </c>
      <c r="CL5">
        <v>672.04301075268813</v>
      </c>
      <c r="CM5">
        <v>1155.1790527531768</v>
      </c>
      <c r="CN5">
        <v>1142.8571428571429</v>
      </c>
      <c r="CO5">
        <v>702.16500877706267</v>
      </c>
      <c r="CP5">
        <v>707.46374248319773</v>
      </c>
      <c r="CQ5">
        <v>545.901191884269</v>
      </c>
      <c r="CR5">
        <v>532.57589206461921</v>
      </c>
      <c r="CS5">
        <v>527.56528620416771</v>
      </c>
      <c r="CT5">
        <v>528.77412531946766</v>
      </c>
      <c r="CU5">
        <v>390.26928580720693</v>
      </c>
      <c r="CV5">
        <v>1985.440105890139</v>
      </c>
      <c r="CW5" s="11">
        <v>659.34065934065939</v>
      </c>
      <c r="CX5">
        <v>1107.8286558345644</v>
      </c>
      <c r="CY5">
        <v>424.14816909373673</v>
      </c>
      <c r="CZ5">
        <v>304.42944847531584</v>
      </c>
      <c r="DA5">
        <v>295.93094944512944</v>
      </c>
      <c r="DB5">
        <v>323.51989647363314</v>
      </c>
      <c r="DC5">
        <v>323.18879612173441</v>
      </c>
      <c r="DD5">
        <v>388.97893030794165</v>
      </c>
      <c r="DE5">
        <v>1261.0340479192939</v>
      </c>
      <c r="DF5">
        <v>2068.9655172413795</v>
      </c>
      <c r="DG5">
        <v>1147.0082202255783</v>
      </c>
      <c r="DH5">
        <v>1219.264377</v>
      </c>
      <c r="DI5">
        <v>276.0652</v>
      </c>
      <c r="DJ5">
        <v>371.56299999999999</v>
      </c>
      <c r="DK5">
        <v>370.37040000000002</v>
      </c>
      <c r="DL5">
        <v>489.55610000000001</v>
      </c>
      <c r="DM5">
        <v>483.13069999999999</v>
      </c>
      <c r="DN5">
        <v>383.92630000000003</v>
      </c>
      <c r="DO5">
        <v>505.26319999999998</v>
      </c>
      <c r="DP5">
        <v>364.45359999999999</v>
      </c>
      <c r="DQ5">
        <v>621.56841999999995</v>
      </c>
      <c r="DR5">
        <v>1500</v>
      </c>
      <c r="DS5" s="42">
        <v>1459.1439688715955</v>
      </c>
      <c r="DT5">
        <v>920.24539877300606</v>
      </c>
      <c r="DU5">
        <v>1889.168765743073</v>
      </c>
      <c r="DW5" s="42">
        <v>1885.6065367693275</v>
      </c>
      <c r="DX5">
        <v>1069.1375623663578</v>
      </c>
      <c r="DY5">
        <v>1663.8935108153078</v>
      </c>
      <c r="DZ5">
        <v>861.82131571387526</v>
      </c>
      <c r="EA5">
        <v>665.63124029287769</v>
      </c>
      <c r="EB5">
        <v>643.77682403433471</v>
      </c>
      <c r="EC5">
        <v>616.90314620604556</v>
      </c>
      <c r="ED5" s="42">
        <v>1418.4397163120568</v>
      </c>
      <c r="EE5">
        <v>1098.4987184181618</v>
      </c>
      <c r="EF5">
        <v>826.9018743109151</v>
      </c>
    </row>
    <row r="6" spans="1:136" x14ac:dyDescent="0.35">
      <c r="A6">
        <f>(250/39.12)*60</f>
        <v>383.43558282208591</v>
      </c>
      <c r="B6">
        <f>(250/30.75)*60</f>
        <v>487.80487804878055</v>
      </c>
      <c r="C6">
        <f>(250/28.96)*60</f>
        <v>517.95580110497235</v>
      </c>
      <c r="D6">
        <f>(250/55.78)*60</f>
        <v>268.91358910003584</v>
      </c>
      <c r="E6">
        <f>(250/74.12)*60</f>
        <v>202.37452779276848</v>
      </c>
      <c r="F6">
        <f>(250/61.04)*60</f>
        <v>245.74049803407604</v>
      </c>
      <c r="G6" s="16">
        <v>290.58999999999997</v>
      </c>
      <c r="H6" s="16">
        <f>(250/9.94)*60</f>
        <v>1509.0543259557346</v>
      </c>
      <c r="I6" s="16">
        <f>(250/10.28)*60</f>
        <v>1459.1439688715955</v>
      </c>
      <c r="J6" s="20">
        <f>(250/10.22)*60</f>
        <v>1467.7103718199608</v>
      </c>
      <c r="K6">
        <v>1346</v>
      </c>
      <c r="L6" s="16">
        <f>(250/10.44)*60</f>
        <v>1436.7816091954023</v>
      </c>
      <c r="M6">
        <v>399.68025579536368</v>
      </c>
      <c r="N6">
        <v>587.02670971529199</v>
      </c>
      <c r="O6">
        <v>1542.4164524421592</v>
      </c>
      <c r="P6">
        <v>1346.1969934933811</v>
      </c>
      <c r="Q6">
        <v>1365.8092419758707</v>
      </c>
      <c r="R6">
        <v>2240.4779686333081</v>
      </c>
      <c r="S6">
        <v>1850.1387604070305</v>
      </c>
      <c r="T6">
        <v>1365.4984069185252</v>
      </c>
      <c r="U6">
        <v>593.88300504800554</v>
      </c>
      <c r="V6">
        <v>1276.5957446808511</v>
      </c>
      <c r="W6">
        <v>615.06919528446952</v>
      </c>
      <c r="X6">
        <v>1101.7260374586854</v>
      </c>
      <c r="Y6">
        <v>493.09664694280076</v>
      </c>
      <c r="Z6">
        <v>500.12503125781444</v>
      </c>
      <c r="AA6">
        <v>1847.2906403940885</v>
      </c>
      <c r="AC6">
        <v>1238.9015073301673</v>
      </c>
      <c r="AD6">
        <v>216.27077100529863</v>
      </c>
      <c r="BF6">
        <v>860.33839977057653</v>
      </c>
      <c r="BH6">
        <v>2038.0434782608695</v>
      </c>
      <c r="BI6">
        <v>2318.3925811437402</v>
      </c>
      <c r="BJ6">
        <v>1117.7347242921014</v>
      </c>
      <c r="BK6">
        <v>1669.4490818030051</v>
      </c>
      <c r="BL6">
        <v>513.69863013698637</v>
      </c>
      <c r="BM6">
        <v>257.85379689715933</v>
      </c>
      <c r="BO6">
        <v>394.97070633927984</v>
      </c>
      <c r="BP6">
        <v>314.23483816905832</v>
      </c>
      <c r="BQ6">
        <v>170.71158278089166</v>
      </c>
      <c r="BR6">
        <v>369.09448818897636</v>
      </c>
      <c r="BS6">
        <v>258.82149943922008</v>
      </c>
      <c r="BT6">
        <v>84.093680359920953</v>
      </c>
      <c r="BU6">
        <v>264.7603918453799</v>
      </c>
      <c r="BV6">
        <v>271.56694125101836</v>
      </c>
      <c r="BW6">
        <v>959.53942107788259</v>
      </c>
      <c r="BX6">
        <v>1498.8758431176618</v>
      </c>
      <c r="BY6">
        <v>316.105579263474</v>
      </c>
      <c r="BZ6">
        <v>326.76179065461275</v>
      </c>
      <c r="CA6">
        <v>540.34582132564844</v>
      </c>
      <c r="CB6">
        <v>1105.9907834101382</v>
      </c>
      <c r="CC6">
        <v>514.75634866163352</v>
      </c>
      <c r="CD6">
        <v>1399.5801259622115</v>
      </c>
      <c r="CE6">
        <v>252.97242600556538</v>
      </c>
      <c r="CF6">
        <v>329.96040475142985</v>
      </c>
      <c r="CG6">
        <v>216.27077100529863</v>
      </c>
      <c r="CH6">
        <v>225.66571385587483</v>
      </c>
      <c r="CI6">
        <v>834.02835696413683</v>
      </c>
      <c r="CJ6">
        <v>839.63056255247682</v>
      </c>
      <c r="CK6">
        <v>829.41664362731547</v>
      </c>
      <c r="CL6">
        <v>674.61209804362488</v>
      </c>
      <c r="CM6">
        <v>870.70091423596</v>
      </c>
      <c r="CN6">
        <v>845.78517056667613</v>
      </c>
      <c r="CO6">
        <v>857.02042565347801</v>
      </c>
      <c r="CP6">
        <v>886.39385433594327</v>
      </c>
      <c r="CQ6">
        <v>462.10720887245839</v>
      </c>
      <c r="CR6">
        <v>384.14751264485562</v>
      </c>
      <c r="CS6">
        <v>1103.9558417663293</v>
      </c>
      <c r="CT6">
        <v>1083.2280194981042</v>
      </c>
      <c r="CU6">
        <v>203.69364475828354</v>
      </c>
      <c r="CV6">
        <v>2587.3221216041402</v>
      </c>
      <c r="CW6" s="11">
        <v>824.74226804123714</v>
      </c>
      <c r="CX6">
        <v>806.34323343636606</v>
      </c>
      <c r="CY6">
        <v>494.84536082474227</v>
      </c>
      <c r="CZ6">
        <v>297.01499925746253</v>
      </c>
      <c r="DA6">
        <v>384.44287819568143</v>
      </c>
      <c r="DB6">
        <v>312.59768677711787</v>
      </c>
      <c r="DC6">
        <v>390.39625219597895</v>
      </c>
      <c r="DD6">
        <v>514.31510372021262</v>
      </c>
      <c r="DE6">
        <v>1992.0318725099601</v>
      </c>
      <c r="DF6">
        <v>996.84332945672043</v>
      </c>
      <c r="DG6">
        <v>883.13217544892552</v>
      </c>
      <c r="DH6">
        <v>883.52230889999998</v>
      </c>
      <c r="DI6">
        <v>243.1414</v>
      </c>
      <c r="DJ6">
        <v>301.03859999999997</v>
      </c>
      <c r="DK6">
        <v>300.75189999999998</v>
      </c>
      <c r="DL6">
        <v>376.36430000000001</v>
      </c>
      <c r="DM6">
        <v>370.71359999999999</v>
      </c>
      <c r="DN6">
        <v>313.84039999999999</v>
      </c>
      <c r="DO6">
        <v>375.93979999999999</v>
      </c>
      <c r="DP6">
        <v>310.86470000000003</v>
      </c>
      <c r="DQ6">
        <v>767.75432000000001</v>
      </c>
      <c r="DR6">
        <v>541.41851651326476</v>
      </c>
      <c r="DS6" s="42">
        <v>1174.6280344557558</v>
      </c>
      <c r="DT6">
        <v>605.69351907934583</v>
      </c>
      <c r="DW6" s="42">
        <v>1000</v>
      </c>
      <c r="DX6">
        <v>1259.9748005039901</v>
      </c>
      <c r="DY6">
        <v>1924.3104554201416</v>
      </c>
      <c r="DZ6">
        <v>556.17352614015579</v>
      </c>
      <c r="ED6" s="42">
        <v>1204.3356081894822</v>
      </c>
      <c r="EE6">
        <v>914.3553794574824</v>
      </c>
      <c r="EF6">
        <v>556.17352614015579</v>
      </c>
    </row>
    <row r="7" spans="1:136" x14ac:dyDescent="0.35">
      <c r="A7">
        <f>(250/29.09)*60</f>
        <v>515.64111378480584</v>
      </c>
      <c r="B7">
        <f>(250/29.62)*60</f>
        <v>506.41458474004048</v>
      </c>
      <c r="C7">
        <f>(250/26.94)*60</f>
        <v>556.79287305122489</v>
      </c>
      <c r="D7">
        <f>(250/27.62)*60</f>
        <v>543.08472121650971</v>
      </c>
      <c r="E7">
        <f>(250/32.47)*60</f>
        <v>461.96489066830924</v>
      </c>
      <c r="F7">
        <f>(250/28.53)*60</f>
        <v>525.7623554153522</v>
      </c>
      <c r="G7" s="16">
        <v>255.06</v>
      </c>
      <c r="J7" s="20">
        <f>(250/14.53)*60</f>
        <v>1032.3468685478322</v>
      </c>
      <c r="K7">
        <v>962</v>
      </c>
      <c r="L7" s="16">
        <f>(250/16.6)*60</f>
        <v>903.61445783132524</v>
      </c>
      <c r="M7">
        <v>256.95931477516058</v>
      </c>
      <c r="N7">
        <v>458.92611289582374</v>
      </c>
      <c r="O7">
        <v>2107.4815595363543</v>
      </c>
      <c r="P7">
        <v>668.37473543500062</v>
      </c>
      <c r="Q7">
        <v>1538.4615384615386</v>
      </c>
      <c r="R7">
        <v>2954.2097488921709</v>
      </c>
      <c r="S7">
        <v>3200</v>
      </c>
      <c r="T7">
        <v>1875</v>
      </c>
      <c r="U7">
        <v>499.12652857499376</v>
      </c>
      <c r="V7">
        <v>1980.8517662594916</v>
      </c>
      <c r="W7">
        <v>504.15931434333254</v>
      </c>
      <c r="X7">
        <v>1280.1365478984424</v>
      </c>
      <c r="Y7">
        <v>505.26315789473682</v>
      </c>
      <c r="Z7">
        <v>499.87503124218944</v>
      </c>
      <c r="AA7">
        <v>2086.2308762169678</v>
      </c>
      <c r="AC7">
        <v>1000</v>
      </c>
      <c r="AD7">
        <v>117.79025481958459</v>
      </c>
      <c r="BF7">
        <v>570.66768118698883</v>
      </c>
      <c r="BJ7">
        <v>812.34768480909827</v>
      </c>
      <c r="BK7">
        <v>2079.002079002079</v>
      </c>
      <c r="BM7">
        <v>177.02248185519562</v>
      </c>
      <c r="BO7">
        <v>302.16044719746185</v>
      </c>
      <c r="BP7">
        <v>223.25581395348837</v>
      </c>
      <c r="BQ7">
        <v>235.90469450342061</v>
      </c>
      <c r="BR7">
        <v>252.66349433612666</v>
      </c>
      <c r="BS7">
        <v>191.28993177325768</v>
      </c>
      <c r="BT7">
        <v>179.04034375746002</v>
      </c>
      <c r="BU7">
        <v>191.27163760400396</v>
      </c>
      <c r="BV7">
        <v>197.73266543633008</v>
      </c>
      <c r="BW7">
        <v>654.02223675604967</v>
      </c>
      <c r="BX7">
        <v>1920</v>
      </c>
      <c r="BY7">
        <v>290.85268311600174</v>
      </c>
      <c r="BZ7">
        <v>123.63996043521267</v>
      </c>
      <c r="CA7">
        <v>1139.1684070628442</v>
      </c>
      <c r="CB7">
        <v>819.44823818628788</v>
      </c>
      <c r="CC7">
        <v>528.58778962205974</v>
      </c>
      <c r="CD7">
        <v>1101.5237745548009</v>
      </c>
      <c r="CE7">
        <v>180.64127653168751</v>
      </c>
      <c r="CF7">
        <v>203.47949944043137</v>
      </c>
      <c r="CG7">
        <v>117.79025481958459</v>
      </c>
      <c r="CH7">
        <v>108.17047667123387</v>
      </c>
      <c r="CI7">
        <v>695.0880444856349</v>
      </c>
      <c r="CJ7">
        <v>690.60773480662988</v>
      </c>
      <c r="CK7">
        <v>688.54716548083547</v>
      </c>
      <c r="CM7">
        <v>682.82690337999315</v>
      </c>
      <c r="CN7">
        <v>694.44444444444434</v>
      </c>
      <c r="CO7">
        <v>1144.1647597254005</v>
      </c>
      <c r="CP7">
        <v>1187.4134177716207</v>
      </c>
      <c r="CQ7">
        <v>672.57033964802145</v>
      </c>
      <c r="CR7">
        <v>464.43223159687284</v>
      </c>
      <c r="CS7">
        <v>819.89614648811141</v>
      </c>
      <c r="CT7">
        <v>815.99347205222352</v>
      </c>
      <c r="CU7">
        <v>277.37968656095416</v>
      </c>
      <c r="CV7">
        <v>3269.7547683923704</v>
      </c>
      <c r="CW7" s="11">
        <v>1073.9216037229282</v>
      </c>
      <c r="CX7">
        <v>561.37724550898201</v>
      </c>
      <c r="CY7">
        <v>715.90502326691319</v>
      </c>
      <c r="CZ7">
        <v>506.84237202230111</v>
      </c>
      <c r="DA7">
        <v>492.00492004920051</v>
      </c>
      <c r="DB7">
        <v>251.84687709872398</v>
      </c>
      <c r="DC7">
        <v>506.84237202230111</v>
      </c>
      <c r="DD7">
        <v>758.62940953344287</v>
      </c>
      <c r="DE7">
        <v>2326.4831329972858</v>
      </c>
      <c r="DG7">
        <v>571.59188339525576</v>
      </c>
      <c r="DH7">
        <v>577.31165209999995</v>
      </c>
      <c r="DI7">
        <v>281.18849999999998</v>
      </c>
      <c r="DJ7">
        <v>238.63499999999999</v>
      </c>
      <c r="DK7">
        <v>267.53469999999999</v>
      </c>
      <c r="DL7">
        <v>311.57499999999999</v>
      </c>
      <c r="DM7">
        <v>302.67869999999999</v>
      </c>
      <c r="DN7">
        <v>270.88040000000001</v>
      </c>
      <c r="DO7">
        <v>314.4819</v>
      </c>
      <c r="DP7">
        <v>635.92999999999995</v>
      </c>
      <c r="DQ7">
        <v>1012.1457</v>
      </c>
      <c r="DR7">
        <v>263.9450994193208</v>
      </c>
      <c r="DS7" s="42">
        <v>555.24708495280402</v>
      </c>
      <c r="DT7">
        <v>373.41299477221804</v>
      </c>
      <c r="DW7" s="42">
        <v>1197.1268954509178</v>
      </c>
      <c r="DX7">
        <v>1669.4490818030051</v>
      </c>
      <c r="DZ7">
        <v>414.82300884955754</v>
      </c>
      <c r="ED7" s="42">
        <v>866.30089517759166</v>
      </c>
      <c r="EE7">
        <v>570.12542759407074</v>
      </c>
      <c r="EF7">
        <v>2442.99674267101</v>
      </c>
    </row>
    <row r="8" spans="1:136" x14ac:dyDescent="0.35">
      <c r="A8">
        <f>(250/27.07)*60</f>
        <v>554.11895086811967</v>
      </c>
      <c r="B8">
        <f>(250/25.82)*60</f>
        <v>580.94500387296671</v>
      </c>
      <c r="C8">
        <f>(250/34.82)*60</f>
        <v>430.78690407811598</v>
      </c>
      <c r="D8">
        <f>(250/28.06)*60</f>
        <v>534.568781183179</v>
      </c>
      <c r="E8">
        <f>(250/28.88)*60</f>
        <v>519.3905817174516</v>
      </c>
      <c r="F8">
        <f>(250/30.22)*60</f>
        <v>496.36002647253474</v>
      </c>
      <c r="G8" s="16">
        <v>535.14</v>
      </c>
      <c r="J8" s="16">
        <f>(250/15.22)*60</f>
        <v>985.54533508541397</v>
      </c>
      <c r="K8">
        <v>1134</v>
      </c>
      <c r="L8" s="16">
        <f>(250/15.91)*60</f>
        <v>942.80326838466374</v>
      </c>
      <c r="M8">
        <v>687.12780577187357</v>
      </c>
      <c r="N8">
        <v>438.34015195791937</v>
      </c>
      <c r="O8">
        <v>2594.0337224383916</v>
      </c>
      <c r="P8">
        <v>961.84674575184351</v>
      </c>
      <c r="Q8">
        <v>1914.4862795149968</v>
      </c>
      <c r="R8">
        <v>4322.7665706051866</v>
      </c>
      <c r="T8">
        <v>2316.6023166023169</v>
      </c>
      <c r="U8">
        <v>509.51086956521743</v>
      </c>
      <c r="V8">
        <v>3729.0242386575515</v>
      </c>
      <c r="W8">
        <v>488.87802493277934</v>
      </c>
      <c r="X8">
        <v>1837.6722817764166</v>
      </c>
      <c r="Y8">
        <v>358.23034210997668</v>
      </c>
      <c r="Z8">
        <v>379.60268252562315</v>
      </c>
      <c r="AC8">
        <v>1203.6108324974925</v>
      </c>
      <c r="AD8">
        <v>175.19782754693841</v>
      </c>
      <c r="BF8">
        <v>439.36731107205622</v>
      </c>
      <c r="BJ8">
        <v>523.74301675977654</v>
      </c>
      <c r="BK8">
        <v>810.1539292465568</v>
      </c>
      <c r="BM8">
        <v>199.68715678769925</v>
      </c>
      <c r="BO8">
        <v>231.794475564999</v>
      </c>
      <c r="BP8">
        <v>143.86074280096867</v>
      </c>
      <c r="BQ8">
        <v>371.6781267422412</v>
      </c>
      <c r="BR8">
        <v>183.89113644722326</v>
      </c>
      <c r="BS8">
        <v>219.28221621226518</v>
      </c>
      <c r="BT8">
        <v>365.85365853658539</v>
      </c>
      <c r="BU8">
        <v>220.31284423881911</v>
      </c>
      <c r="BV8">
        <v>220.10271460014673</v>
      </c>
      <c r="BW8">
        <v>486.97345994643291</v>
      </c>
      <c r="BX8">
        <v>2299.7316979685702</v>
      </c>
      <c r="BY8">
        <v>392.95304211146771</v>
      </c>
      <c r="BZ8">
        <v>223.31397945511389</v>
      </c>
      <c r="CA8">
        <v>883.13217544892552</v>
      </c>
      <c r="CB8">
        <v>505.94485201113076</v>
      </c>
      <c r="CD8">
        <v>526.22346956674266</v>
      </c>
      <c r="CE8">
        <v>101.10541925047181</v>
      </c>
      <c r="CF8">
        <v>275.38094363870022</v>
      </c>
      <c r="CG8">
        <v>175.19782754693841</v>
      </c>
      <c r="CH8">
        <v>165.51267551239965</v>
      </c>
      <c r="CI8">
        <v>544.95912806539513</v>
      </c>
      <c r="CJ8">
        <v>540.97917230186636</v>
      </c>
      <c r="CK8">
        <v>552.07949944792051</v>
      </c>
      <c r="CM8">
        <v>545.4545454545455</v>
      </c>
      <c r="CN8">
        <v>554.27251732101615</v>
      </c>
      <c r="CO8">
        <v>1478.9253142716293</v>
      </c>
      <c r="CP8">
        <v>1496.6325767024193</v>
      </c>
      <c r="CQ8">
        <v>745.89756340129293</v>
      </c>
      <c r="CR8">
        <v>675.29544175576814</v>
      </c>
      <c r="CS8">
        <v>664.59902525476298</v>
      </c>
      <c r="CT8">
        <v>668.30028959679214</v>
      </c>
      <c r="CU8">
        <v>270.50178080339026</v>
      </c>
      <c r="CW8" s="11">
        <v>1370.4888076747372</v>
      </c>
      <c r="CX8">
        <v>674.91563554555671</v>
      </c>
      <c r="CY8">
        <v>813.5593220338983</v>
      </c>
      <c r="CZ8">
        <v>374.83600924595493</v>
      </c>
      <c r="DA8">
        <v>758.3417593528817</v>
      </c>
      <c r="DB8">
        <v>392.79869067103112</v>
      </c>
      <c r="DC8">
        <v>779.72709551656919</v>
      </c>
      <c r="DD8">
        <v>1027.7492291880783</v>
      </c>
      <c r="DG8">
        <v>426.19690296917173</v>
      </c>
      <c r="DH8">
        <v>426.07584150000002</v>
      </c>
      <c r="DJ8">
        <v>270.27030000000002</v>
      </c>
      <c r="DK8">
        <v>234.4391</v>
      </c>
      <c r="DL8">
        <v>342.8963</v>
      </c>
      <c r="DM8">
        <v>255.5257</v>
      </c>
      <c r="DN8">
        <v>235.16499999999999</v>
      </c>
      <c r="DO8">
        <v>264.86559999999997</v>
      </c>
      <c r="DP8">
        <v>789.88940000000002</v>
      </c>
      <c r="DQ8">
        <v>1264.7555</v>
      </c>
      <c r="DR8">
        <v>2000</v>
      </c>
      <c r="DS8" s="42">
        <v>391.33837725019566</v>
      </c>
      <c r="DT8">
        <v>2622.3776223776226</v>
      </c>
      <c r="DX8">
        <v>2033.8983050847457</v>
      </c>
      <c r="DZ8">
        <v>492.04526816467114</v>
      </c>
      <c r="ED8" s="42">
        <v>573.50411011278914</v>
      </c>
      <c r="EE8">
        <v>2092.050209205021</v>
      </c>
      <c r="EF8">
        <v>761.80802437785678</v>
      </c>
    </row>
    <row r="9" spans="1:136" x14ac:dyDescent="0.35">
      <c r="A9">
        <f>(250/28.6)*60</f>
        <v>524.47552447552448</v>
      </c>
      <c r="B9">
        <f>(250/14.66)*60</f>
        <v>1023.1923601637108</v>
      </c>
      <c r="C9">
        <f>(250/14.53)*60</f>
        <v>1032.3468685478322</v>
      </c>
      <c r="D9">
        <f>(250/30.44)*60</f>
        <v>492.77266754270698</v>
      </c>
      <c r="E9">
        <f>(250/30.91)*60</f>
        <v>485.27984471044965</v>
      </c>
      <c r="F9">
        <f>(250/29.22)*60</f>
        <v>513.34702258726907</v>
      </c>
      <c r="G9" s="16">
        <v>520.11</v>
      </c>
      <c r="J9" s="16">
        <f>(250/14.53)*60</f>
        <v>1032.3468685478322</v>
      </c>
      <c r="K9">
        <v>1090</v>
      </c>
      <c r="L9" s="16">
        <f>(250/29.37)*60</f>
        <v>510.72522982635343</v>
      </c>
      <c r="M9">
        <v>1064.3959552953697</v>
      </c>
      <c r="N9">
        <v>453.0695461753379</v>
      </c>
      <c r="O9">
        <v>3886.0103626943005</v>
      </c>
      <c r="P9">
        <v>1134.001134001134</v>
      </c>
      <c r="Q9">
        <v>2415.4589371980678</v>
      </c>
      <c r="T9">
        <v>1969.1499835904169</v>
      </c>
      <c r="U9">
        <v>380.10769718086794</v>
      </c>
      <c r="W9">
        <v>373.41299477221804</v>
      </c>
      <c r="X9">
        <v>2338.2696804364768</v>
      </c>
      <c r="Y9">
        <v>981.99672667757773</v>
      </c>
      <c r="Z9">
        <v>378.40565085771948</v>
      </c>
      <c r="AC9">
        <v>2062.5644551392229</v>
      </c>
      <c r="AD9">
        <v>145.22218995062445</v>
      </c>
      <c r="BF9">
        <v>274.92668621700881</v>
      </c>
      <c r="BJ9">
        <v>702.24719101123594</v>
      </c>
      <c r="BM9">
        <v>685.00970430414429</v>
      </c>
      <c r="BO9">
        <v>273.67268746579089</v>
      </c>
      <c r="BP9">
        <v>224.98875056247186</v>
      </c>
      <c r="BQ9">
        <v>492.28749589760423</v>
      </c>
      <c r="BR9">
        <v>131.65112452002194</v>
      </c>
      <c r="BS9">
        <v>690.21051420683307</v>
      </c>
      <c r="BT9">
        <v>667.70531938571116</v>
      </c>
      <c r="BU9">
        <v>682.98235628912926</v>
      </c>
      <c r="BV9">
        <v>684.77516548733161</v>
      </c>
      <c r="BW9">
        <v>311.55883269290683</v>
      </c>
      <c r="BY9">
        <v>962.4639076034648</v>
      </c>
      <c r="BZ9">
        <v>431.96544276457882</v>
      </c>
      <c r="CB9">
        <v>369.36715094804237</v>
      </c>
      <c r="CD9">
        <v>798.29696647152741</v>
      </c>
      <c r="CE9">
        <v>135.4004468214745</v>
      </c>
      <c r="CF9">
        <v>785.95755829185225</v>
      </c>
      <c r="CG9">
        <v>145.22218995062445</v>
      </c>
      <c r="CH9">
        <v>179.93162598212677</v>
      </c>
      <c r="CI9">
        <v>415.51246537396122</v>
      </c>
      <c r="CJ9">
        <v>400.90872644661232</v>
      </c>
      <c r="CK9">
        <v>408.60800871697086</v>
      </c>
      <c r="CM9">
        <v>397.93076004775168</v>
      </c>
      <c r="CN9">
        <v>392.79869067103112</v>
      </c>
      <c r="CO9">
        <v>2171.5526601520087</v>
      </c>
      <c r="CP9">
        <v>1715.7563625965113</v>
      </c>
      <c r="CQ9">
        <v>1086.5628395508875</v>
      </c>
      <c r="CR9">
        <v>826.44628099173565</v>
      </c>
      <c r="CS9">
        <v>601.32291040288635</v>
      </c>
      <c r="CT9">
        <v>1567.398119122257</v>
      </c>
      <c r="CU9">
        <v>861.82131571387526</v>
      </c>
      <c r="CW9" s="11">
        <v>1978.8918205804748</v>
      </c>
      <c r="CX9">
        <v>1580.6111696522655</v>
      </c>
      <c r="CY9">
        <v>1146.1318051575931</v>
      </c>
      <c r="CZ9">
        <v>997.340425531915</v>
      </c>
      <c r="DA9">
        <v>1008.4033613445379</v>
      </c>
      <c r="DB9">
        <v>531.25553391181154</v>
      </c>
      <c r="DC9">
        <v>1027.9253040945691</v>
      </c>
      <c r="DD9">
        <v>1331.5579227696403</v>
      </c>
      <c r="DG9">
        <v>255.44959128065395</v>
      </c>
      <c r="DH9">
        <v>272.69008769999999</v>
      </c>
      <c r="DJ9">
        <v>766.47929999999997</v>
      </c>
      <c r="DK9">
        <v>768.6395</v>
      </c>
      <c r="DL9">
        <v>758.91729999999995</v>
      </c>
      <c r="DM9">
        <v>762.87350000000004</v>
      </c>
      <c r="DN9">
        <v>634.24950000000001</v>
      </c>
      <c r="DO9">
        <v>233.4358</v>
      </c>
      <c r="DP9">
        <v>1030.5740000000001</v>
      </c>
      <c r="DQ9">
        <v>1562.5</v>
      </c>
      <c r="DR9">
        <v>1250</v>
      </c>
      <c r="DS9" s="42">
        <v>488.59934853420197</v>
      </c>
      <c r="DX9">
        <v>1419.7823000473261</v>
      </c>
      <c r="DZ9">
        <v>2212.3893805309735</v>
      </c>
      <c r="ED9" s="42">
        <v>441.1764705882353</v>
      </c>
      <c r="EE9">
        <v>1770.9563164108617</v>
      </c>
    </row>
    <row r="10" spans="1:136" x14ac:dyDescent="0.35">
      <c r="A10">
        <f>(250/14.85)*60</f>
        <v>1010.10101010101</v>
      </c>
      <c r="B10">
        <f>(250/15.69)*60</f>
        <v>956.02294455066931</v>
      </c>
      <c r="C10">
        <f>(250/14.44)*60</f>
        <v>1038.7811634349032</v>
      </c>
      <c r="D10">
        <f>(250/14.37)*60</f>
        <v>1043.8413361169103</v>
      </c>
      <c r="E10">
        <f>(250/14.84)*60</f>
        <v>1010.7816711590297</v>
      </c>
      <c r="F10">
        <f>(250/14.12)*60</f>
        <v>1062.3229461756375</v>
      </c>
      <c r="G10" s="16">
        <v>487.8</v>
      </c>
      <c r="J10" s="16">
        <f>(250/29.22)*60</f>
        <v>513.34702258726907</v>
      </c>
      <c r="K10">
        <v>668</v>
      </c>
      <c r="L10" s="16">
        <f>(250/30.66)*60</f>
        <v>489.23679060665359</v>
      </c>
      <c r="M10">
        <v>989.77235235895739</v>
      </c>
      <c r="N10">
        <v>926.78405931417967</v>
      </c>
      <c r="P10">
        <v>1090.909090909091</v>
      </c>
      <c r="Q10">
        <v>1849.5684340320593</v>
      </c>
      <c r="U10">
        <v>985.38347840367874</v>
      </c>
      <c r="W10">
        <v>371.95462153617257</v>
      </c>
      <c r="Y10">
        <v>993.87112804373032</v>
      </c>
      <c r="Z10">
        <v>1000.667111407605</v>
      </c>
      <c r="AD10">
        <v>610.31431187061332</v>
      </c>
      <c r="BF10">
        <v>581.50804419461133</v>
      </c>
      <c r="BJ10">
        <v>463.7501932292472</v>
      </c>
      <c r="BM10">
        <v>811.57852022183135</v>
      </c>
      <c r="BO10">
        <v>608.21084642676124</v>
      </c>
      <c r="BP10">
        <v>678.65626060400405</v>
      </c>
      <c r="BQ10">
        <v>622.21300425178879</v>
      </c>
      <c r="BR10">
        <v>155.09085739395661</v>
      </c>
      <c r="BS10">
        <v>832.63946711074107</v>
      </c>
      <c r="BT10">
        <v>904.02290191351506</v>
      </c>
      <c r="BU10">
        <v>841.86894906692851</v>
      </c>
      <c r="BV10">
        <v>827.47207281754254</v>
      </c>
      <c r="BW10">
        <v>148.90923981833072</v>
      </c>
      <c r="BY10">
        <v>1635.322976287817</v>
      </c>
      <c r="BZ10">
        <v>1008.9120564990752</v>
      </c>
      <c r="CB10">
        <v>300.94798615639263</v>
      </c>
      <c r="CD10">
        <v>1375.2005500802202</v>
      </c>
      <c r="CE10">
        <v>675.98017124831017</v>
      </c>
      <c r="CF10">
        <v>906.75532718754721</v>
      </c>
      <c r="CG10">
        <v>610.31431187061332</v>
      </c>
      <c r="CH10">
        <v>600.90135202804208</v>
      </c>
      <c r="CI10">
        <v>464.68401486988847</v>
      </c>
      <c r="CJ10">
        <v>1691.5703411333523</v>
      </c>
      <c r="CK10">
        <v>1708.4282460136671</v>
      </c>
      <c r="CM10">
        <v>265.48672566371681</v>
      </c>
      <c r="CN10">
        <v>266.8564312399929</v>
      </c>
      <c r="CO10">
        <v>1811.594202898551</v>
      </c>
      <c r="CP10">
        <v>1997.3368841544607</v>
      </c>
      <c r="CQ10">
        <v>1578.9473684210527</v>
      </c>
      <c r="CR10">
        <v>1080.3024846957148</v>
      </c>
      <c r="CS10">
        <v>1556.0165975103735</v>
      </c>
      <c r="CT10">
        <v>1939.2372333548803</v>
      </c>
      <c r="CU10">
        <v>1167.9968853416392</v>
      </c>
      <c r="CW10" s="11">
        <v>1578.9473684210527</v>
      </c>
      <c r="CX10">
        <v>1976.9357495881384</v>
      </c>
      <c r="CY10">
        <v>1366.4313368253247</v>
      </c>
      <c r="CZ10">
        <v>1246.1059190031151</v>
      </c>
      <c r="DA10">
        <v>1926.1637239165329</v>
      </c>
      <c r="DB10">
        <v>1010.2710894089914</v>
      </c>
      <c r="DC10">
        <v>1291.4334911752044</v>
      </c>
      <c r="DD10">
        <v>1563.721657544957</v>
      </c>
      <c r="DG10">
        <v>1871.4909544603865</v>
      </c>
      <c r="DH10">
        <v>234.54907940000001</v>
      </c>
      <c r="DJ10">
        <v>997.00900000000001</v>
      </c>
      <c r="DK10">
        <v>768.3442</v>
      </c>
      <c r="DL10">
        <v>1021.798</v>
      </c>
      <c r="DM10">
        <v>1015.057</v>
      </c>
      <c r="DN10">
        <v>791.76559999999995</v>
      </c>
      <c r="DO10">
        <v>207.51910000000001</v>
      </c>
      <c r="DP10">
        <v>1282.874</v>
      </c>
      <c r="DQ10">
        <v>1989.3898999999999</v>
      </c>
      <c r="DX10">
        <v>1256.281407035176</v>
      </c>
      <c r="DZ10">
        <v>1655.6291390728477</v>
      </c>
      <c r="ED10" s="42">
        <v>288.37835239834664</v>
      </c>
    </row>
    <row r="11" spans="1:136" x14ac:dyDescent="0.35">
      <c r="A11" s="14">
        <f>(250/15.81)*60</f>
        <v>948.76660341555976</v>
      </c>
      <c r="B11" s="14">
        <f>(250/16.62)*60</f>
        <v>902.52707581227435</v>
      </c>
      <c r="C11" s="14">
        <f>(250/14.53)*60</f>
        <v>1032.3468685478322</v>
      </c>
      <c r="D11">
        <f>(250/14.59)*60</f>
        <v>1028.1014393420151</v>
      </c>
      <c r="E11">
        <f>(250/14.72)*60</f>
        <v>1019.0217391304349</v>
      </c>
      <c r="F11">
        <f>(250/16.19)*60</f>
        <v>926.4978381717109</v>
      </c>
      <c r="G11" s="16">
        <v>1036.6300000000001</v>
      </c>
      <c r="J11" s="16">
        <f>(250/30.79)*60</f>
        <v>487.17115946735959</v>
      </c>
      <c r="L11" s="16">
        <f>(250/31.22)*60</f>
        <v>480.4612427930814</v>
      </c>
      <c r="M11">
        <v>1355.9322033898304</v>
      </c>
      <c r="N11">
        <v>954.80585614258428</v>
      </c>
      <c r="P11">
        <v>1505.6461731493098</v>
      </c>
      <c r="U11">
        <v>1236.0939431396787</v>
      </c>
      <c r="W11">
        <v>308.19806862543658</v>
      </c>
      <c r="Y11">
        <v>1909.6117122851686</v>
      </c>
      <c r="Z11">
        <v>980.07187193727543</v>
      </c>
      <c r="AD11">
        <v>731.70731707317077</v>
      </c>
      <c r="BF11">
        <v>1861.0421836228286</v>
      </c>
      <c r="BJ11">
        <v>424.62845010615706</v>
      </c>
      <c r="BM11">
        <v>1138.3039271485486</v>
      </c>
      <c r="BO11">
        <v>833.21760866546322</v>
      </c>
      <c r="BP11">
        <v>806.66845926324288</v>
      </c>
      <c r="BQ11">
        <v>1241.9788863589317</v>
      </c>
      <c r="BR11">
        <v>795.75596816976122</v>
      </c>
      <c r="BS11">
        <v>1105.7869517139698</v>
      </c>
      <c r="BT11">
        <v>1212.8562765312311</v>
      </c>
      <c r="BU11">
        <v>1165.0485436893205</v>
      </c>
      <c r="BV11">
        <v>1159.1962905718701</v>
      </c>
      <c r="BW11">
        <v>155.82796592561814</v>
      </c>
      <c r="BY11">
        <v>2008.7043856712421</v>
      </c>
      <c r="BZ11">
        <v>1635.322976287817</v>
      </c>
      <c r="CB11">
        <v>1112.3470522803116</v>
      </c>
      <c r="CE11">
        <v>831.71610756861662</v>
      </c>
      <c r="CF11">
        <v>1167.7695601401324</v>
      </c>
      <c r="CG11">
        <v>731.70731707317077</v>
      </c>
      <c r="CH11">
        <v>717.27435744172146</v>
      </c>
      <c r="CI11">
        <v>2105.2631578947367</v>
      </c>
      <c r="CJ11">
        <v>2125.3985122210415</v>
      </c>
      <c r="CK11">
        <v>2148.2277121374864</v>
      </c>
      <c r="CM11">
        <v>331.71163202122955</v>
      </c>
      <c r="CN11">
        <v>334.56005352960858</v>
      </c>
      <c r="CQ11">
        <v>1897.5332068311197</v>
      </c>
      <c r="CR11">
        <v>1567.398119122257</v>
      </c>
      <c r="CS11">
        <v>1926.1637239165329</v>
      </c>
      <c r="CU11">
        <v>1671.3091922005572</v>
      </c>
      <c r="CX11">
        <v>1364.566750056857</v>
      </c>
      <c r="CY11">
        <v>1646.9942355201756</v>
      </c>
      <c r="CZ11">
        <v>1492.1661278288982</v>
      </c>
      <c r="DA11">
        <v>1488.4644008930786</v>
      </c>
      <c r="DB11">
        <v>1340.1831583649766</v>
      </c>
      <c r="DC11">
        <v>1534.5268542199487</v>
      </c>
      <c r="DD11">
        <v>1946.7878001297859</v>
      </c>
      <c r="DG11">
        <v>2350.1762632197415</v>
      </c>
      <c r="DH11">
        <v>199.22964540000001</v>
      </c>
      <c r="DJ11">
        <v>1313.1980000000001</v>
      </c>
      <c r="DK11">
        <v>1032.8800000000001</v>
      </c>
      <c r="DL11">
        <v>1298.1389999999999</v>
      </c>
      <c r="DM11">
        <v>1293.1030000000001</v>
      </c>
      <c r="DN11">
        <v>1084.2070000000001</v>
      </c>
      <c r="DO11">
        <v>633.84749999999997</v>
      </c>
      <c r="DP11">
        <v>1510.194</v>
      </c>
      <c r="DQ11">
        <v>1700.6803</v>
      </c>
      <c r="DX11">
        <v>1146.788990825688</v>
      </c>
      <c r="ED11" s="42">
        <v>213.65999572680008</v>
      </c>
    </row>
    <row r="12" spans="1:136" x14ac:dyDescent="0.35">
      <c r="A12">
        <f>(250/14.37)*60</f>
        <v>1043.8413361169103</v>
      </c>
      <c r="B12">
        <f>(250/10.53)*60</f>
        <v>1424.5014245014245</v>
      </c>
      <c r="C12">
        <f>(250/10.22)*60</f>
        <v>1467.7103718199608</v>
      </c>
      <c r="D12" s="14">
        <f>(250/14.97)*60</f>
        <v>1002.0040080160321</v>
      </c>
      <c r="E12" s="14">
        <f>(250/15.15)*60</f>
        <v>990.09900990099004</v>
      </c>
      <c r="F12" s="14">
        <f>(250/15.04)*60</f>
        <v>997.340425531915</v>
      </c>
      <c r="G12" s="16">
        <v>1029.51</v>
      </c>
      <c r="J12" s="16">
        <f>(250/29.31)*60</f>
        <v>511.77072671443193</v>
      </c>
      <c r="L12" s="20">
        <f>(250/60)*60</f>
        <v>250.00000000000003</v>
      </c>
      <c r="M12">
        <v>1981.5059445178335</v>
      </c>
      <c r="N12">
        <v>1190.2400317397341</v>
      </c>
      <c r="P12">
        <v>1508.6748805632387</v>
      </c>
      <c r="U12">
        <v>1958.2245430809398</v>
      </c>
      <c r="W12">
        <v>991.24401123409882</v>
      </c>
      <c r="Y12">
        <v>1921.8449711723256</v>
      </c>
      <c r="Z12">
        <v>1967.8583142013777</v>
      </c>
      <c r="AD12">
        <v>1032.8800137717335</v>
      </c>
      <c r="BF12">
        <v>2060.4395604395604</v>
      </c>
      <c r="BM12">
        <v>1459.4989053758211</v>
      </c>
      <c r="BO12">
        <v>1091.5044569765328</v>
      </c>
      <c r="BP12">
        <v>1063.264221158958</v>
      </c>
      <c r="BQ12">
        <v>1863.9328984156571</v>
      </c>
      <c r="BR12">
        <v>1082.8370330265295</v>
      </c>
      <c r="BS12">
        <v>1387.9250520471894</v>
      </c>
      <c r="BT12">
        <v>1904.7619047619048</v>
      </c>
      <c r="BU12">
        <v>1474.2014742014742</v>
      </c>
      <c r="BV12">
        <v>1455.6040756914119</v>
      </c>
      <c r="BW12">
        <v>157.37704918032787</v>
      </c>
      <c r="BZ12">
        <v>2057.6131687242796</v>
      </c>
      <c r="CB12">
        <v>1377.4104683195592</v>
      </c>
      <c r="CE12">
        <v>1117.7347242921014</v>
      </c>
      <c r="CF12">
        <v>1516.3002274450341</v>
      </c>
      <c r="CG12">
        <v>1032.8800137717335</v>
      </c>
      <c r="CH12">
        <v>928.50510677808722</v>
      </c>
      <c r="CI12">
        <v>1663.8935108153078</v>
      </c>
      <c r="CJ12">
        <v>1390.8205841446454</v>
      </c>
      <c r="CM12">
        <v>1698.2734220209454</v>
      </c>
      <c r="CN12">
        <v>1774.0981667652277</v>
      </c>
      <c r="CR12">
        <v>1918.158567774936</v>
      </c>
      <c r="CU12">
        <v>2042.9009193054139</v>
      </c>
      <c r="CY12">
        <v>1981.5059445178335</v>
      </c>
      <c r="CZ12">
        <v>1955.0342130987294</v>
      </c>
      <c r="DA12">
        <v>1308.9005235602094</v>
      </c>
      <c r="DB12">
        <v>1551.1892450879006</v>
      </c>
      <c r="DC12">
        <v>2033.8983050847457</v>
      </c>
      <c r="DH12">
        <v>1827.040195</v>
      </c>
      <c r="DJ12">
        <v>1515.5340000000001</v>
      </c>
      <c r="DK12">
        <v>1290.3230000000001</v>
      </c>
      <c r="DL12">
        <v>1496.633</v>
      </c>
      <c r="DM12">
        <v>1570.27</v>
      </c>
      <c r="DN12">
        <v>1298.982</v>
      </c>
      <c r="DO12">
        <v>796.28399999999999</v>
      </c>
      <c r="DP12">
        <v>1949.318</v>
      </c>
      <c r="DX12">
        <v>1129.5180722891566</v>
      </c>
      <c r="ED12" s="42">
        <v>1751.3134851138354</v>
      </c>
    </row>
    <row r="13" spans="1:136" x14ac:dyDescent="0.35">
      <c r="A13">
        <f>(250/10.53)*60</f>
        <v>1424.5014245014245</v>
      </c>
      <c r="B13">
        <f>(250/9.75)*60</f>
        <v>1538.4615384615386</v>
      </c>
      <c r="C13">
        <f>(250/10.56)*60</f>
        <v>1420.4545454545453</v>
      </c>
      <c r="D13">
        <f>(250/9.84)*60</f>
        <v>1524.3902439024391</v>
      </c>
      <c r="E13">
        <f>(250/9.87)*60</f>
        <v>1519.7568389057753</v>
      </c>
      <c r="F13">
        <f>(250/10.06)*60</f>
        <v>1491.0536779324054</v>
      </c>
      <c r="G13" s="16">
        <v>1014.88</v>
      </c>
      <c r="J13" s="16">
        <f>(250/65.25)*60</f>
        <v>229.88505747126436</v>
      </c>
      <c r="L13" s="20">
        <f>(250/61.4)*60</f>
        <v>244.29967426710098</v>
      </c>
      <c r="N13">
        <v>1172.7912431587179</v>
      </c>
      <c r="U13">
        <v>3710.5751391465674</v>
      </c>
      <c r="W13">
        <v>974.02597402597405</v>
      </c>
      <c r="Y13">
        <v>1272.2646310432572</v>
      </c>
      <c r="AD13">
        <v>1290.8777969018931</v>
      </c>
      <c r="BM13">
        <v>1688.7137630171685</v>
      </c>
      <c r="BO13">
        <v>1067.4257249599716</v>
      </c>
      <c r="BP13">
        <v>1283.1479897348161</v>
      </c>
      <c r="BQ13">
        <v>1010.611419909045</v>
      </c>
      <c r="BR13">
        <v>1638.4489350081919</v>
      </c>
      <c r="BS13">
        <v>1553.1969971524722</v>
      </c>
      <c r="BT13">
        <v>1525.940996948118</v>
      </c>
      <c r="BU13">
        <v>1804.5112781954888</v>
      </c>
      <c r="BV13">
        <v>1733.1022530329287</v>
      </c>
      <c r="BW13">
        <v>70.221431580918491</v>
      </c>
      <c r="CB13">
        <v>1642.4856282507528</v>
      </c>
      <c r="CE13">
        <v>1419.1106906338694</v>
      </c>
      <c r="CF13">
        <v>1705.5144968732234</v>
      </c>
      <c r="CG13">
        <v>1290.8777969018931</v>
      </c>
      <c r="CH13">
        <v>1275.7814161173719</v>
      </c>
      <c r="CI13">
        <v>1463.4146341463415</v>
      </c>
      <c r="CJ13">
        <v>1355.9322033898304</v>
      </c>
      <c r="CM13">
        <v>2103.0494216614088</v>
      </c>
      <c r="CN13">
        <v>2123.8938053097345</v>
      </c>
      <c r="CU13">
        <v>1411.7647058823529</v>
      </c>
      <c r="CZ13">
        <v>749.43792155883091</v>
      </c>
      <c r="DB13">
        <v>1924.3104554201411</v>
      </c>
      <c r="DH13">
        <v>2184.2009459999999</v>
      </c>
      <c r="DJ13">
        <v>1802.885</v>
      </c>
      <c r="DK13">
        <v>1939.2370000000001</v>
      </c>
      <c r="DL13">
        <v>1934.2360000000001</v>
      </c>
      <c r="DM13">
        <v>2044.99</v>
      </c>
      <c r="DN13">
        <v>1581.8610000000001</v>
      </c>
      <c r="DO13">
        <v>1013</v>
      </c>
      <c r="DP13">
        <v>442.38</v>
      </c>
    </row>
    <row r="14" spans="1:136" x14ac:dyDescent="0.35">
      <c r="A14">
        <f>(250/10.91)*60</f>
        <v>1374.8854262144821</v>
      </c>
      <c r="B14">
        <f>(250/10.69)*60</f>
        <v>1403.1805425631433</v>
      </c>
      <c r="C14">
        <f>(250/10.69)*60</f>
        <v>1403.1805425631433</v>
      </c>
      <c r="D14">
        <f>(250/10.31)*60</f>
        <v>1454.8981571290008</v>
      </c>
      <c r="E14">
        <f>(250/10.18)*60</f>
        <v>1473.4774066797643</v>
      </c>
      <c r="F14">
        <f>(250/9.88)*60</f>
        <v>1518.2186234817812</v>
      </c>
      <c r="G14" s="16">
        <v>1485.15</v>
      </c>
      <c r="J14" s="16">
        <f>(250/59.81)*60</f>
        <v>250.79418157498748</v>
      </c>
      <c r="L14" s="20">
        <f>(250/68.72)*60</f>
        <v>218.27706635622818</v>
      </c>
      <c r="N14">
        <v>1828.7107589149648</v>
      </c>
      <c r="W14">
        <v>1292.8248222365871</v>
      </c>
      <c r="Y14">
        <v>1273.3446519524616</v>
      </c>
      <c r="AD14">
        <v>1524.7776365946631</v>
      </c>
      <c r="BM14">
        <v>1948.6846378694381</v>
      </c>
      <c r="BO14">
        <v>1299.26375054136</v>
      </c>
      <c r="BP14">
        <v>1282.5994014536127</v>
      </c>
      <c r="BQ14">
        <v>1495.5134596211365</v>
      </c>
      <c r="BR14">
        <v>2064.6937370956639</v>
      </c>
      <c r="BS14">
        <v>1973.0351857941466</v>
      </c>
      <c r="BU14">
        <v>2140.5636817695326</v>
      </c>
      <c r="BV14">
        <v>2265.8610271903326</v>
      </c>
      <c r="BW14">
        <v>1837.1096142069812</v>
      </c>
      <c r="CE14">
        <v>1666.6666666666667</v>
      </c>
      <c r="CF14">
        <v>2055.4984583761566</v>
      </c>
      <c r="CG14">
        <v>1524.7776365946631</v>
      </c>
      <c r="CH14">
        <v>1425.1781472684086</v>
      </c>
      <c r="DB14">
        <v>1022.4948875255624</v>
      </c>
      <c r="DJ14">
        <v>510.76870000000002</v>
      </c>
      <c r="DL14">
        <v>631.57889999999998</v>
      </c>
      <c r="DM14">
        <v>617.72879999999998</v>
      </c>
      <c r="DN14">
        <v>2089.136</v>
      </c>
      <c r="DO14">
        <v>1287.001</v>
      </c>
      <c r="DP14">
        <v>378.97930000000002</v>
      </c>
    </row>
    <row r="15" spans="1:136" x14ac:dyDescent="0.35">
      <c r="A15" s="14">
        <f>(250/10.72)*60</f>
        <v>1399.2537313432836</v>
      </c>
      <c r="D15">
        <f>(250/10.66)*60</f>
        <v>1407.1294559099438</v>
      </c>
      <c r="E15">
        <f>(250/9.97)*60</f>
        <v>1504.5135406218656</v>
      </c>
      <c r="F15">
        <f>(250/10.03)*60</f>
        <v>1495.5134596211367</v>
      </c>
      <c r="G15" s="16">
        <v>1543.21</v>
      </c>
      <c r="J15" s="16">
        <f>(250/65.4)*60</f>
        <v>229.35779816513758</v>
      </c>
      <c r="L15" s="16">
        <f>(100/62.18)*60</f>
        <v>96.494049533612099</v>
      </c>
      <c r="N15">
        <v>1816.5304268846503</v>
      </c>
      <c r="W15">
        <v>1276.3241863433311</v>
      </c>
      <c r="Y15">
        <v>1486.9888475836433</v>
      </c>
      <c r="AD15">
        <v>1960.7843137254902</v>
      </c>
      <c r="BO15">
        <v>1612.9032258064515</v>
      </c>
      <c r="BP15">
        <v>1522.8426395939086</v>
      </c>
      <c r="BQ15">
        <v>761.8080243778569</v>
      </c>
      <c r="BW15">
        <v>2296.211251435132</v>
      </c>
      <c r="CE15">
        <v>2049.1803278688526</v>
      </c>
      <c r="CG15">
        <v>1960.7843137254902</v>
      </c>
      <c r="CH15">
        <v>1842.7518427518426</v>
      </c>
      <c r="DB15">
        <v>781.75895765472308</v>
      </c>
      <c r="DO15">
        <v>1591.09</v>
      </c>
    </row>
    <row r="16" spans="1:136" x14ac:dyDescent="0.35">
      <c r="G16" s="16">
        <v>1428.57</v>
      </c>
      <c r="J16" s="16">
        <f>(100/59.71)*60</f>
        <v>100.48568079048735</v>
      </c>
      <c r="L16" s="16">
        <f>(100/58.15)*60</f>
        <v>103.18142734307825</v>
      </c>
      <c r="N16">
        <v>1846.1538461538462</v>
      </c>
      <c r="W16">
        <v>1473.4774066797643</v>
      </c>
      <c r="BO16">
        <v>1950.585175552666</v>
      </c>
      <c r="BP16">
        <v>1851.2804689910524</v>
      </c>
      <c r="BQ16">
        <v>637.28093467870417</v>
      </c>
      <c r="DB16">
        <v>793.96585946804294</v>
      </c>
      <c r="DO16">
        <v>1937.3589999999999</v>
      </c>
    </row>
    <row r="17" spans="10:69" x14ac:dyDescent="0.35">
      <c r="J17">
        <f>(100/59.84)*60</f>
        <v>100.26737967914437</v>
      </c>
      <c r="L17" s="16">
        <f>(100/60.22)*60</f>
        <v>99.634672866157416</v>
      </c>
      <c r="N17">
        <v>1396.3230160577148</v>
      </c>
      <c r="W17">
        <v>1469.8677119059284</v>
      </c>
      <c r="BQ17">
        <v>354.77767265846734</v>
      </c>
    </row>
    <row r="18" spans="10:69" x14ac:dyDescent="0.35">
      <c r="J18">
        <f>(100/51.89)*60</f>
        <v>115.62921564848719</v>
      </c>
      <c r="N18">
        <v>1408.781404085466</v>
      </c>
      <c r="W18">
        <v>1884.4221105527638</v>
      </c>
      <c r="BQ18">
        <v>249.83344437041973</v>
      </c>
    </row>
    <row r="19" spans="10:69" x14ac:dyDescent="0.35">
      <c r="W19">
        <v>1884.4221105527638</v>
      </c>
      <c r="BQ19">
        <v>189.19685933213509</v>
      </c>
    </row>
    <row r="20" spans="10:69" x14ac:dyDescent="0.35">
      <c r="W20">
        <v>3126.6284523189161</v>
      </c>
    </row>
    <row r="21" spans="10:69" x14ac:dyDescent="0.35">
      <c r="W21">
        <v>3586.3717872086081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F26"/>
  <sheetViews>
    <sheetView zoomScaleNormal="100" workbookViewId="0">
      <selection activeCell="CL6" sqref="CL6"/>
    </sheetView>
  </sheetViews>
  <sheetFormatPr defaultRowHeight="14.5" x14ac:dyDescent="0.35"/>
  <cols>
    <col min="1" max="1" width="17.36328125" customWidth="1"/>
    <col min="7" max="7" width="20.36328125" customWidth="1"/>
    <col min="10" max="10" width="28" customWidth="1"/>
    <col min="12" max="12" width="19.6328125" customWidth="1"/>
    <col min="13" max="13" width="8.6328125" style="11"/>
    <col min="14" max="14" width="38.90625" style="11" customWidth="1"/>
    <col min="15" max="16" width="8.6328125" style="11"/>
    <col min="17" max="17" width="15" style="11" customWidth="1"/>
    <col min="18" max="18" width="8.6328125" style="11"/>
    <col min="19" max="19" width="9.6328125" style="11" customWidth="1"/>
    <col min="20" max="20" width="8.6328125" style="11"/>
    <col min="21" max="21" width="15.6328125" style="11" customWidth="1"/>
    <col min="22" max="22" width="8.6328125" style="11"/>
    <col min="23" max="23" width="15.36328125" style="11" customWidth="1"/>
    <col min="24" max="24" width="8.6328125" style="11"/>
    <col min="25" max="25" width="33.36328125" style="11" customWidth="1"/>
    <col min="26" max="26" width="34.90625" style="11" customWidth="1"/>
    <col min="27" max="27" width="27.6328125" style="11" customWidth="1"/>
    <col min="28" max="28" width="8.6328125" style="11"/>
    <col min="29" max="29" width="11.36328125" style="11" customWidth="1"/>
    <col min="30" max="30" width="29.36328125" style="11" customWidth="1"/>
    <col min="60" max="60" width="11.6328125" customWidth="1"/>
    <col min="61" max="61" width="11.54296875" customWidth="1"/>
    <col min="62" max="62" width="10.08984375" customWidth="1"/>
    <col min="63" max="63" width="10.453125" customWidth="1"/>
    <col min="64" max="64" width="13.6328125" customWidth="1"/>
    <col min="65" max="65" width="26.36328125" customWidth="1"/>
    <col min="69" max="69" width="30.36328125" customWidth="1"/>
    <col min="70" max="70" width="31.453125" customWidth="1"/>
    <col min="71" max="71" width="41.36328125" customWidth="1"/>
    <col min="73" max="73" width="31.6328125" customWidth="1"/>
    <col min="74" max="74" width="33.36328125" customWidth="1"/>
    <col min="88" max="88" width="35.54296875" customWidth="1"/>
    <col min="89" max="89" width="33.90625" customWidth="1"/>
    <col min="90" max="90" width="37.6328125" customWidth="1"/>
    <col min="91" max="91" width="20.08984375" customWidth="1"/>
    <col min="96" max="96" width="10.90625" customWidth="1"/>
    <col min="99" max="99" width="33.36328125" customWidth="1"/>
    <col min="104" max="104" width="32.6328125" customWidth="1"/>
    <col min="105" max="105" width="12.08984375" customWidth="1"/>
    <col min="106" max="108" width="11.6328125" customWidth="1"/>
  </cols>
  <sheetData>
    <row r="1" spans="1:136" x14ac:dyDescent="0.35">
      <c r="A1" t="s">
        <v>519</v>
      </c>
    </row>
    <row r="3" spans="1:136" s="1" customFormat="1" ht="87" x14ac:dyDescent="0.35">
      <c r="A3" s="1" t="str">
        <f>'Formulation Name Data'!A10&amp;"_T1"</f>
        <v>Buckeye 3%_3_T1</v>
      </c>
      <c r="B3" s="1" t="str">
        <f>'Formulation Name Data'!A4&amp;"_T1"</f>
        <v>Cap_TrX100_DGBE_0.3_0.2_0.5_T1</v>
      </c>
      <c r="C3" s="1" t="str">
        <f>'Formulation Name Data'!A13&amp;"_T1"</f>
        <v>Cap_TrX100_DGBE_0.6_0.2_0.5_T1</v>
      </c>
      <c r="D3" s="1" t="str">
        <f>'Formulation Name Data'!A14&amp;"_T1"</f>
        <v>Cap_TrX100_DGBE_0.6_0.4_0.5_T1</v>
      </c>
      <c r="E3" s="1" t="str">
        <f>'Formulation Name Data'!A15&amp;"_T1"</f>
        <v>Cap_TrX100_DGBE_1.2_0.8_0.5_T1</v>
      </c>
      <c r="F3" s="1" t="str">
        <f>'Formulation Name Data'!A16&amp;"_T1"</f>
        <v>Cap_TrX100_DGBE_0.3_0.2_1_T1</v>
      </c>
      <c r="G3" s="1" t="str">
        <f>'Formulation Name Data'!A8&amp;"_T1"</f>
        <v>Cap_G215_DGBE_0.3_0.2_0.5_T1</v>
      </c>
      <c r="H3" s="1" t="str">
        <f>'Formulation Name Data'!A119&amp;"_T1"</f>
        <v>Cap_TrGR-5M_DGBE_0.3_0.2_0.5_T1</v>
      </c>
      <c r="I3" s="1" t="str">
        <f>'Formulation Name Data'!A7&amp;"_T1"</f>
        <v>G215_DGBE_0.5_0.5_T1</v>
      </c>
      <c r="J3" s="1" t="str">
        <f>'Formulation Name Data'!A6&amp;"_T1"</f>
        <v>Cap_DGBE_0.5_0.5_T1</v>
      </c>
      <c r="K3" s="1" t="str">
        <f>'Formulation Name Data'!A5&amp;"_T1"</f>
        <v>TrX100_DGBE_0.5_0.5_T1</v>
      </c>
      <c r="L3" s="1" t="str">
        <f>'Formulation Name Data'!A74&amp;"_T1"</f>
        <v>Cap_DGBE_0.225_0.5_T1</v>
      </c>
      <c r="M3" s="12" t="str">
        <f>'Formulation Name Data'!A11&amp;"_T1"</f>
        <v>RF6_6_T1</v>
      </c>
      <c r="N3" s="12" t="str">
        <f>'Formulation Name Data'!A33&amp;"_T1"</f>
        <v>D502W_G215_DGBE_0.075_0.05_0.5_T1</v>
      </c>
      <c r="O3" s="12" t="str">
        <f>'Formulation Name Data'!A7&amp;"_T2"</f>
        <v>G215_DGBE_0.5_0.5_T2</v>
      </c>
      <c r="P3" s="12" t="str">
        <f>'Formulation Name Data'!A5&amp;"_T2"</f>
        <v>TrX100_DGBE_0.5_0.5_T2</v>
      </c>
      <c r="Q3" s="12" t="str">
        <f>'Formulation Name Data'!A72&amp;"_T1"</f>
        <v>D502W_DGBE_0.1_0.5_T1</v>
      </c>
      <c r="R3" s="12" t="str">
        <f>'Formulation Name Data'!A35&amp;"_T1"</f>
        <v>L77_G215_DGBE_0.11_0.08_0.5_T1</v>
      </c>
      <c r="S3" s="12" t="str">
        <f>'Formulation Name Data'!A83&amp;"_T1"</f>
        <v>D502W_TrX100_DGBE_0.1_0.08_0.5_T1</v>
      </c>
      <c r="T3" s="12" t="str">
        <f>'Formulation Name Data'!A36&amp;"_T1"</f>
        <v>D67_G215_DGBE_0.06_0.04_0.5_T1</v>
      </c>
      <c r="U3" s="12" t="str">
        <f>'Formulation Name Data'!A122&amp;"_T1"</f>
        <v>D502W_G215_DGBE_0.3_0.2_0.5_T1</v>
      </c>
      <c r="V3" s="12" t="str">
        <f>'Formulation Name Data'!A75&amp;"_T1"</f>
        <v>D193_G215_DGBE_0.3_0.2_0.5_T1</v>
      </c>
      <c r="W3" s="12" t="str">
        <f>'Formulation Name Data'!A84&amp;"_T1"</f>
        <v>D502W_G215_DGBE_0.05_0.075_0.5_T1</v>
      </c>
      <c r="X3" s="12" t="str">
        <f>'Formulation Name Data'!A45&amp;"_T1"</f>
        <v>Gel6185_G215_DGBE_0.06_0.04_0.5_T1</v>
      </c>
      <c r="Y3" s="12" t="str">
        <f>'Formulation Name Data'!A123&amp;"_T1"</f>
        <v>D502W_G225_DGBE_0.17_0.33_0.5_T1</v>
      </c>
      <c r="Z3" s="12" t="str">
        <f>'Formulation Name Data'!A124&amp;"_T1"</f>
        <v>D502W_G225_DGBE_0.12_0.38_0.5_T1</v>
      </c>
      <c r="AA3" s="12" t="str">
        <f>'Formulation Name Data'!A125&amp;"_T1"</f>
        <v>G225_DGBE_0.25_0.25_T1</v>
      </c>
      <c r="AB3" s="12" t="str">
        <f>'Formulation Name Data'!A112&amp;"_T1"</f>
        <v>G600_DGBE_0.5_0.5_T1</v>
      </c>
      <c r="AC3" s="12" t="str">
        <f>'Formulation Name Data'!A113&amp;"_T1"</f>
        <v>D502W_DGBE_0.5_0.5_T1</v>
      </c>
      <c r="AD3" s="12" t="str">
        <f>'Formulation Name Data'!A8&amp;"_T2"</f>
        <v>Cap_G215_DGBE_0.3_0.2_0.5_T2</v>
      </c>
      <c r="AE3" s="1" t="str">
        <f>'Formulation Name Data'!A126&amp;"_T1"</f>
        <v>D5575_0.225_T1</v>
      </c>
      <c r="AF3" s="1" t="str">
        <f>'Formulation Name Data'!A29&amp;"_T1"</f>
        <v>D5575_G215_DGBE_0.3_0.2_0.5_T1</v>
      </c>
      <c r="AG3" s="1" t="str">
        <f>'Formulation Name Data'!A127&amp;"_T1"</f>
        <v>D5244_0.225_T1</v>
      </c>
      <c r="AH3" s="1" t="str">
        <f>'Formulation Name Data'!A30&amp;"_T1"</f>
        <v>D5244_G215_DGBE_0.3_0.2_0.5_T1</v>
      </c>
      <c r="AI3" s="1" t="str">
        <f>'Formulation Name Data'!A128&amp;"_T1"</f>
        <v>D193_0.225_T1</v>
      </c>
      <c r="AJ3" s="1" t="str">
        <f>'Formulation Name Data'!A75&amp;"_T1"</f>
        <v>D193_G215_DGBE_0.3_0.2_0.5_T1</v>
      </c>
      <c r="AK3" s="1" t="str">
        <f>'Formulation Name Data'!A129&amp;"_T1"</f>
        <v>D501W_0.05_T1</v>
      </c>
      <c r="AL3" s="1" t="str">
        <f>'Formulation Name Data'!A32&amp;"_T1"</f>
        <v>D501W_G215_DGBE_0.04_0.027_0.5_T1</v>
      </c>
      <c r="AM3" s="1" t="str">
        <f>'Formulation Name Data'!A130&amp;"_T1"</f>
        <v>D198_0.5_T1</v>
      </c>
      <c r="AN3" s="1" t="str">
        <f>'Formulation Name Data'!A131&amp;"_T1"</f>
        <v>D198_G215_DGBE_0.3_0.2_0.5_T1</v>
      </c>
      <c r="AO3" s="1" t="str">
        <f>'Formulation Name Data'!A132&amp;"_T1"</f>
        <v>D5604_0.24_T1</v>
      </c>
      <c r="AP3" s="1" t="str">
        <f>'Formulation Name Data'!A133&amp;"_T1"</f>
        <v>D5604_G215_DGBE_0.3_0.2_0.5_T1</v>
      </c>
      <c r="AQ3" s="1" t="str">
        <f>'Formulation Name Data'!A77&amp;"_T1"</f>
        <v>D502W_0.1_T1</v>
      </c>
      <c r="AR3" s="1" t="str">
        <f>'Formulation Name Data'!A134&amp;"_T1"</f>
        <v>D5098_0.1_T1</v>
      </c>
      <c r="AS3" s="1" t="str">
        <f>'Formulation Name Data'!A34&amp;"_T1"</f>
        <v>D5098_G215_DGBE_0.14_0.09_0.5_T1</v>
      </c>
      <c r="AT3" s="1" t="str">
        <f>'Formulation Name Data'!A80&amp;"_T1"</f>
        <v>AlphaFoam_1.3_T1</v>
      </c>
      <c r="AU3" s="1" t="str">
        <f>'Formulation Name Data'!A135&amp;"_T1"</f>
        <v>AlphaFoam_G215_DGBE_1.3_0.2_0.5_T1</v>
      </c>
      <c r="AV3" s="1" t="str">
        <f>'Formulation Name Data'!A79&amp;"_T1"</f>
        <v>TMN6_0.4_T1</v>
      </c>
      <c r="AW3" s="1" t="str">
        <f>'Formulation Name Data'!A19&amp;"_T1"</f>
        <v>TMN6_G215_DGBE_0.3_0.2_0.5_T1</v>
      </c>
      <c r="AX3" s="1" t="str">
        <f>'Formulation Name Data'!A78&amp;"_T1"</f>
        <v>T15-S-7_0.05_T1</v>
      </c>
      <c r="AY3" s="1" t="str">
        <f>'Formulation Name Data'!A20&amp;"_T1"</f>
        <v>T15-S-7_G215_DGBE_0.03_0.02_0.5_T1</v>
      </c>
      <c r="AZ3" s="1" t="str">
        <f>'Formulation Name Data'!A82&amp;"_T1"</f>
        <v>Silsurf_0.014_T1</v>
      </c>
      <c r="BA3" s="1" t="str">
        <f>'Formulation Name Data'!A136&amp;"_T1"</f>
        <v>Silsurf_0.14_T1</v>
      </c>
      <c r="BB3" s="1" t="str">
        <f>'Formulation Name Data'!A17&amp;"_T1"</f>
        <v>Silsurf_G215_DGBE_0.14_0.09_0.5_T1</v>
      </c>
      <c r="BC3" s="1" t="str">
        <f>'Formulation Name Data'!A81&amp;"_T1"</f>
        <v>Silphos_0.3_T1</v>
      </c>
      <c r="BD3" s="1" t="str">
        <f>'Formulation Name Data'!A18&amp;"_T1"</f>
        <v>Silphos_G215_DGBE_0.3_0.2_0.5_T1</v>
      </c>
      <c r="BE3" s="1" t="str">
        <f>'Formulation Name Data'!A156&amp;"_T1"</f>
        <v>NRL_N10477-189_G225_DGBE_0.05_0.3_0.5_T1</v>
      </c>
      <c r="BF3" s="1" t="str">
        <f>'Formulation Name Data'!A155&amp;"_T1"</f>
        <v>NRL_N10478-198_G225_DGBE_0.065_0.3_0.5_T1</v>
      </c>
      <c r="BG3" s="1" t="str">
        <f>'Formulation Name Data'!A157&amp;"_T1"</f>
        <v>NRL_N10478-81_G225_DGBE_0.116_0.3_0.5_T1</v>
      </c>
      <c r="BH3" s="1" t="str">
        <f>'Formulation Name Data'!A138&amp;"_T1"</f>
        <v>CL_MD2086-97_G225_DGBE_0.34_0.56_0.5_T1</v>
      </c>
      <c r="BI3" s="1" t="str">
        <f>'Formulation Name Data'!A158&amp;"_T1"</f>
        <v>CL_MD2102-54_G225_DGBE_0.2_0.3_0.5_T1</v>
      </c>
      <c r="BJ3" s="1" t="str">
        <f>'Formulation Name Data'!A160&amp;"_T1"</f>
        <v>D502W_CL_C8G3_DGBE_0.2_0.19_0.5_T1</v>
      </c>
      <c r="BK3" s="1" t="str">
        <f>'Formulation Name Data'!A161&amp;"_T1"</f>
        <v>D502W_C10G3_DGBE_0.2_0.21_0.5_T1</v>
      </c>
      <c r="BL3" s="1" t="str">
        <f>'Formulation Name Data'!A162&amp;"_T1"</f>
        <v>D502W_C12G3_DGBE_0.2_0.21_0.5_T1</v>
      </c>
      <c r="BM3" s="1" t="str">
        <f>'Formulation Name Data'!A38&amp;"_T1"</f>
        <v>D502W_G225_0.2_0.3_T1</v>
      </c>
      <c r="BN3" s="1" t="str">
        <f>'Formulation Name Data'!A165&amp;"_T1"</f>
        <v>NRL_N10478-40_G225_DGBE_0.2_0.3_0.5_T1</v>
      </c>
      <c r="BO3" s="1" t="str">
        <f>'Formulation Name Data'!A167&amp;"_T1"</f>
        <v>Ecoguard CF3F_T1</v>
      </c>
      <c r="BP3" s="1" t="str">
        <f>'Formulation Name Data'!A67&amp;"_T1"</f>
        <v>FomtecEnviroUSP 3%_T1</v>
      </c>
      <c r="BQ3" s="1" t="str">
        <f>'Formulation Name Data'!A8&amp;"_T3"</f>
        <v>Cap_G215_DGBE_0.3_0.2_0.5_T3</v>
      </c>
      <c r="BR3" s="1" t="str">
        <f>'Formulation Name Data'!A8&amp;"_T4"</f>
        <v>Cap_G215_DGBE_0.3_0.2_0.5_T4</v>
      </c>
      <c r="BS3" s="1" t="str">
        <f>'Formulation Name Data'!A37&amp;"_T1"</f>
        <v>D502W_G225_DGBE_0.2_0.3_0.5_T1</v>
      </c>
      <c r="BT3" s="1" t="str">
        <f>'Formulation Name Data'!A6&amp;"_T2"</f>
        <v>Cap_DGBE_0.5_0.5_T2</v>
      </c>
      <c r="BU3" s="1" t="str">
        <f>'Formulation Name Data'!A37&amp;"_T2"</f>
        <v>D502W_G225_DGBE_0.2_0.3_0.5_T2</v>
      </c>
      <c r="BV3" s="1" t="str">
        <f>'Formulation Name Data'!A168&amp;"_T1"</f>
        <v>D502W_G225_DGBE_0.4_0.6_1_T1</v>
      </c>
      <c r="BW3" s="1" t="str">
        <f>'Formulation Name Data'!A149&amp;"_T1"</f>
        <v>ComSor_EXP-21-CM7837-4_T1</v>
      </c>
      <c r="BX3" s="1" t="str">
        <f>'Formulation Name Data'!A148&amp;"_T1"</f>
        <v>ComSor_EXP-21-CM7837-5_T1</v>
      </c>
      <c r="BY3" s="1" t="str">
        <f>'Formulation Name Data'!A61&amp;"_T1"</f>
        <v>ComSor_EXP-20-C10628-E_T1</v>
      </c>
      <c r="BZ3" s="1" t="str">
        <f>'Formulation Name Data'!A60&amp;"_T1"</f>
        <v>ComSor_EXP-20-C10628-D_T1</v>
      </c>
      <c r="CA3" s="1" t="str">
        <f>'Formulation Name Data'!A101&amp;"_T1"</f>
        <v>ComSor_26990-95D_T1</v>
      </c>
      <c r="CB3" s="1" t="str">
        <f>'Formulation Name Data'!A100&amp;"_T1"</f>
        <v>ComSor_26990-95C_T1</v>
      </c>
      <c r="CC3" s="1" t="str">
        <f>'Formulation Name Data'!A99&amp;"_T1"</f>
        <v>ComSor_26990-95B_T1</v>
      </c>
      <c r="CD3" s="1" t="str">
        <f>'Formulation Name Data'!A98&amp;"_T1"</f>
        <v>ComSor1830503_T1</v>
      </c>
      <c r="CE3" s="1" t="str">
        <f>'Formulation Name Data'!A10&amp;"_T2"</f>
        <v>Buckeye 3%_3_T2</v>
      </c>
      <c r="CF3" s="1" t="str">
        <f>'Formulation Name Data'!A169&amp;"_T1"</f>
        <v>Universal®F3 Green_3_T1</v>
      </c>
      <c r="CG3" s="1" t="str">
        <f>'Formulation Name Data'!A8&amp;"_T5"</f>
        <v>Cap_G215_DGBE_0.3_0.2_0.5_T5</v>
      </c>
      <c r="CH3" s="1" t="str">
        <f>'Formulation Name Data'!A170&amp;"_T1"</f>
        <v>Cap_G225_DGBE_0.3_0.2_0.5_T1</v>
      </c>
      <c r="CI3" s="1" t="str">
        <f>'Formulation Name Data'!A50&amp;"_T1"</f>
        <v>D502W_C12G2_DGBE_0.2_0.19_0.5_T1</v>
      </c>
      <c r="CJ3" s="1" t="str">
        <f>'Formulation Name Data'!A49&amp;"_T1"</f>
        <v>D502W_C10G2_DGBE_0.2_0.19_0.5_T1</v>
      </c>
      <c r="CK3" s="1" t="str">
        <f>'Formulation Name Data'!A51&amp;"_T1"</f>
        <v>D502W_C8G1_DGBE_0.2_0.19_0.5_T1</v>
      </c>
      <c r="CL3" s="1" t="str">
        <f>'Formulation Name Data'!A51&amp;"_T2"</f>
        <v>D502W_C8G1_DGBE_0.2_0.19_0.5_T2</v>
      </c>
      <c r="CM3" s="1" t="str">
        <f>'Formulation Name Data'!A48&amp;"_T1"</f>
        <v>D502W_C8G2_DGBE_0.2_0.19_0.5_T1</v>
      </c>
      <c r="CN3" s="1" t="str">
        <f>'Formulation Name Data'!A106&amp;"_T1"</f>
        <v>D502W_C9G2_DGBE_0.2_0.19_0.5_T1</v>
      </c>
      <c r="CO3" s="1" t="str">
        <f>'Formulation Name Data'!A108&amp;"_T1"</f>
        <v>D502W_C7G1_DGBE_0.2_0.19_0.5_T1</v>
      </c>
      <c r="CP3" s="1" t="str">
        <f>'Formulation Name Data'!A107&amp;"_T1"</f>
        <v>D502W_C6G1_DGBE_0.2_0.19_0.5_T1</v>
      </c>
      <c r="CQ3" s="1" t="str">
        <f>'Formulation Name Data'!A103&amp;"_T1"</f>
        <v>D502W_Cymal_DGBE_0.2_0.19_0.5_T1</v>
      </c>
      <c r="CR3" s="1" t="str">
        <f>'Formulation Name Data'!A102&amp;"_T1"</f>
        <v>D502W_C8SG2_DGBE_0.2_0.19_0.5_T1</v>
      </c>
      <c r="CS3" s="1" t="str">
        <f>'Formulation Name Data'!A104&amp;"_T1"</f>
        <v>D502W_iC8G2_DGBE_0.2_0.19_0.5_T1</v>
      </c>
      <c r="CT3" s="1" t="str">
        <f>'Formulation Name Data'!A105&amp;"_T1"</f>
        <v>D502W_C6G2_DGBE_0.2_0.19_0.5_T1</v>
      </c>
      <c r="CU3" s="1" t="str">
        <f>'Formulation Name Data'!A37&amp;"_T3"</f>
        <v>D502W_G225_DGBE_0.2_0.3_0.5_T3</v>
      </c>
      <c r="CV3" s="1" t="str">
        <f>'Formulation Name Data'!A50&amp;"_T2"</f>
        <v>D502W_C12G2_DGBE_0.2_0.19_0.5_T2</v>
      </c>
      <c r="CW3" s="1" t="str">
        <f>'Formulation Name Data'!A49&amp;"_T2"</f>
        <v>D502W_C10G2_DGBE_0.2_0.19_0.5_T2</v>
      </c>
      <c r="CX3" s="1" t="str">
        <f>'Formulation Name Data'!A51&amp;"_T3"</f>
        <v>D502W_C8G1_DGBE_0.2_0.19_0.5_T3</v>
      </c>
      <c r="CY3" s="1" t="str">
        <f>'Formulation Name Data'!A48&amp;"_T2"</f>
        <v>D502W_C8G2_DGBE_0.2_0.19_0.5_T2</v>
      </c>
      <c r="CZ3" s="1" t="str">
        <f>'Formulation Name Data'!A37&amp;"_T4"</f>
        <v>D502W_G225_DGBE_0.2_0.3_0.5_T4</v>
      </c>
      <c r="DA3" s="1" t="str">
        <f>'Formulation Name Data'!A89&amp;"_T1"</f>
        <v>D502W_G600_DGBE_0.2_0.3_0.5_T1</v>
      </c>
      <c r="DB3" s="1" t="str">
        <f>'Formulation Name Data'!A171&amp;"_T1"</f>
        <v>D502W_G225_DGBE_0.3_0.2_0.5_T1</v>
      </c>
      <c r="DC3" s="1" t="str">
        <f>'Formulation Name Data'!A172&amp;"_T1"</f>
        <v>D502W_G225_DGBE_0.13_0.38_0.5_T1</v>
      </c>
      <c r="DD3" s="1" t="str">
        <f>'Formulation Name Data'!A173&amp;"_T1"</f>
        <v>D502W_TrCG-425_DGBE_0.2_0.3_0.5_T1</v>
      </c>
      <c r="DE3" s="1" t="str">
        <f>'Formulation Name Data'!A46&amp;"_T1"</f>
        <v>ComSor181360_G225_DGBE_0.2_0.3_0.5_T1</v>
      </c>
      <c r="DF3" s="1" t="str">
        <f>'Formulation Name Data'!A177&amp;"_T1"</f>
        <v>CL_MD2062-57_G225_DGBE_0.2_0.3_0.5_T1</v>
      </c>
      <c r="DG3" s="1" t="str">
        <f>'Formulation Name Data'!A109&amp;"_T1"</f>
        <v>G225_DGBE_0.3_0.5_T1</v>
      </c>
      <c r="DH3" s="1" t="str">
        <f>'Formulation Name Data'!A178&amp;"_T1"</f>
        <v>CL_MD2062-121_G225_DGBE_0.1_0.3_0.5_T1</v>
      </c>
      <c r="DI3" s="1" t="str">
        <f>'Formulation Name Data'!A37&amp;"_T5"</f>
        <v>D502W_G225_DGBE_0.2_0.3_0.5_T5</v>
      </c>
      <c r="DJ3" s="1" t="str">
        <f>'Formulation Name Data'!A39&amp;"_T1"</f>
        <v>NRL_N10358-176_G225_DGBE_0.2_0.3_0.5_T1</v>
      </c>
      <c r="DK3" s="1" t="str">
        <f>'Formulation Name Data'!A40&amp;"_T1"</f>
        <v>NRL_N10358-174_G225_DGBE_0.2_0.3_0.5_T1</v>
      </c>
      <c r="DL3" s="1" t="str">
        <f>'Formulation Name Data'!A120&amp;"_T2"</f>
        <v>NRL_N10477-03_G225_DGBE_0.2_0.3_0.5_T2</v>
      </c>
      <c r="DM3" s="1" t="str">
        <f>'Formulation Name Data'!A121&amp;"_T2"</f>
        <v>NRL_N10477-01_G225_DGBE_0.2_0.3_0.5_T2</v>
      </c>
      <c r="DN3" s="1" t="str">
        <f>'Formulation Name Data'!A92&amp;"_T1"</f>
        <v>NRL_N10477-09_G225_DGBE_0.2_0.3_0.5_T1</v>
      </c>
      <c r="DO3" s="1" t="str">
        <f>'Formulation Name Data'!A116&amp;"_T1"</f>
        <v>NRL_N10477-05_G215_DGBE_0.2_0.3_0.5_T1</v>
      </c>
      <c r="DP3" s="1" t="str">
        <f>'Formulation Name Data'!A97&amp;"_T2"</f>
        <v>NRL_N10477-07_G225_DGBE_0.2_0.3_0.5_T2</v>
      </c>
      <c r="DQ3" s="1" t="str">
        <f>'Formulation Name Data'!A96&amp;"_T1"</f>
        <v>NRL_N10477-12_G225_DGBE_0.2_0.3_0.5_T1</v>
      </c>
      <c r="DR3" s="1" t="str">
        <f>'Formulation Name Data'!A37&amp;"_T6"</f>
        <v>D502W_G225_DGBE_0.2_0.3_0.5_T6</v>
      </c>
      <c r="DS3" s="1" t="str">
        <f>'Formulation Name Data'!A182&amp;"_T1"</f>
        <v>NRL_LBII43_G225_DGBE_0.2_0.3_0.5_T1</v>
      </c>
      <c r="DT3" s="1" t="str">
        <f>'Formulation Name Data'!A183&amp;"_T1"</f>
        <v>NRL_CB_DTBTS_SB_G225_DGBE_0.02_0.3_0.5_T1</v>
      </c>
      <c r="DU3" s="1" t="str">
        <f>'Formulation Name Data'!A184&amp;"_T1"</f>
        <v>NRL_CB-1-123_G225_DGBE_0.2_0.3_0.5_T1</v>
      </c>
      <c r="DV3" s="1" t="str">
        <f>'Formulation Name Data'!A185&amp;"_T1"</f>
        <v>NRL_N10478-227_G225_DGBE_0.063_0.3_0.5_T1</v>
      </c>
      <c r="DW3" s="1" t="str">
        <f>'Formulation Name Data'!A186&amp;"_T1"</f>
        <v>NRL_N10478-233_G225_DGBE_0.03_0.3_0.5_T1</v>
      </c>
      <c r="DX3" s="1" t="str">
        <f>'Formulation Name Data'!A187&amp;"_T1"</f>
        <v>NRL_N10478-240_G225_DGBE_#_0.3_0.5_T1</v>
      </c>
      <c r="DY3" s="1" t="str">
        <f>'Formulation Name Data'!A188&amp;"_T1"</f>
        <v>CL_MD2102-90_G225_DGBE_0.2_0.3_0.5_T1</v>
      </c>
      <c r="DZ3" s="1" t="str">
        <f>'Formulation Name Data'!A189&amp;"_T1"</f>
        <v>CL_MD2102-112_G225_DGBE_0.05_0.3_0.5_T1</v>
      </c>
      <c r="EA3" s="1" t="str">
        <f>'Formulation Name Data'!A191&amp;"_T1"</f>
        <v>ComSor_EXP-21-CH1070-1_3_T1</v>
      </c>
      <c r="EB3" s="1" t="str">
        <f>'Formulation Name Data'!A192&amp;"_T1"</f>
        <v>ComSor_EXP-21-CH1070-2_3_T1</v>
      </c>
      <c r="EC3" s="1" t="str">
        <f>'Formulation Name Data'!A193&amp;"_T1"</f>
        <v>ComSor_EXP-21-CH1070-4_1_T1</v>
      </c>
      <c r="ED3" s="1" t="str">
        <f>'Formulation Name Data'!A37&amp;"_T7"</f>
        <v>D502W_G225_DGBE_0.2_0.3_0.5_T7</v>
      </c>
      <c r="EE3" s="1" t="str">
        <f>'Formulation Name Data'!A190&amp;"_T1"</f>
        <v>CL_MD2102-118_G225_DGBE_0.2_0.3_0.5_T1</v>
      </c>
      <c r="EF3" s="1" t="str">
        <f>'Formulation Name Data'!A197&amp;"_T1"</f>
        <v>NRL_CB-1-192_G225_DGBE_0.14_0.21_0.5_T1</v>
      </c>
    </row>
    <row r="4" spans="1:136" s="15" customFormat="1" x14ac:dyDescent="0.35">
      <c r="A4" s="15">
        <f>(250/39.82)</f>
        <v>6.2782521346057258</v>
      </c>
      <c r="B4" s="15">
        <f>250/22.18</f>
        <v>11.27141568981064</v>
      </c>
      <c r="C4" s="15">
        <f>250/14.36</f>
        <v>17.409470752089138</v>
      </c>
      <c r="D4" s="15">
        <f>250/16.45</f>
        <v>15.197568389057752</v>
      </c>
      <c r="E4" s="15">
        <f>250/20.3</f>
        <v>12.315270935960591</v>
      </c>
      <c r="F4" s="15">
        <f>250/17.79</f>
        <v>14.05283867341203</v>
      </c>
      <c r="G4" s="64">
        <v>12.07</v>
      </c>
      <c r="H4" s="64">
        <f>250/32.28</f>
        <v>7.7447335811648079</v>
      </c>
      <c r="I4" s="64">
        <f>250/29.7</f>
        <v>8.4175084175084169</v>
      </c>
      <c r="J4" s="65">
        <f>250/32.39</f>
        <v>7.718431614695894</v>
      </c>
      <c r="K4" s="15" t="s">
        <v>76</v>
      </c>
      <c r="L4" s="65">
        <f>250/32.21</f>
        <v>7.7615647314498597</v>
      </c>
      <c r="M4" s="66">
        <v>4.8</v>
      </c>
      <c r="N4" s="66" t="s">
        <v>76</v>
      </c>
      <c r="O4" s="66">
        <v>7.246538657691751</v>
      </c>
      <c r="P4" s="66">
        <v>7.5841033240450084</v>
      </c>
      <c r="Q4" s="66">
        <v>9.5136616806388652</v>
      </c>
      <c r="R4" s="66">
        <v>8.2290664590916442</v>
      </c>
      <c r="S4" s="66">
        <v>8.7476431683182874</v>
      </c>
      <c r="T4" s="66">
        <v>8.5068648049747875</v>
      </c>
      <c r="U4" s="66">
        <v>8.8486081038678339</v>
      </c>
      <c r="V4" s="66">
        <v>7.2359486135576798</v>
      </c>
      <c r="W4" s="66">
        <v>8.6218690210414337</v>
      </c>
      <c r="X4" s="66" t="s">
        <v>76</v>
      </c>
      <c r="Y4" s="66">
        <v>8.6478325284717421</v>
      </c>
      <c r="Z4" s="66">
        <v>8.5363175921331305</v>
      </c>
      <c r="AA4" s="66">
        <v>8.1251637767236282</v>
      </c>
      <c r="AB4" s="66">
        <v>6.8984547461368635</v>
      </c>
      <c r="AC4" s="66">
        <v>10.510320503747931</v>
      </c>
      <c r="AD4" s="66">
        <v>8.701706610959576</v>
      </c>
      <c r="AE4" s="15">
        <v>9.98801438274071</v>
      </c>
      <c r="AF4" s="15">
        <v>7.7881619937694699</v>
      </c>
      <c r="AG4" s="15">
        <v>7.4872716382150397</v>
      </c>
      <c r="AH4" s="15">
        <v>8.4090144635048798</v>
      </c>
      <c r="AI4" s="15">
        <v>6.3645621181262699</v>
      </c>
      <c r="AJ4" s="15">
        <v>9.39849624060151</v>
      </c>
      <c r="AK4" s="15">
        <v>14.277555682467201</v>
      </c>
      <c r="AL4" s="15">
        <v>7.6196281621456903</v>
      </c>
      <c r="AM4" s="15">
        <v>8.0567193038994507</v>
      </c>
      <c r="AN4" s="15">
        <v>8.4860828241683599</v>
      </c>
      <c r="AO4" s="15">
        <v>7.8889239507731199</v>
      </c>
      <c r="AP4" s="15">
        <v>7.5483091787439598</v>
      </c>
      <c r="AQ4" s="15">
        <v>9.5932463545663804</v>
      </c>
      <c r="AR4" s="15">
        <v>8.0102531239987194</v>
      </c>
      <c r="AS4" s="15">
        <v>8.0128205128205199</v>
      </c>
      <c r="AT4" s="15">
        <v>8.0025608194622304</v>
      </c>
      <c r="AU4" s="15">
        <v>7.4360499702557998</v>
      </c>
      <c r="AV4" s="15">
        <v>11.076650420912699</v>
      </c>
      <c r="AW4" s="15">
        <v>8.7780898876404496</v>
      </c>
      <c r="AX4" s="15">
        <v>11.420740063956201</v>
      </c>
      <c r="AY4" s="15">
        <v>7.5255869957856696</v>
      </c>
      <c r="AZ4" s="15">
        <v>12.3092072870507</v>
      </c>
      <c r="BA4" s="15">
        <v>9.00252070579762</v>
      </c>
      <c r="BB4" s="15">
        <v>7.0283947146471801</v>
      </c>
      <c r="BC4" s="15">
        <v>7.2505800464037096</v>
      </c>
      <c r="BD4" s="15">
        <v>7.8839482812992703</v>
      </c>
      <c r="BE4" s="15">
        <v>10.040160642570278</v>
      </c>
      <c r="BF4" s="15">
        <v>9.2764378478664185</v>
      </c>
      <c r="BG4" s="15">
        <v>11.655011655011654</v>
      </c>
      <c r="BH4" s="15">
        <v>12.468827930174566</v>
      </c>
      <c r="BI4" s="15">
        <v>8.865248226950353</v>
      </c>
      <c r="BJ4" s="15">
        <v>9.0744101633393885</v>
      </c>
      <c r="BK4" s="15">
        <v>7.5187969924811995</v>
      </c>
      <c r="BL4" s="15">
        <v>7.849293563579276</v>
      </c>
      <c r="BM4" s="15">
        <v>8.1919918415543975</v>
      </c>
      <c r="BN4" s="15">
        <v>12.048192771084338</v>
      </c>
      <c r="BO4" s="15">
        <v>6.713841064072172</v>
      </c>
      <c r="BP4" s="15">
        <v>5.9137220518983211</v>
      </c>
      <c r="BQ4" s="15">
        <v>16.290064102564106</v>
      </c>
      <c r="BR4" s="15">
        <v>8.3618304691006067</v>
      </c>
      <c r="BS4" s="15">
        <v>7.8604001330829885</v>
      </c>
      <c r="BT4" s="15">
        <v>6.9433898698043102</v>
      </c>
      <c r="BU4" s="15">
        <v>8.7046564590286053</v>
      </c>
      <c r="BV4" s="15">
        <v>9.1209758551307836</v>
      </c>
      <c r="BW4" s="15">
        <v>8.5265435006367607</v>
      </c>
      <c r="BX4" s="15">
        <v>7.33046554359212</v>
      </c>
      <c r="BY4" s="15">
        <v>8.3633735854110363</v>
      </c>
      <c r="BZ4" s="15">
        <v>7.5118429957139643</v>
      </c>
      <c r="CA4" s="15">
        <v>8.0078886358507191</v>
      </c>
      <c r="CB4" s="15">
        <v>8.5456986893189697</v>
      </c>
      <c r="CC4" s="15">
        <v>8.5324232081911315</v>
      </c>
      <c r="CD4" s="15">
        <v>9.0415913200723317</v>
      </c>
      <c r="CE4" s="15">
        <v>7.5127962768131082</v>
      </c>
      <c r="CF4" s="15">
        <v>4.3107262559370438</v>
      </c>
      <c r="CG4" s="15">
        <v>8.701706610959576</v>
      </c>
      <c r="CH4" s="15">
        <v>10.915207914394259</v>
      </c>
      <c r="CI4" s="15">
        <v>9.5210314239332074</v>
      </c>
      <c r="CJ4" s="15">
        <v>8.7604365796555363</v>
      </c>
      <c r="CK4" s="66">
        <v>8.7604365796555363</v>
      </c>
      <c r="CL4" s="15">
        <v>8.695652173913043</v>
      </c>
      <c r="CM4" s="15">
        <v>8.9773840837588352</v>
      </c>
      <c r="CN4" s="15">
        <v>8.9866003369975118</v>
      </c>
      <c r="CO4" s="15">
        <v>8.4700786046244758</v>
      </c>
      <c r="CP4" s="15">
        <v>8.2783499220135575</v>
      </c>
      <c r="CQ4" s="15">
        <v>8.6056992796053819</v>
      </c>
      <c r="CR4" s="15">
        <v>8.5941353148081987</v>
      </c>
      <c r="CS4" s="15">
        <v>9.1607941478198534</v>
      </c>
      <c r="CT4" s="15">
        <v>8.0359079220497609</v>
      </c>
      <c r="CU4" s="15">
        <v>8.0504891005891466</v>
      </c>
      <c r="CV4" s="15">
        <v>8.2764739844385886</v>
      </c>
      <c r="CW4" s="15">
        <v>8.2764739844385886</v>
      </c>
      <c r="CX4" s="15">
        <v>8.3336506999961237</v>
      </c>
      <c r="CY4" s="15">
        <v>8.3336506999961237</v>
      </c>
      <c r="CZ4" s="15">
        <v>10.260255565052883</v>
      </c>
      <c r="DA4" s="66" t="s">
        <v>76</v>
      </c>
      <c r="DB4" s="15">
        <v>8.9459795213396376</v>
      </c>
      <c r="DC4" s="15">
        <v>8.0256441080349497</v>
      </c>
      <c r="DD4" s="15">
        <v>8.6565096952908593</v>
      </c>
      <c r="DE4" s="15">
        <v>8.0504891005891466</v>
      </c>
      <c r="DF4" s="15">
        <v>8.064516129032258</v>
      </c>
      <c r="DG4" s="15">
        <v>7.2046109510086449</v>
      </c>
      <c r="DH4" s="15">
        <v>9.3117940000000008</v>
      </c>
      <c r="DI4" s="15">
        <v>8.5957070000000009</v>
      </c>
      <c r="DJ4" s="15">
        <v>8.6421779999999995</v>
      </c>
      <c r="DK4" s="15">
        <v>7.8871180000000001</v>
      </c>
      <c r="DL4" s="15">
        <v>9.2249879999999997</v>
      </c>
      <c r="DM4" s="15">
        <v>8.6065280000000008</v>
      </c>
      <c r="DN4" s="15">
        <v>7.4883470000000001</v>
      </c>
      <c r="DO4" s="15">
        <v>8.3560780000000001</v>
      </c>
      <c r="DP4" s="15">
        <v>8.9382549999999998</v>
      </c>
      <c r="DQ4" s="15">
        <v>9.1780729999999995</v>
      </c>
      <c r="DR4" s="15">
        <v>10.245901639344259</v>
      </c>
      <c r="DS4" s="15">
        <v>11.061946902654864</v>
      </c>
      <c r="DT4" s="15">
        <v>9.2764378478664185</v>
      </c>
      <c r="DU4" s="15">
        <v>10.775862068965516</v>
      </c>
      <c r="DV4" s="15">
        <v>23.584905660377341</v>
      </c>
      <c r="DW4" s="15">
        <v>16.666666666666668</v>
      </c>
      <c r="DX4" s="15">
        <v>11.337868480725625</v>
      </c>
      <c r="DY4" s="15">
        <v>9.9009900990099009</v>
      </c>
      <c r="DZ4" s="15">
        <v>9.3984962406015011</v>
      </c>
      <c r="EA4" s="15">
        <v>5.7339449541284395</v>
      </c>
      <c r="EB4" s="15">
        <v>5.9594755661501759</v>
      </c>
      <c r="EC4" s="15">
        <v>7.2046109510086422</v>
      </c>
      <c r="ED4" s="15">
        <v>10.869565217391305</v>
      </c>
      <c r="EE4" s="15">
        <v>10.660980810234541</v>
      </c>
      <c r="EF4" s="15">
        <f>500/(254.6-199.3)</f>
        <v>9.0415913200723352</v>
      </c>
    </row>
    <row r="5" spans="1:136" s="15" customFormat="1" x14ac:dyDescent="0.35">
      <c r="A5" s="15">
        <f>250/43.24</f>
        <v>5.7816836262719704</v>
      </c>
      <c r="B5" s="15">
        <f>250/13.22</f>
        <v>18.910741301059002</v>
      </c>
      <c r="C5" s="15">
        <f>250/15.22</f>
        <v>16.425755584756899</v>
      </c>
      <c r="D5" s="15">
        <f>250/16.56</f>
        <v>15.096618357487923</v>
      </c>
      <c r="E5" s="15">
        <f>250/18.7</f>
        <v>13.368983957219251</v>
      </c>
      <c r="F5" s="15">
        <f>250/18.97</f>
        <v>13.178703215603585</v>
      </c>
      <c r="G5" s="64">
        <v>12.04</v>
      </c>
      <c r="H5" s="64">
        <f>250/32.41</f>
        <v>7.7136686207960512</v>
      </c>
      <c r="I5" s="64">
        <f>250/17.89</f>
        <v>13.974287311347121</v>
      </c>
      <c r="J5" s="65">
        <f>250/30.22</f>
        <v>8.2726671078755789</v>
      </c>
      <c r="K5" s="15" t="s">
        <v>76</v>
      </c>
      <c r="L5" s="64">
        <f>250/32.6</f>
        <v>7.668711656441717</v>
      </c>
      <c r="M5" s="66">
        <v>5</v>
      </c>
      <c r="N5" s="66" t="s">
        <v>76</v>
      </c>
      <c r="O5" s="66">
        <v>7.890524371229068</v>
      </c>
      <c r="P5" s="66">
        <v>9.074290076226962</v>
      </c>
      <c r="Q5" s="66">
        <v>9.4084401367740043</v>
      </c>
      <c r="R5" s="66">
        <v>8.4286501491046053</v>
      </c>
      <c r="S5" s="66">
        <v>8.6473227550203742</v>
      </c>
      <c r="T5" s="66">
        <v>8.0600294958154812</v>
      </c>
      <c r="U5" s="66">
        <v>9.2608620031991542</v>
      </c>
      <c r="V5" s="66">
        <v>7.5715910326984819</v>
      </c>
      <c r="W5" s="66">
        <v>8.8145137792315182</v>
      </c>
      <c r="X5" s="66">
        <v>8.2823258701487603</v>
      </c>
      <c r="Y5" s="66">
        <v>8.6736432820416312</v>
      </c>
      <c r="Z5" s="66">
        <v>8.4245618316769946</v>
      </c>
      <c r="AA5" s="66">
        <v>8.4256745567664151</v>
      </c>
      <c r="AB5" s="66">
        <v>6.7876072159703202</v>
      </c>
      <c r="AC5" s="66">
        <v>10.571510977190487</v>
      </c>
      <c r="AD5" s="66">
        <v>9.3544880409760758</v>
      </c>
      <c r="AE5" s="15" t="s">
        <v>76</v>
      </c>
      <c r="AF5" s="15" t="s">
        <v>76</v>
      </c>
      <c r="BE5" s="15">
        <v>9.6525096525096501</v>
      </c>
      <c r="BF5" s="15">
        <v>12.755102040816322</v>
      </c>
      <c r="BG5" s="15">
        <v>12.468827930174566</v>
      </c>
      <c r="BH5" s="15">
        <v>11.600928074245941</v>
      </c>
      <c r="BI5" s="15">
        <v>7.849293563579276</v>
      </c>
      <c r="BJ5" s="15">
        <v>8.787346221441128</v>
      </c>
      <c r="BK5" s="15">
        <v>7.3746312684365805</v>
      </c>
      <c r="BL5" s="15">
        <v>8.0515297906602257</v>
      </c>
      <c r="BM5" s="15">
        <v>8.9634522463246604</v>
      </c>
      <c r="BN5" s="15">
        <v>12.468827930174566</v>
      </c>
      <c r="BO5" s="15">
        <v>7.3722372377758205</v>
      </c>
      <c r="BP5" s="15">
        <v>5.5338699981437092</v>
      </c>
      <c r="BQ5" s="15">
        <v>14.028951455360197</v>
      </c>
      <c r="BR5" s="15">
        <v>9.2962481986990113</v>
      </c>
      <c r="BS5" s="15">
        <v>7.9342500395132003</v>
      </c>
      <c r="BT5" s="15">
        <v>3.9665330704707058</v>
      </c>
      <c r="BU5" s="15">
        <v>8.6514807405747014</v>
      </c>
      <c r="BV5" s="15">
        <v>8.6055101519512256</v>
      </c>
      <c r="BW5" s="15">
        <v>7.8325874894502316</v>
      </c>
      <c r="BX5" s="15">
        <v>7.1736011477761847</v>
      </c>
      <c r="BY5" s="15">
        <v>8.0384814049586772</v>
      </c>
      <c r="BZ5" s="15">
        <v>7.6524040375652831</v>
      </c>
      <c r="CA5" s="15">
        <v>8.5864343174594744</v>
      </c>
      <c r="CB5" s="15">
        <v>8.7637244678893449</v>
      </c>
      <c r="CC5" s="15">
        <v>8.6655112651646462</v>
      </c>
      <c r="CD5" s="15">
        <v>9.2592592592592595</v>
      </c>
      <c r="CE5" s="15">
        <v>7.7780730099410107</v>
      </c>
      <c r="CF5" s="15">
        <v>4.2456312478574203</v>
      </c>
      <c r="CG5" s="15">
        <v>9.3544880409760758</v>
      </c>
      <c r="CH5" s="15">
        <v>11.497904875892502</v>
      </c>
      <c r="CI5" s="15">
        <v>8.9136755803422485</v>
      </c>
      <c r="CJ5" s="15">
        <v>8.7492345376607457</v>
      </c>
      <c r="CK5" s="66">
        <v>8.5960393231874477</v>
      </c>
      <c r="CL5" s="15">
        <v>8.6210993423905613</v>
      </c>
      <c r="CM5" s="15">
        <v>8.4461628454437783</v>
      </c>
      <c r="CN5" s="15">
        <v>8.905783930640963</v>
      </c>
      <c r="CO5" s="15">
        <v>8.5490319865319826</v>
      </c>
      <c r="CP5" s="15">
        <v>8.6888909019536769</v>
      </c>
      <c r="CQ5" s="15">
        <v>8.5231394167996513</v>
      </c>
      <c r="CR5" s="15">
        <v>8.6571527852666676</v>
      </c>
      <c r="CS5" s="15">
        <v>8.778008778008779</v>
      </c>
      <c r="CT5" s="15">
        <v>8.6359907524796764</v>
      </c>
      <c r="CU5" s="15">
        <v>8.0220034446760664</v>
      </c>
      <c r="CV5" s="15">
        <v>9.4940758119695339</v>
      </c>
      <c r="CW5" s="15">
        <v>8.3340332754714517</v>
      </c>
      <c r="CX5" s="15">
        <v>8.2938474521926775</v>
      </c>
      <c r="CY5" s="15">
        <v>8.666862855652143</v>
      </c>
      <c r="CZ5" s="15">
        <v>8.6001744943350751</v>
      </c>
      <c r="DA5" s="15">
        <v>8.6361399923589222</v>
      </c>
      <c r="DB5" s="15">
        <v>9.3825614134718194</v>
      </c>
      <c r="DC5" s="15">
        <v>8.8202573042115144</v>
      </c>
      <c r="DD5" s="15">
        <v>8.571975081813644</v>
      </c>
      <c r="DE5" s="15">
        <v>8.5577876130640433</v>
      </c>
      <c r="DF5" s="15">
        <v>7.7041602465331307</v>
      </c>
      <c r="DG5" s="15">
        <v>7.290178875059512</v>
      </c>
      <c r="DH5" s="15">
        <v>9.1407679999999996</v>
      </c>
      <c r="DI5" s="15">
        <v>9.0445399999999996</v>
      </c>
      <c r="DJ5" s="15">
        <v>8.5895759999999992</v>
      </c>
      <c r="DK5" s="15">
        <v>8.333202</v>
      </c>
      <c r="DL5" s="15">
        <v>8.982443</v>
      </c>
      <c r="DM5" s="15">
        <v>8.7682640000000003</v>
      </c>
      <c r="DN5" s="15">
        <v>7.8588199999999997</v>
      </c>
      <c r="DO5" s="15">
        <v>8.3203049999999994</v>
      </c>
      <c r="DP5" s="15">
        <v>9.502281</v>
      </c>
      <c r="DQ5" s="15">
        <v>9.092212</v>
      </c>
      <c r="DR5" s="15">
        <v>10.060362173038225</v>
      </c>
      <c r="DS5" s="15">
        <v>10.940919037199121</v>
      </c>
      <c r="DT5" s="15">
        <v>8.3333333333333339</v>
      </c>
      <c r="DU5" s="15">
        <v>10</v>
      </c>
      <c r="DW5" s="15">
        <v>23.148148148148156</v>
      </c>
      <c r="DX5" s="15">
        <v>11.312217194570131</v>
      </c>
      <c r="DY5" s="15">
        <v>9.615384615384615</v>
      </c>
      <c r="DZ5" s="15">
        <v>9.225092250922506</v>
      </c>
      <c r="EA5" s="15">
        <v>5.9808612440191373</v>
      </c>
      <c r="EB5" s="15">
        <v>5.8962264150943389</v>
      </c>
      <c r="EC5" s="15">
        <v>6.5189048239895708</v>
      </c>
      <c r="ED5" s="15">
        <v>10.309278350515465</v>
      </c>
      <c r="EE5" s="15">
        <v>10.162601626016256</v>
      </c>
      <c r="EF5" s="15">
        <f>500/(262.6-199.3)</f>
        <v>7.8988941548183238</v>
      </c>
    </row>
    <row r="6" spans="1:136" s="15" customFormat="1" x14ac:dyDescent="0.35">
      <c r="A6" s="15">
        <f>250/41.2</f>
        <v>6.0679611650485432</v>
      </c>
      <c r="B6" s="15">
        <f>250/24.22</f>
        <v>10.32204789430223</v>
      </c>
      <c r="C6" s="15">
        <f>250/14.51</f>
        <v>17.229496898690559</v>
      </c>
      <c r="D6" s="15">
        <f>250/17.44</f>
        <v>14.334862385321101</v>
      </c>
      <c r="E6" s="15">
        <f>250/23.88</f>
        <v>10.469011725293132</v>
      </c>
      <c r="F6" s="15">
        <f>250/19.51</f>
        <v>12.813941568426447</v>
      </c>
      <c r="G6" s="64">
        <v>11.32</v>
      </c>
      <c r="H6" s="64">
        <f>250/31.12</f>
        <v>8.033419023136247</v>
      </c>
      <c r="I6" s="64">
        <f>250/25.54</f>
        <v>9.7885669537979645</v>
      </c>
      <c r="J6" s="65">
        <f>250/29.91</f>
        <v>8.3584085590103641</v>
      </c>
      <c r="K6" s="15" t="s">
        <v>76</v>
      </c>
      <c r="L6" s="64">
        <f>250/41.32</f>
        <v>6.0503388189738621</v>
      </c>
      <c r="M6" s="66">
        <v>5</v>
      </c>
      <c r="N6" s="66" t="s">
        <v>76</v>
      </c>
      <c r="O6" s="66">
        <v>7.9347471052147656</v>
      </c>
      <c r="P6" s="66">
        <v>9.1209595148264668</v>
      </c>
      <c r="Q6" s="66">
        <v>8.7226139827931739</v>
      </c>
      <c r="R6" s="66">
        <v>7.8930662079890102</v>
      </c>
      <c r="S6" s="66">
        <v>8.7141805452989018</v>
      </c>
      <c r="T6" s="66">
        <v>7.8365716366054414</v>
      </c>
      <c r="U6" s="66">
        <v>9.1372839761858771</v>
      </c>
      <c r="V6" s="66">
        <v>7.3717809013483393</v>
      </c>
      <c r="W6" s="66">
        <v>8.52742189757776</v>
      </c>
      <c r="X6" s="66">
        <v>7.8531866491925459</v>
      </c>
      <c r="Y6" s="66">
        <v>8.439756781234335</v>
      </c>
      <c r="Z6" s="66">
        <v>8.4682630014843525</v>
      </c>
      <c r="AA6" s="66">
        <v>7.8389417377411705</v>
      </c>
      <c r="AB6" s="66"/>
      <c r="AC6" s="66">
        <v>10.381580582540394</v>
      </c>
      <c r="AD6" s="66">
        <v>11.191171721768086</v>
      </c>
      <c r="BF6" s="15">
        <v>9.0090090090090094</v>
      </c>
      <c r="BH6" s="15">
        <v>12.077294685990337</v>
      </c>
      <c r="BI6" s="15">
        <v>8.8339222614840995</v>
      </c>
      <c r="BJ6" s="15">
        <v>8.5616438356164419</v>
      </c>
      <c r="BK6" s="15">
        <v>7.849293563579276</v>
      </c>
      <c r="BL6" s="15">
        <v>7.7639751552795024</v>
      </c>
      <c r="BM6" s="15">
        <v>9.2825828119945726</v>
      </c>
      <c r="BO6" s="15">
        <v>7.5436347359166813</v>
      </c>
      <c r="BP6" s="15">
        <v>4.8712568631095436</v>
      </c>
      <c r="BQ6" s="15">
        <v>12.559248963437621</v>
      </c>
      <c r="BR6" s="15">
        <v>9.9511388464876855</v>
      </c>
      <c r="BS6" s="15">
        <v>9.2778649921507093</v>
      </c>
      <c r="BT6" s="15">
        <v>4.0899869707250449</v>
      </c>
      <c r="BU6" s="15">
        <v>8.8620330286996989</v>
      </c>
      <c r="BV6" s="15">
        <v>8.6847271020326904</v>
      </c>
      <c r="BW6" s="15">
        <v>7.5622124873105729</v>
      </c>
      <c r="BX6" s="15">
        <v>7.158364257603079</v>
      </c>
      <c r="BY6" s="15">
        <v>9.0147451994451409</v>
      </c>
      <c r="BZ6" s="15">
        <v>8.0219751942771858</v>
      </c>
      <c r="CA6" s="15">
        <v>8.0785775439036094</v>
      </c>
      <c r="CB6" s="15">
        <v>8.3500613360098122</v>
      </c>
      <c r="CC6" s="15">
        <v>9.0252707581227476</v>
      </c>
      <c r="CD6" s="15">
        <v>9.3283582089552297</v>
      </c>
      <c r="CE6" s="15">
        <v>8.491660016617594</v>
      </c>
      <c r="CF6" s="15">
        <v>3.6633328769956019</v>
      </c>
      <c r="CG6" s="15">
        <v>11.191171721768086</v>
      </c>
      <c r="CH6" s="15">
        <v>13.156102286381774</v>
      </c>
      <c r="CI6" s="15">
        <v>8.3402893711741761</v>
      </c>
      <c r="CJ6" s="15">
        <v>8.787346221441128</v>
      </c>
      <c r="CK6" s="66">
        <v>8.8680360759254881</v>
      </c>
      <c r="CL6" s="66" t="s">
        <v>76</v>
      </c>
      <c r="CM6" s="15">
        <v>8.3825182686902746</v>
      </c>
      <c r="CN6" s="15">
        <v>8.7120970655107186</v>
      </c>
      <c r="CO6" s="15">
        <v>8.2785087719298254</v>
      </c>
      <c r="CP6" s="15">
        <v>8.3763609832753367</v>
      </c>
      <c r="CQ6" s="15">
        <v>8.6453870897540277</v>
      </c>
      <c r="CR6" s="15">
        <v>8.806747705284053</v>
      </c>
      <c r="CS6" s="15">
        <v>8.8313103018985366</v>
      </c>
      <c r="CT6" s="15">
        <v>8.978512822992732</v>
      </c>
      <c r="CU6" s="15">
        <v>10.119208562265435</v>
      </c>
      <c r="CV6" s="15">
        <v>9.5813579696638147</v>
      </c>
      <c r="CW6" s="15">
        <v>8.6950910138560715</v>
      </c>
      <c r="CX6" s="15">
        <v>8.8446188241993902</v>
      </c>
      <c r="CY6" s="15">
        <v>8.5406432527809919</v>
      </c>
      <c r="CZ6" s="15">
        <v>9.4423465216768498</v>
      </c>
      <c r="DA6" s="15">
        <v>8.3280602744786112</v>
      </c>
      <c r="DB6" s="15">
        <v>8.9875484671520365</v>
      </c>
      <c r="DC6" s="15">
        <v>8.2271520457928915</v>
      </c>
      <c r="DD6" s="15">
        <v>8.2844329198259068</v>
      </c>
      <c r="DE6" s="15">
        <v>9.0674855954149471</v>
      </c>
      <c r="DF6" s="15">
        <v>7.9536809862312552</v>
      </c>
      <c r="DG6" s="15">
        <v>6.8834894791098167</v>
      </c>
      <c r="DH6" s="15">
        <v>9.2592590000000001</v>
      </c>
      <c r="DI6" s="15">
        <v>9.8254249999999992</v>
      </c>
      <c r="DJ6" s="15">
        <v>8.5957070000000009</v>
      </c>
      <c r="DK6" s="15">
        <v>8.6131790000000006</v>
      </c>
      <c r="DL6" s="15">
        <v>9.3490400000000005</v>
      </c>
      <c r="DM6" s="15">
        <v>8.9663609999999991</v>
      </c>
      <c r="DN6" s="15">
        <v>8.1963069999999991</v>
      </c>
      <c r="DO6" s="15">
        <v>8.2786460000000002</v>
      </c>
      <c r="DP6" s="15">
        <v>10.34097</v>
      </c>
      <c r="DQ6" s="15">
        <v>9.1573650000000004</v>
      </c>
      <c r="DR6" s="15">
        <v>8.4745762711864359</v>
      </c>
      <c r="DS6" s="15">
        <v>14.450867052023124</v>
      </c>
      <c r="DT6" s="15">
        <v>8.0256821829855518</v>
      </c>
      <c r="DW6" s="15">
        <v>20.242914979757071</v>
      </c>
      <c r="DX6" s="15">
        <v>11.086474501108649</v>
      </c>
      <c r="DY6" s="15">
        <v>8.9285714285714288</v>
      </c>
      <c r="DZ6" s="15">
        <v>8.532423208191128</v>
      </c>
      <c r="ED6" s="15">
        <v>9.5969289827255295</v>
      </c>
      <c r="EE6" s="15">
        <v>10.2880658436214</v>
      </c>
      <c r="EF6" s="15">
        <f>500/(265.6-199.3)</f>
        <v>7.5414781297134228</v>
      </c>
    </row>
    <row r="7" spans="1:136" s="15" customFormat="1" x14ac:dyDescent="0.35">
      <c r="A7" s="15">
        <f>250/50.83</f>
        <v>4.9183553019870159</v>
      </c>
      <c r="B7" s="15">
        <f>250/18.42</f>
        <v>13.572204125950053</v>
      </c>
      <c r="C7" s="15">
        <f>250/14.74</f>
        <v>16.960651289009498</v>
      </c>
      <c r="D7" s="15">
        <f>250/16.66</f>
        <v>15.006002400960384</v>
      </c>
      <c r="E7" s="15">
        <f>250/14.46</f>
        <v>17.289073305670815</v>
      </c>
      <c r="F7" s="15">
        <f>250/19.23</f>
        <v>13.000520020800831</v>
      </c>
      <c r="G7" s="64">
        <v>12.46</v>
      </c>
      <c r="J7" s="65">
        <f>250/28.6</f>
        <v>8.7412587412587417</v>
      </c>
      <c r="K7" s="15" t="s">
        <v>76</v>
      </c>
      <c r="L7" s="64">
        <f>250/28.8</f>
        <v>8.6805555555555554</v>
      </c>
      <c r="M7" s="66">
        <v>4.7</v>
      </c>
      <c r="N7" s="66" t="s">
        <v>76</v>
      </c>
      <c r="O7" s="66">
        <v>7.2422085137397954</v>
      </c>
      <c r="P7" s="66">
        <v>8.9758528463646385</v>
      </c>
      <c r="Q7" s="66">
        <v>8.8391760906397838</v>
      </c>
      <c r="R7" s="66">
        <v>5.6892373451243685</v>
      </c>
      <c r="S7" s="66">
        <v>7.5276645311589974</v>
      </c>
      <c r="T7" s="66">
        <v>7.9015228123496772</v>
      </c>
      <c r="U7" s="66">
        <v>9.2648848626212192</v>
      </c>
      <c r="V7" s="66">
        <v>7.6667111818424214</v>
      </c>
      <c r="W7" s="66">
        <v>8.4727497365803544</v>
      </c>
      <c r="X7" s="66">
        <v>8.8519223680867523</v>
      </c>
      <c r="Y7" s="66">
        <v>8.464062836893774</v>
      </c>
      <c r="Z7" s="66">
        <v>8.63086033092587</v>
      </c>
      <c r="AA7" s="66">
        <v>7.1214926648625569</v>
      </c>
      <c r="AB7" s="66"/>
      <c r="AC7" s="66">
        <v>10.099108483207791</v>
      </c>
      <c r="AD7" s="66">
        <v>17.396985728312867</v>
      </c>
      <c r="BF7" s="15">
        <v>8.5616438356164384</v>
      </c>
      <c r="BJ7" s="15">
        <v>8.7719298245614041</v>
      </c>
      <c r="BK7" s="15">
        <v>7.7279752704791322</v>
      </c>
      <c r="BM7" s="15">
        <v>13.502201841540199</v>
      </c>
      <c r="BO7" s="15">
        <v>7.8728255862309187</v>
      </c>
      <c r="BP7" s="15">
        <v>4.9415295672579518</v>
      </c>
      <c r="BQ7" s="15">
        <v>11.095777370499043</v>
      </c>
      <c r="BR7" s="15">
        <v>12.534953830085223</v>
      </c>
      <c r="BS7" s="15">
        <v>12.110333522824487</v>
      </c>
      <c r="BT7" s="15">
        <v>3.5469170337655052</v>
      </c>
      <c r="BU7" s="15">
        <v>9.9716867625036336</v>
      </c>
      <c r="BV7" s="15">
        <v>10.264694185954028</v>
      </c>
      <c r="BW7" s="15">
        <v>7.0384889522451894</v>
      </c>
      <c r="BX7" s="15">
        <v>6.8557853288064567</v>
      </c>
      <c r="BY7" s="15">
        <v>11.262689550557798</v>
      </c>
      <c r="BZ7" s="15">
        <v>12.003937982532396</v>
      </c>
      <c r="CA7" s="15">
        <v>7.5726354832062635</v>
      </c>
      <c r="CB7" s="15">
        <v>8.4398343086030714</v>
      </c>
      <c r="CC7" s="15">
        <v>9.0090090090090094</v>
      </c>
      <c r="CD7" s="15">
        <v>9.7087378640776691</v>
      </c>
      <c r="CE7" s="15">
        <v>9.3297295963674998</v>
      </c>
      <c r="CF7" s="15">
        <v>3.141382472104834</v>
      </c>
      <c r="CG7" s="15">
        <v>17.396985728312867</v>
      </c>
      <c r="CH7" s="15">
        <v>16.788333180302622</v>
      </c>
      <c r="CI7" s="15">
        <v>8.4332380505425419</v>
      </c>
      <c r="CJ7" s="15">
        <v>8.4931016980435619</v>
      </c>
      <c r="CK7" s="66">
        <v>8.6661620166774824</v>
      </c>
      <c r="CM7" s="15">
        <v>8.2311273460406582</v>
      </c>
      <c r="CN7" s="15">
        <v>8.7736580920833909</v>
      </c>
      <c r="CO7" s="15">
        <v>8.3335416718751301</v>
      </c>
      <c r="CP7" s="15">
        <v>8.6435653623872639</v>
      </c>
      <c r="CQ7" s="15">
        <v>8.6490471869328509</v>
      </c>
      <c r="CR7" s="15">
        <v>8.1450168563000425</v>
      </c>
      <c r="CS7" s="15">
        <v>8.6581709145427297</v>
      </c>
      <c r="CT7" s="15">
        <v>8.753791011855526</v>
      </c>
      <c r="CU7" s="15">
        <v>10.006469696805762</v>
      </c>
      <c r="CV7" s="15">
        <v>9.3099046995484578</v>
      </c>
      <c r="CW7" s="15">
        <v>8.8873089228581605</v>
      </c>
      <c r="CX7" s="15">
        <v>8.6374346207650134</v>
      </c>
      <c r="CY7" s="15">
        <v>8.2420586806864549</v>
      </c>
      <c r="CZ7" s="15">
        <v>8.5302422655098997</v>
      </c>
      <c r="DA7" s="15">
        <v>8.2086638023371048</v>
      </c>
      <c r="DB7" s="15">
        <v>9.5700842079020561</v>
      </c>
      <c r="DC7" s="15">
        <v>8.0323601524723127</v>
      </c>
      <c r="DD7" s="15">
        <v>8.6641799576973639</v>
      </c>
      <c r="DE7" s="15">
        <v>8.4109042553191511</v>
      </c>
      <c r="DG7" s="15">
        <v>6.9218863453968744</v>
      </c>
      <c r="DH7" s="15">
        <v>9.1158380000000001</v>
      </c>
      <c r="DI7" s="15">
        <v>9.9404380000000003</v>
      </c>
      <c r="DJ7" s="15">
        <v>9.4314999999999998</v>
      </c>
      <c r="DK7" s="15">
        <v>8.8733310000000003</v>
      </c>
      <c r="DL7" s="15">
        <v>9.8574859999999997</v>
      </c>
      <c r="DM7" s="15">
        <v>9.4623190000000008</v>
      </c>
      <c r="DN7" s="15">
        <v>8.9961730000000006</v>
      </c>
      <c r="DO7" s="15">
        <v>8.6803720000000002</v>
      </c>
      <c r="DP7" s="15">
        <v>9.5666499999999992</v>
      </c>
      <c r="DQ7" s="15">
        <v>9.1437760000000008</v>
      </c>
      <c r="DR7" s="15">
        <v>9.1407678244972548</v>
      </c>
      <c r="DS7" s="15">
        <v>9.6899224806201563</v>
      </c>
      <c r="DT7" s="15">
        <v>8.1168831168831144</v>
      </c>
      <c r="DX7" s="15">
        <v>11.848341232227483</v>
      </c>
      <c r="DZ7" s="15">
        <v>8.9445438282647576</v>
      </c>
      <c r="ED7" s="15">
        <v>9.9009900990099009</v>
      </c>
      <c r="EE7" s="15">
        <v>10.822510822510818</v>
      </c>
      <c r="EF7" s="15">
        <f>500/(251.3-199.3)</f>
        <v>9.615384615384615</v>
      </c>
    </row>
    <row r="8" spans="1:136" s="15" customFormat="1" x14ac:dyDescent="0.35">
      <c r="A8" s="15">
        <f>250/38.02</f>
        <v>6.5754865860073641</v>
      </c>
      <c r="B8" s="15">
        <f>250/16.24</f>
        <v>15.39408866995074</v>
      </c>
      <c r="C8" s="15">
        <f>250/15.52</f>
        <v>16.108247422680414</v>
      </c>
      <c r="D8" s="15">
        <f>250/16.49</f>
        <v>15.160703456640389</v>
      </c>
      <c r="E8" s="15">
        <f>250/18.95</f>
        <v>13.192612137203167</v>
      </c>
      <c r="F8" s="15">
        <f>250/18.88</f>
        <v>13.241525423728815</v>
      </c>
      <c r="G8" s="64">
        <v>9.61</v>
      </c>
      <c r="J8" s="64">
        <f>250/30.49</f>
        <v>8.1994096425057403</v>
      </c>
      <c r="K8" s="15" t="s">
        <v>76</v>
      </c>
      <c r="L8" s="64">
        <f>250/43.95</f>
        <v>5.6882821387940838</v>
      </c>
      <c r="M8" s="66">
        <v>5</v>
      </c>
      <c r="N8" s="66" t="s">
        <v>76</v>
      </c>
      <c r="O8" s="66">
        <v>7.6367768258781972</v>
      </c>
      <c r="P8" s="66">
        <v>8.4429589697810865</v>
      </c>
      <c r="Q8" s="66">
        <v>8.9785120311804008</v>
      </c>
      <c r="R8" s="66">
        <v>14.356372857582199</v>
      </c>
      <c r="S8" s="66"/>
      <c r="T8" s="66">
        <v>6.6690029780325553</v>
      </c>
      <c r="U8" s="66">
        <v>9.0542838598344666</v>
      </c>
      <c r="V8" s="66">
        <v>7.0535430723262484</v>
      </c>
      <c r="W8" s="66">
        <v>8.4149925099930307</v>
      </c>
      <c r="X8" s="66">
        <v>9.3975977734134339</v>
      </c>
      <c r="Y8" s="66">
        <v>9.2448696346427877</v>
      </c>
      <c r="Z8" s="66">
        <v>8.643708379693912</v>
      </c>
      <c r="AA8" s="66"/>
      <c r="AB8" s="66"/>
      <c r="AC8" s="66">
        <v>10.210768779284933</v>
      </c>
      <c r="AD8" s="66">
        <v>13.9404767721356</v>
      </c>
      <c r="BF8" s="15">
        <v>8.4745762711864359</v>
      </c>
      <c r="BJ8" s="15">
        <v>8.5034013605442169</v>
      </c>
      <c r="BK8" s="15">
        <v>7.9113924050632889</v>
      </c>
      <c r="BM8" s="15">
        <v>14.250354747162014</v>
      </c>
      <c r="BO8" s="15">
        <v>9.885464741113708</v>
      </c>
      <c r="BP8" s="15">
        <v>5.5093048048863444</v>
      </c>
      <c r="BQ8" s="15">
        <v>9.363295880149817</v>
      </c>
      <c r="BR8" s="15">
        <v>13.774104683195588</v>
      </c>
      <c r="BS8" s="15">
        <v>10.060362173038232</v>
      </c>
      <c r="BT8" s="15">
        <v>3.1075201988812933</v>
      </c>
      <c r="BU8" s="15">
        <v>8.4602368866328312</v>
      </c>
      <c r="BV8" s="15">
        <v>8.7412587412587435</v>
      </c>
      <c r="BW8" s="15">
        <v>7.0029931674293238</v>
      </c>
      <c r="BX8" s="15">
        <v>7.135934980536506</v>
      </c>
      <c r="BY8" s="15">
        <v>9.4803245291111171</v>
      </c>
      <c r="BZ8" s="15">
        <v>10.90243326246161</v>
      </c>
      <c r="CA8" s="15">
        <v>7.8125</v>
      </c>
      <c r="CB8" s="15">
        <v>9.3115036084243936</v>
      </c>
      <c r="CD8" s="15">
        <v>9.9206349206349245</v>
      </c>
      <c r="CE8" s="15">
        <v>9.9291139534601456</v>
      </c>
      <c r="CF8" s="15">
        <v>3.4158004812521159</v>
      </c>
      <c r="CG8" s="15">
        <v>13.9404767721356</v>
      </c>
      <c r="CH8" s="15">
        <v>14.14633698692489</v>
      </c>
      <c r="CI8" s="15">
        <v>8.0007373479539901</v>
      </c>
      <c r="CJ8" s="15">
        <v>8.6608717561098523</v>
      </c>
      <c r="CK8" s="66">
        <v>8.4409885857889364</v>
      </c>
      <c r="CM8" s="15">
        <v>8.4608424765787813</v>
      </c>
      <c r="CN8" s="15">
        <v>8.4746006164912817</v>
      </c>
      <c r="CO8" s="15">
        <v>8.6571527852666641</v>
      </c>
      <c r="CP8" s="15">
        <v>9.0719687648670355</v>
      </c>
      <c r="CQ8" s="15">
        <v>8.6969410967523348</v>
      </c>
      <c r="CR8" s="15">
        <v>8.6963097398669085</v>
      </c>
      <c r="CS8" s="15">
        <v>8.7146101806080232</v>
      </c>
      <c r="CT8" s="15">
        <v>8.7207887789983332</v>
      </c>
      <c r="CU8" s="15">
        <v>9.1513827211198695</v>
      </c>
      <c r="CW8" s="15">
        <v>9.3981323697889714</v>
      </c>
      <c r="CX8" s="15">
        <v>8.6920267195983012</v>
      </c>
      <c r="CY8" s="15">
        <v>8.4485885047811102</v>
      </c>
      <c r="CZ8" s="15">
        <v>8.4157128903214744</v>
      </c>
      <c r="DA8" s="15">
        <v>8.1709288890725951</v>
      </c>
      <c r="DB8" s="15">
        <v>8.4942764878273049</v>
      </c>
      <c r="DC8" s="15">
        <v>7.8027863452035824</v>
      </c>
      <c r="DD8" s="15">
        <v>8.6074459371195609</v>
      </c>
      <c r="DG8" s="15">
        <v>7.066183943089432</v>
      </c>
      <c r="DH8" s="15">
        <v>9.4927150000000005</v>
      </c>
      <c r="DJ8" s="15">
        <v>9.2911920000000006</v>
      </c>
      <c r="DK8" s="15">
        <v>9.6848399999999994</v>
      </c>
      <c r="DL8" s="15">
        <v>9.5941189999999992</v>
      </c>
      <c r="DM8" s="15">
        <v>9.2587360000000007</v>
      </c>
      <c r="DN8" s="15">
        <v>9.3723360000000007</v>
      </c>
      <c r="DO8" s="15">
        <v>9.4653390000000002</v>
      </c>
      <c r="DP8" s="15">
        <v>8.9382549999999998</v>
      </c>
      <c r="DQ8" s="15">
        <v>9.3883609999999997</v>
      </c>
      <c r="DR8" s="15">
        <v>10.940919037199121</v>
      </c>
      <c r="DS8" s="15">
        <v>9.4517958412098295</v>
      </c>
      <c r="DT8" s="15">
        <v>8.4745762711864412</v>
      </c>
      <c r="DX8" s="15">
        <v>11.848341232227483</v>
      </c>
      <c r="DZ8" s="15">
        <v>8.1433224755700326</v>
      </c>
      <c r="ED8" s="15">
        <v>8.9285714285714288</v>
      </c>
      <c r="EE8" s="15">
        <v>11.261261261261259</v>
      </c>
      <c r="EF8" s="15">
        <f>500/(261.5-199.3)</f>
        <v>8.0385852090032177</v>
      </c>
    </row>
    <row r="9" spans="1:136" s="15" customFormat="1" x14ac:dyDescent="0.35">
      <c r="A9" s="15">
        <f>250/38.78</f>
        <v>6.4466219700876737</v>
      </c>
      <c r="B9" s="15">
        <f>250/15.09</f>
        <v>16.567263088137839</v>
      </c>
      <c r="C9" s="15">
        <f>250/13.74</f>
        <v>18.195050946142651</v>
      </c>
      <c r="D9" s="15">
        <f>250/18.54</f>
        <v>13.484358144552321</v>
      </c>
      <c r="E9" s="15">
        <f>250/17.02</f>
        <v>14.688601645123384</v>
      </c>
      <c r="F9" s="15">
        <f>250/18.6</f>
        <v>13.440860215053762</v>
      </c>
      <c r="G9" s="64">
        <v>9.1300000000000008</v>
      </c>
      <c r="J9" s="64">
        <f>250/33.2</f>
        <v>7.5301204819277103</v>
      </c>
      <c r="K9" s="15" t="s">
        <v>76</v>
      </c>
      <c r="L9" s="64">
        <f>250/50.56</f>
        <v>4.9446202531645564</v>
      </c>
      <c r="M9" s="66">
        <v>5</v>
      </c>
      <c r="N9" s="66" t="s">
        <v>76</v>
      </c>
      <c r="O9" s="66">
        <v>5.5642497270536975</v>
      </c>
      <c r="P9" s="66">
        <v>8.9138597874657357</v>
      </c>
      <c r="Q9" s="66">
        <v>7.9821548072314386</v>
      </c>
      <c r="R9" s="66"/>
      <c r="S9" s="66"/>
      <c r="T9" s="66">
        <v>8.8327167177203325</v>
      </c>
      <c r="U9" s="66">
        <v>9.597103329413585</v>
      </c>
      <c r="V9" s="66"/>
      <c r="W9" s="66">
        <v>8.773926090413088</v>
      </c>
      <c r="X9" s="66">
        <v>9.5831078418133551</v>
      </c>
      <c r="Y9" s="66">
        <v>8.9719110286671331</v>
      </c>
      <c r="Z9" s="66">
        <v>8.7407284923830559</v>
      </c>
      <c r="AA9" s="66"/>
      <c r="AB9" s="66"/>
      <c r="AC9" s="66">
        <v>10.396959838868682</v>
      </c>
      <c r="AD9" s="66">
        <v>16.495744545290126</v>
      </c>
      <c r="BF9" s="15">
        <v>9.0415913200723317</v>
      </c>
      <c r="BJ9" s="15">
        <v>9.0090090090090094</v>
      </c>
      <c r="BM9" s="15">
        <v>8.363542785535266</v>
      </c>
      <c r="BO9" s="15">
        <v>9.6426258684667783</v>
      </c>
      <c r="BP9" s="15">
        <v>5.0916570679222701</v>
      </c>
      <c r="BQ9" s="15">
        <v>8.5358408199417966</v>
      </c>
      <c r="BR9" s="15">
        <v>16.615973426201133</v>
      </c>
      <c r="BS9" s="15">
        <v>8.2886702623850699</v>
      </c>
      <c r="BT9" s="15">
        <v>4.1563214674020266</v>
      </c>
      <c r="BU9" s="15">
        <v>8.4556092670019236</v>
      </c>
      <c r="BV9" s="15">
        <v>8.851789473846253</v>
      </c>
      <c r="BW9" s="15">
        <v>6.9876564415261964</v>
      </c>
      <c r="BY9" s="15">
        <v>8.4177231334336646</v>
      </c>
      <c r="BZ9" s="15">
        <v>9.433962264150944</v>
      </c>
      <c r="CB9" s="15">
        <v>10.298759482071034</v>
      </c>
      <c r="CD9" s="15">
        <v>9.4696969696969671</v>
      </c>
      <c r="CE9" s="15">
        <v>10.125119174981766</v>
      </c>
      <c r="CF9" s="15">
        <v>4.4831235491030048</v>
      </c>
      <c r="CG9" s="15">
        <v>16.495744545290126</v>
      </c>
      <c r="CH9" s="15">
        <v>14.281799018795128</v>
      </c>
      <c r="CI9" s="15">
        <v>8.0456823877876502</v>
      </c>
      <c r="CJ9" s="15">
        <v>8.5844563128544316</v>
      </c>
      <c r="CK9" s="66">
        <v>8.8921121919687192</v>
      </c>
      <c r="CM9" s="15">
        <v>8.7265213210142498</v>
      </c>
      <c r="CN9" s="15">
        <v>8.8798330875029912</v>
      </c>
      <c r="CO9" s="15">
        <v>8.5111376384961286</v>
      </c>
      <c r="CP9" s="15">
        <v>8.9008552423186558</v>
      </c>
      <c r="CQ9" s="15">
        <v>8.9049452551853108</v>
      </c>
      <c r="CR9" s="15">
        <v>8.9946679090956163</v>
      </c>
      <c r="CS9" s="15">
        <v>8.6132708172591883</v>
      </c>
      <c r="CT9" s="15">
        <v>9.042462817262205</v>
      </c>
      <c r="CU9" s="15">
        <v>7.9323277097415117</v>
      </c>
      <c r="CW9" s="15">
        <v>9.6637996524758982</v>
      </c>
      <c r="CX9" s="15">
        <v>9.0999929809040871</v>
      </c>
      <c r="CY9" s="15">
        <v>8.6171981721827429</v>
      </c>
      <c r="CZ9" s="15">
        <v>8.4646658371725607</v>
      </c>
      <c r="DA9" s="15">
        <v>8.1534426160306239</v>
      </c>
      <c r="DB9" s="15">
        <v>8.6884718112668438</v>
      </c>
      <c r="DC9" s="15">
        <v>8.082951154163311</v>
      </c>
      <c r="DD9" s="15">
        <v>8.5037026538638685</v>
      </c>
      <c r="DG9" s="15">
        <v>6.587615283267457</v>
      </c>
      <c r="DH9" s="15">
        <v>9.5057030000000005</v>
      </c>
      <c r="DJ9" s="15">
        <v>8.7410709999999998</v>
      </c>
      <c r="DK9" s="15">
        <v>8.2814040000000002</v>
      </c>
      <c r="DL9" s="15">
        <v>9.2180920000000004</v>
      </c>
      <c r="DM9" s="15">
        <v>8.6594470000000001</v>
      </c>
      <c r="DN9" s="15">
        <v>7.6334200000000001</v>
      </c>
      <c r="DO9" s="15">
        <v>10.125679999999999</v>
      </c>
      <c r="DP9" s="15">
        <v>9.4429680000000005</v>
      </c>
      <c r="DQ9" s="15">
        <v>9.9037360000000003</v>
      </c>
      <c r="DR9" s="15">
        <v>9.7465886939571131</v>
      </c>
      <c r="DS9" s="15">
        <v>9.4876660341555947</v>
      </c>
      <c r="DX9" s="15">
        <v>11.574074074074069</v>
      </c>
      <c r="DZ9" s="15">
        <v>9.5057034220532337</v>
      </c>
      <c r="ED9" s="15">
        <v>8.7260034904013981</v>
      </c>
      <c r="EE9" s="15">
        <v>10.917030567685586</v>
      </c>
    </row>
    <row r="10" spans="1:136" s="15" customFormat="1" x14ac:dyDescent="0.35">
      <c r="A10" s="15">
        <f>250/45.82</f>
        <v>5.4561326931470973</v>
      </c>
      <c r="B10" s="15">
        <f>250/15.13</f>
        <v>16.523463317911432</v>
      </c>
      <c r="C10" s="15">
        <f>250/14.06</f>
        <v>17.780938833570413</v>
      </c>
      <c r="D10" s="15">
        <f>250/16.19</f>
        <v>15.441630636195182</v>
      </c>
      <c r="E10" s="15">
        <f>250/17</f>
        <v>14.705882352941176</v>
      </c>
      <c r="F10" s="15">
        <f>250/16.55</f>
        <v>15.105740181268882</v>
      </c>
      <c r="G10" s="64">
        <v>9.89</v>
      </c>
      <c r="J10" s="64">
        <f>250/42.05</f>
        <v>5.9453032104637344</v>
      </c>
      <c r="K10" s="15" t="s">
        <v>76</v>
      </c>
      <c r="L10" s="64">
        <f>250/39.58</f>
        <v>6.3163213744315314</v>
      </c>
      <c r="M10" s="66">
        <v>5.4</v>
      </c>
      <c r="N10" s="66" t="s">
        <v>76</v>
      </c>
      <c r="O10" s="66"/>
      <c r="P10" s="66">
        <v>8.9518022153371284</v>
      </c>
      <c r="Q10" s="66">
        <v>9.7181316921950938</v>
      </c>
      <c r="R10" s="66"/>
      <c r="S10" s="66"/>
      <c r="T10" s="66"/>
      <c r="U10" s="66">
        <v>9.8226332010402508</v>
      </c>
      <c r="V10" s="66"/>
      <c r="W10" s="66">
        <v>8.7349810457671495</v>
      </c>
      <c r="X10" s="66"/>
      <c r="Y10" s="66">
        <v>9.0722731404370407</v>
      </c>
      <c r="Z10" s="66">
        <v>8.2253496729814</v>
      </c>
      <c r="AA10" s="66"/>
      <c r="AB10" s="66"/>
      <c r="AC10" s="66"/>
      <c r="AD10" s="66">
        <v>8.9845504829290235</v>
      </c>
      <c r="BF10" s="15">
        <v>9.0909090909090917</v>
      </c>
      <c r="BJ10" s="15">
        <v>8.4175084175084205</v>
      </c>
      <c r="BM10" s="15">
        <v>8.4709322325421397</v>
      </c>
      <c r="BO10" s="15">
        <v>7.8478312649418474</v>
      </c>
      <c r="BP10" s="15">
        <v>6.2110399748459741</v>
      </c>
      <c r="BQ10" s="15">
        <v>8.7780669317351965</v>
      </c>
      <c r="BR10" s="15">
        <v>15.241425636162484</v>
      </c>
      <c r="BS10" s="15">
        <v>8.3360655737704921</v>
      </c>
      <c r="BT10" s="15">
        <v>5.4578319629396912</v>
      </c>
      <c r="BU10" s="15">
        <v>8.5448662223510112</v>
      </c>
      <c r="BV10" s="15">
        <v>9.2216435185185226</v>
      </c>
      <c r="BW10" s="15">
        <v>8.3339799153162328</v>
      </c>
      <c r="BY10" s="15">
        <v>8.4535746544252994</v>
      </c>
      <c r="BZ10" s="15">
        <v>7.7521056882427599</v>
      </c>
      <c r="CB10" s="15">
        <v>10.43461987082398</v>
      </c>
      <c r="CD10" s="15">
        <v>9.4876660341556001</v>
      </c>
      <c r="CE10" s="15">
        <v>7.4150302951095819</v>
      </c>
      <c r="CF10" s="15">
        <v>4.3054316742449625</v>
      </c>
      <c r="CG10" s="15">
        <v>8.9845504829290235</v>
      </c>
      <c r="CH10" s="15">
        <v>8.3141483129972098</v>
      </c>
      <c r="CI10" s="15">
        <v>8.2508250825082481</v>
      </c>
      <c r="CJ10" s="15">
        <v>9.9150976769781085</v>
      </c>
      <c r="CK10" s="66">
        <v>9.1508543029945848</v>
      </c>
      <c r="CM10" s="15">
        <v>10.513296227581943</v>
      </c>
      <c r="CN10" s="15">
        <v>9.0002590002590015</v>
      </c>
      <c r="CO10" s="15">
        <v>8.6371961371961348</v>
      </c>
      <c r="CP10" s="15">
        <v>8.786738252061765</v>
      </c>
      <c r="CQ10" s="15">
        <v>8.8227527609934953</v>
      </c>
      <c r="CR10" s="15">
        <v>9.0054600160817557</v>
      </c>
      <c r="CS10" s="15">
        <v>9.1647817709642307</v>
      </c>
      <c r="CT10" s="15">
        <v>8.8864896945131093</v>
      </c>
      <c r="CU10" s="15">
        <v>7.9361611472129985</v>
      </c>
      <c r="CW10" s="15">
        <v>9.0676420806390485</v>
      </c>
      <c r="CX10" s="15">
        <v>8.8907782824508423</v>
      </c>
      <c r="CY10" s="15">
        <v>8.608482823565776</v>
      </c>
      <c r="CZ10" s="15">
        <v>8.5465201227377321</v>
      </c>
      <c r="DA10" s="15">
        <v>8.9681657902673422</v>
      </c>
      <c r="DB10" s="15">
        <v>8.7499905982683437</v>
      </c>
      <c r="DC10" s="15">
        <v>8.782482264806994</v>
      </c>
      <c r="DD10" s="15">
        <v>8.7446715215493036</v>
      </c>
      <c r="DG10" s="15">
        <v>7.1791985684894506</v>
      </c>
      <c r="DH10" s="15">
        <v>10.121460000000001</v>
      </c>
      <c r="DJ10" s="15">
        <v>8.4759519999999995</v>
      </c>
      <c r="DK10" s="15">
        <v>8.0186829999999993</v>
      </c>
      <c r="DL10" s="15">
        <v>9.2027809999999999</v>
      </c>
      <c r="DM10" s="15">
        <v>8.8888259999999999</v>
      </c>
      <c r="DN10" s="15">
        <v>7.9203239999999999</v>
      </c>
      <c r="DO10" s="15">
        <v>9.8942650000000008</v>
      </c>
      <c r="DP10" s="15">
        <v>9.5075260000000004</v>
      </c>
      <c r="DQ10" s="15">
        <v>10.10239</v>
      </c>
      <c r="DX10" s="15">
        <v>11.467889908256883</v>
      </c>
      <c r="DZ10" s="15">
        <v>9.225092250922506</v>
      </c>
      <c r="ED10" s="15">
        <v>8.8339222614840995</v>
      </c>
    </row>
    <row r="11" spans="1:136" s="15" customFormat="1" x14ac:dyDescent="0.35">
      <c r="A11" s="15">
        <f>250/(147.11-109.41)</f>
        <v>6.6312997347480076</v>
      </c>
      <c r="B11" s="15">
        <f>250/22.03</f>
        <v>11.348161597821152</v>
      </c>
      <c r="C11" s="15">
        <f>250/13.51</f>
        <v>18.50481125092524</v>
      </c>
      <c r="D11" s="15">
        <f>250/16.95</f>
        <v>14.749262536873157</v>
      </c>
      <c r="E11" s="15">
        <f>250/16.93</f>
        <v>14.766686355581808</v>
      </c>
      <c r="F11" s="15">
        <f>250/18.63</f>
        <v>13.419216317767043</v>
      </c>
      <c r="G11" s="64">
        <v>9.5500000000000007</v>
      </c>
      <c r="J11" s="64">
        <f>250/44.7</f>
        <v>5.592841163310962</v>
      </c>
      <c r="L11" s="64">
        <f>250/45.63</f>
        <v>5.4788516326977863</v>
      </c>
      <c r="M11" s="66">
        <v>5.0999999999999996</v>
      </c>
      <c r="N11" s="66" t="s">
        <v>76</v>
      </c>
      <c r="O11" s="66"/>
      <c r="P11" s="66">
        <v>9.5605789314044003</v>
      </c>
      <c r="Q11" s="66"/>
      <c r="R11" s="66"/>
      <c r="S11" s="66"/>
      <c r="T11" s="66"/>
      <c r="U11" s="66">
        <v>9.7593987539174041</v>
      </c>
      <c r="V11" s="66"/>
      <c r="W11" s="66">
        <v>9.0763240114179027</v>
      </c>
      <c r="X11" s="66"/>
      <c r="Y11" s="66">
        <v>8.8373274606397967</v>
      </c>
      <c r="Z11" s="66">
        <v>8.6014390680725921</v>
      </c>
      <c r="AA11" s="66"/>
      <c r="AB11" s="66"/>
      <c r="AC11" s="66"/>
      <c r="AD11" s="66">
        <v>9.5460252937489933</v>
      </c>
      <c r="BF11" s="15">
        <v>9.7276264591439681</v>
      </c>
      <c r="BJ11" s="15">
        <v>8.8183421516754876</v>
      </c>
      <c r="BM11" s="15">
        <v>8.3209419140104686</v>
      </c>
      <c r="BO11" s="15">
        <v>8.5306627981288763</v>
      </c>
      <c r="BP11" s="15">
        <v>6.4600522847215398</v>
      </c>
      <c r="BQ11" s="15">
        <v>8.4194526029713117</v>
      </c>
      <c r="BR11" s="15">
        <v>9.1814169163107948</v>
      </c>
      <c r="BS11" s="15">
        <v>8.6587864415605011</v>
      </c>
      <c r="BT11" s="15">
        <v>5.6764818388250564</v>
      </c>
      <c r="BU11" s="15">
        <v>8.5474239247824162</v>
      </c>
      <c r="BV11" s="15">
        <v>9.618644659977079</v>
      </c>
      <c r="BW11" s="15">
        <v>8.9285714285714288</v>
      </c>
      <c r="BY11" s="15">
        <v>8.2880136233794772</v>
      </c>
      <c r="BZ11" s="15">
        <v>7.5029978244680979</v>
      </c>
      <c r="CB11" s="15">
        <v>8.6430294489956765</v>
      </c>
      <c r="CE11" s="15">
        <v>7.0694188446851296</v>
      </c>
      <c r="CF11" s="15">
        <v>4.3113080257055367</v>
      </c>
      <c r="CG11" s="15">
        <v>9.5460252937489933</v>
      </c>
      <c r="CH11" s="15">
        <v>9.6734056162499691</v>
      </c>
      <c r="CI11" s="15">
        <v>9.2541862137451609</v>
      </c>
      <c r="CJ11" s="15">
        <v>8.803499080902295</v>
      </c>
      <c r="CK11" s="66">
        <v>8.4979495177034607</v>
      </c>
      <c r="CM11" s="15">
        <v>10.474585175780396</v>
      </c>
      <c r="CN11" s="15">
        <v>9.0599316528594898</v>
      </c>
      <c r="CQ11" s="15">
        <v>8.9784967017109913</v>
      </c>
      <c r="CR11" s="15">
        <v>9.3473946103097383</v>
      </c>
      <c r="CS11" s="15">
        <v>8.8242605021128533</v>
      </c>
      <c r="CU11" s="15">
        <v>8.3389157896341324</v>
      </c>
      <c r="CX11" s="15">
        <v>9.0984352181478805</v>
      </c>
      <c r="CY11" s="15">
        <v>8.5616501114553891</v>
      </c>
      <c r="CZ11" s="15">
        <v>8.1540595518376406</v>
      </c>
      <c r="DA11" s="15">
        <v>8.9585398053596759</v>
      </c>
      <c r="DB11" s="15">
        <v>9.4610843937299265</v>
      </c>
      <c r="DC11" s="15">
        <v>8.5925767751371929</v>
      </c>
      <c r="DD11" s="15">
        <v>9.1474322096039558</v>
      </c>
      <c r="DG11" s="15">
        <v>7.0426027872836414</v>
      </c>
      <c r="DH11" s="15">
        <v>10.504200000000001</v>
      </c>
      <c r="DJ11" s="15">
        <v>8.7536319999999996</v>
      </c>
      <c r="DK11" s="15">
        <v>8.0815169999999998</v>
      </c>
      <c r="DL11" s="15">
        <v>9.1973579999999995</v>
      </c>
      <c r="DM11" s="15">
        <v>9.4409419999999997</v>
      </c>
      <c r="DN11" s="15">
        <v>7.9357670000000002</v>
      </c>
      <c r="DO11" s="15">
        <v>8.5741200000000006</v>
      </c>
      <c r="DP11" s="15">
        <v>9.7140050000000002</v>
      </c>
      <c r="DQ11" s="15">
        <v>10.493460000000001</v>
      </c>
      <c r="DX11" s="15">
        <v>11.160714285714283</v>
      </c>
      <c r="ED11" s="15">
        <v>9.615384615384615</v>
      </c>
    </row>
    <row r="12" spans="1:136" s="15" customFormat="1" x14ac:dyDescent="0.35">
      <c r="A12" s="15">
        <f>(250/(137.5-107.94))</f>
        <v>8.457374830852503</v>
      </c>
      <c r="B12" s="15">
        <f>250/16.4</f>
        <v>15.243902439024392</v>
      </c>
      <c r="C12" s="15">
        <f>250/14.7</f>
        <v>17.006802721088437</v>
      </c>
      <c r="D12" s="15">
        <f>250/16.95</f>
        <v>14.749262536873157</v>
      </c>
      <c r="E12" s="15">
        <f>250/18.29</f>
        <v>13.66867140513942</v>
      </c>
      <c r="F12" s="15">
        <f>250/18.86</f>
        <v>13.255567338282079</v>
      </c>
      <c r="G12" s="64">
        <v>8.18</v>
      </c>
      <c r="J12" s="64">
        <f>250/32.44</f>
        <v>7.7065351418002468</v>
      </c>
      <c r="L12" s="65">
        <f>250/46.62</f>
        <v>5.3625053625053631</v>
      </c>
      <c r="M12" s="66">
        <v>6</v>
      </c>
      <c r="N12" s="66" t="s">
        <v>76</v>
      </c>
      <c r="O12" s="66"/>
      <c r="P12" s="66">
        <v>9.6264921062764728</v>
      </c>
      <c r="Q12" s="66"/>
      <c r="R12" s="66"/>
      <c r="S12" s="66"/>
      <c r="T12" s="66"/>
      <c r="U12" s="66">
        <v>10.297307172110987</v>
      </c>
      <c r="V12" s="66"/>
      <c r="W12" s="66">
        <v>8.8089718914345099</v>
      </c>
      <c r="X12" s="66"/>
      <c r="Y12" s="66">
        <v>8.8081679926258012</v>
      </c>
      <c r="Z12" s="66">
        <v>8.1949649561631901</v>
      </c>
      <c r="AA12" s="66"/>
      <c r="AB12" s="66"/>
      <c r="AC12" s="66"/>
      <c r="AD12" s="66">
        <v>9.1371373311877999</v>
      </c>
      <c r="BF12" s="15">
        <v>9.3808630393996228</v>
      </c>
      <c r="BM12" s="15">
        <v>8.6661620166774824</v>
      </c>
      <c r="BO12" s="15">
        <v>9.2813674053087514</v>
      </c>
      <c r="BP12" s="15">
        <v>6.4880146270807195</v>
      </c>
      <c r="BQ12" s="15">
        <v>9.040638050757412</v>
      </c>
      <c r="BR12" s="15">
        <v>8.7714840570272372</v>
      </c>
      <c r="BS12" s="15">
        <v>8.8863180395997077</v>
      </c>
      <c r="BT12" s="15">
        <v>6.9524853801169595</v>
      </c>
      <c r="BU12" s="15">
        <v>8.5722131002041344</v>
      </c>
      <c r="BV12" s="15">
        <v>9.3443502079070715</v>
      </c>
      <c r="BW12" s="15">
        <v>8.2038646927181951</v>
      </c>
      <c r="BZ12" s="15">
        <v>7.2998301324199808</v>
      </c>
      <c r="CB12" s="15">
        <v>8.8045634920634903</v>
      </c>
      <c r="CE12" s="15">
        <v>7.1906025436008072</v>
      </c>
      <c r="CF12" s="15">
        <v>4.0436247852174283</v>
      </c>
      <c r="CG12" s="15">
        <v>9.1371373311877999</v>
      </c>
      <c r="CH12" s="15">
        <v>9.7913119306554979</v>
      </c>
      <c r="CI12" s="15">
        <v>9.3478845824553325</v>
      </c>
      <c r="CJ12" s="15">
        <v>9.3384440460661722</v>
      </c>
      <c r="CM12" s="15">
        <v>9.1077400860009554</v>
      </c>
      <c r="CN12" s="15">
        <v>9.0856073436089382</v>
      </c>
      <c r="CR12" s="15">
        <v>9.3935317566520666</v>
      </c>
      <c r="CU12" s="15">
        <v>8.9191288617155102</v>
      </c>
      <c r="CY12" s="15">
        <v>8.2363396500419714</v>
      </c>
      <c r="CZ12" s="15">
        <v>8.3991990958831853</v>
      </c>
      <c r="DA12" s="15">
        <v>8.7213630524483108</v>
      </c>
      <c r="DB12" s="15">
        <v>9.1782120581590902</v>
      </c>
      <c r="DC12" s="15">
        <v>8.8168581034230478</v>
      </c>
      <c r="DH12" s="15">
        <v>9.5238099999999992</v>
      </c>
      <c r="DJ12" s="15">
        <v>8.7397650000000002</v>
      </c>
      <c r="DK12" s="15">
        <v>8.2234099999999994</v>
      </c>
      <c r="DL12" s="15">
        <v>9.4255560000000003</v>
      </c>
      <c r="DM12" s="15">
        <v>9.3846240000000005</v>
      </c>
      <c r="DN12" s="15">
        <v>8.3526600000000002</v>
      </c>
      <c r="DO12" s="15">
        <v>8.4134869999999999</v>
      </c>
      <c r="DP12" s="15">
        <v>9.7640139999999995</v>
      </c>
      <c r="DX12" s="15">
        <v>11.160714285714283</v>
      </c>
      <c r="ED12" s="15">
        <v>10.224948875255622</v>
      </c>
    </row>
    <row r="13" spans="1:136" s="15" customFormat="1" x14ac:dyDescent="0.35">
      <c r="A13" s="15">
        <f>250/26.5</f>
        <v>9.433962264150944</v>
      </c>
      <c r="B13" s="15">
        <f>250/15.13</f>
        <v>16.523463317911432</v>
      </c>
      <c r="C13" s="15">
        <f>250/14.34</f>
        <v>17.433751743375176</v>
      </c>
      <c r="D13" s="15">
        <f>250/16.4</f>
        <v>15.243902439024392</v>
      </c>
      <c r="E13" s="15">
        <f>250/20.54</f>
        <v>12.171372930866601</v>
      </c>
      <c r="F13" s="15">
        <f>250/19.16</f>
        <v>13.048016701461378</v>
      </c>
      <c r="G13" s="64">
        <v>8.89</v>
      </c>
      <c r="J13" s="64">
        <f>250/50.61</f>
        <v>4.9397352301916619</v>
      </c>
      <c r="L13" s="65">
        <f>250/54.32</f>
        <v>4.6023564064801175</v>
      </c>
      <c r="M13" s="66"/>
      <c r="N13" s="66" t="s">
        <v>76</v>
      </c>
      <c r="O13" s="66"/>
      <c r="P13" s="66"/>
      <c r="Q13" s="66"/>
      <c r="R13" s="66"/>
      <c r="S13" s="66"/>
      <c r="T13" s="66"/>
      <c r="U13" s="66">
        <v>9.3576241689050192</v>
      </c>
      <c r="V13" s="66"/>
      <c r="W13" s="66">
        <v>8.9091443582780805</v>
      </c>
      <c r="X13" s="66"/>
      <c r="Y13" s="66">
        <v>8.71297146483845</v>
      </c>
      <c r="Z13" s="66"/>
      <c r="AA13" s="66"/>
      <c r="AB13" s="66"/>
      <c r="AC13" s="66"/>
      <c r="AD13" s="66">
        <v>8.9624974664388901</v>
      </c>
      <c r="BM13" s="15">
        <v>8.9859518811561436</v>
      </c>
      <c r="BO13" s="15">
        <v>8.9839642967600728</v>
      </c>
      <c r="BP13" s="15">
        <v>6.6952329941081947</v>
      </c>
      <c r="BQ13" s="15">
        <v>9.2713321494313696</v>
      </c>
      <c r="BR13" s="15">
        <v>8.3830561606715897</v>
      </c>
      <c r="BS13" s="15">
        <v>8.7427814929027647</v>
      </c>
      <c r="BT13" s="15">
        <v>7.0092806563280146</v>
      </c>
      <c r="BU13" s="15">
        <v>8.4291571191688739</v>
      </c>
      <c r="BV13" s="15">
        <v>9.3392777148277961</v>
      </c>
      <c r="BW13" s="15">
        <v>9.5245848257896437</v>
      </c>
      <c r="CB13" s="15">
        <v>8.7134678389690485</v>
      </c>
      <c r="CE13" s="15">
        <v>7.3136505108168937</v>
      </c>
      <c r="CF13" s="15">
        <v>4.3756338606299625</v>
      </c>
      <c r="CG13" s="15">
        <v>8.9624974664388901</v>
      </c>
      <c r="CH13" s="15">
        <v>10.951308667640092</v>
      </c>
      <c r="CI13" s="15">
        <v>9.250235103017868</v>
      </c>
      <c r="CJ13" s="15">
        <v>9.250235103017868</v>
      </c>
      <c r="CM13" s="15">
        <v>9.2044707429322834</v>
      </c>
      <c r="CN13" s="15">
        <v>9.1658721795708082</v>
      </c>
      <c r="CU13" s="15">
        <v>8.0781392306148661</v>
      </c>
      <c r="CZ13" s="15">
        <v>8.8007347495974404</v>
      </c>
      <c r="DB13" s="15">
        <v>9.6878362953582666</v>
      </c>
      <c r="DH13" s="15">
        <v>9.8814229999999998</v>
      </c>
      <c r="DJ13" s="15">
        <v>8.8706619999999994</v>
      </c>
      <c r="DK13" s="15">
        <v>8.5957070000000009</v>
      </c>
      <c r="DL13" s="15">
        <v>9.8241130000000005</v>
      </c>
      <c r="DM13" s="15">
        <v>9.9159880000000005</v>
      </c>
      <c r="DN13" s="15">
        <v>7.9334930000000004</v>
      </c>
      <c r="DO13" s="15">
        <v>8.7679159999999996</v>
      </c>
      <c r="DP13" s="15">
        <v>9.4559110000000004</v>
      </c>
    </row>
    <row r="14" spans="1:136" s="15" customFormat="1" x14ac:dyDescent="0.35">
      <c r="A14" s="15">
        <f>250/35.36</f>
        <v>7.0701357466063346</v>
      </c>
      <c r="B14" s="15">
        <f>250/17.35</f>
        <v>14.40922190201729</v>
      </c>
      <c r="C14" s="15">
        <f>250/13.15</f>
        <v>19.011406844106464</v>
      </c>
      <c r="D14" s="15">
        <f>250/19.54</f>
        <v>12.7942681678608</v>
      </c>
      <c r="E14" s="15">
        <f>250/18.51</f>
        <v>13.50621285791464</v>
      </c>
      <c r="F14" s="15">
        <f>250/20.7</f>
        <v>12.077294685990339</v>
      </c>
      <c r="G14" s="64">
        <v>7.16</v>
      </c>
      <c r="J14" s="64">
        <f>250/48.98</f>
        <v>5.1041241322988977</v>
      </c>
      <c r="L14" s="65">
        <f>250/39.65</f>
        <v>6.3051702395964693</v>
      </c>
      <c r="M14" s="66"/>
      <c r="N14" s="66" t="s">
        <v>76</v>
      </c>
      <c r="O14" s="66"/>
      <c r="P14" s="66"/>
      <c r="Q14" s="66"/>
      <c r="R14" s="66"/>
      <c r="S14" s="66"/>
      <c r="T14" s="66"/>
      <c r="U14" s="66"/>
      <c r="V14" s="66"/>
      <c r="W14" s="66">
        <v>8.8602801187889835</v>
      </c>
      <c r="X14" s="66"/>
      <c r="Y14" s="66">
        <v>8.8099960669334294</v>
      </c>
      <c r="Z14" s="66"/>
      <c r="AA14" s="66"/>
      <c r="AB14" s="66"/>
      <c r="AC14" s="66"/>
      <c r="AD14" s="66">
        <v>9.0053596546107997</v>
      </c>
      <c r="BM14" s="15">
        <v>9.15005759597096</v>
      </c>
      <c r="BO14" s="15">
        <v>9.2236110188742586</v>
      </c>
      <c r="BP14" s="15">
        <v>5.9750007396063189</v>
      </c>
      <c r="BQ14" s="15">
        <v>9.2329870898817159</v>
      </c>
      <c r="BR14" s="15">
        <v>8.0563529215490011</v>
      </c>
      <c r="BS14" s="15">
        <v>8.9833740085417979</v>
      </c>
      <c r="BU14" s="15">
        <v>8.3983620747053713</v>
      </c>
      <c r="BV14" s="15">
        <v>8.9388504414411187</v>
      </c>
      <c r="BW14" s="15">
        <v>8.9403275084050229</v>
      </c>
      <c r="CE14" s="15">
        <v>7.2984540044508055</v>
      </c>
      <c r="CF14" s="15">
        <v>4.3660397917875144</v>
      </c>
      <c r="CG14" s="15">
        <v>9.0053596546107997</v>
      </c>
      <c r="CH14" s="15">
        <v>11.329337338160402</v>
      </c>
      <c r="DB14" s="15">
        <v>9.305103927825165</v>
      </c>
      <c r="DJ14" s="15">
        <v>8.5243230000000008</v>
      </c>
      <c r="DL14" s="15">
        <v>9.0269569999999995</v>
      </c>
      <c r="DM14" s="15">
        <v>8.6628410000000002</v>
      </c>
      <c r="DN14" s="15">
        <v>8.0563760000000002</v>
      </c>
      <c r="DO14" s="15">
        <v>9.0831</v>
      </c>
      <c r="DP14" s="15">
        <v>9.5932080000000006</v>
      </c>
    </row>
    <row r="15" spans="1:136" s="15" customFormat="1" x14ac:dyDescent="0.35">
      <c r="A15" s="15">
        <f>250/32.54</f>
        <v>7.6828518746158574</v>
      </c>
      <c r="D15" s="15">
        <f>250/16.71</f>
        <v>14.961101137043686</v>
      </c>
      <c r="E15" s="15">
        <f>250/17.36</f>
        <v>14.400921658986176</v>
      </c>
      <c r="F15" s="15">
        <f>250/14.29</f>
        <v>17.494751574527644</v>
      </c>
      <c r="G15" s="64">
        <v>8.69</v>
      </c>
      <c r="J15" s="64">
        <f>250/47.75</f>
        <v>5.2356020942408374</v>
      </c>
      <c r="L15" s="64">
        <f>100/(60.89-49.13)</f>
        <v>8.5034013605442187</v>
      </c>
      <c r="M15" s="66"/>
      <c r="N15" s="66" t="s">
        <v>76</v>
      </c>
      <c r="O15" s="66"/>
      <c r="P15" s="66"/>
      <c r="Q15" s="66"/>
      <c r="R15" s="66"/>
      <c r="S15" s="66"/>
      <c r="T15" s="66"/>
      <c r="U15" s="66"/>
      <c r="V15" s="66"/>
      <c r="W15" s="66">
        <v>9.128273235935076</v>
      </c>
      <c r="X15" s="66"/>
      <c r="Y15" s="66">
        <v>8.6070095382744878</v>
      </c>
      <c r="Z15" s="66"/>
      <c r="AA15" s="66"/>
      <c r="AB15" s="66"/>
      <c r="AC15" s="66"/>
      <c r="AD15" s="66">
        <v>8.7228797183667481</v>
      </c>
      <c r="BO15" s="15">
        <v>9.2099990101399136</v>
      </c>
      <c r="BP15" s="15">
        <v>6.8159176611744776</v>
      </c>
      <c r="BQ15" s="15">
        <v>9.1233668246922317</v>
      </c>
      <c r="BW15" s="15">
        <v>8.803799273376562</v>
      </c>
      <c r="CE15" s="15">
        <v>7.3047882314591597</v>
      </c>
      <c r="CG15" s="15">
        <v>8.7228797183667481</v>
      </c>
      <c r="CH15" s="15">
        <v>11.392275158678107</v>
      </c>
      <c r="DB15" s="15">
        <v>9.0107846678254546</v>
      </c>
      <c r="DO15" s="15">
        <v>8.9636510000000005</v>
      </c>
    </row>
    <row r="16" spans="1:136" s="15" customFormat="1" x14ac:dyDescent="0.35">
      <c r="G16" s="64">
        <v>7.97</v>
      </c>
      <c r="J16" s="15">
        <f>100/(72.21-49.13)</f>
        <v>4.332755632582324</v>
      </c>
      <c r="L16" s="64">
        <f>100/(59.05-49.13)</f>
        <v>10.080645161290327</v>
      </c>
      <c r="M16" s="66"/>
      <c r="N16" s="66" t="s">
        <v>76</v>
      </c>
      <c r="O16" s="66"/>
      <c r="P16" s="66"/>
      <c r="Q16" s="66"/>
      <c r="R16" s="66"/>
      <c r="S16" s="66"/>
      <c r="T16" s="66"/>
      <c r="U16" s="66"/>
      <c r="V16" s="66"/>
      <c r="W16" s="66">
        <v>8.7557512528525283</v>
      </c>
      <c r="X16" s="66"/>
      <c r="Y16" s="66"/>
      <c r="Z16" s="66"/>
      <c r="AA16" s="66"/>
      <c r="AB16" s="66"/>
      <c r="AC16" s="66"/>
      <c r="AD16" s="66"/>
      <c r="BO16" s="15">
        <v>9.204186176274284</v>
      </c>
      <c r="BP16" s="15">
        <v>6.9743522408963612</v>
      </c>
      <c r="BQ16" s="15">
        <v>9.0727255753162517</v>
      </c>
      <c r="DB16" s="15">
        <v>8.8861648275819647</v>
      </c>
      <c r="DO16" s="15">
        <v>9.2142560000000007</v>
      </c>
    </row>
    <row r="17" spans="10:69" s="15" customFormat="1" x14ac:dyDescent="0.35">
      <c r="J17" s="15">
        <f>100/(68.31-49.13)</f>
        <v>5.2137643378519289</v>
      </c>
      <c r="L17" s="64">
        <f>100/(59.92-49.13)</f>
        <v>9.2678405931417984</v>
      </c>
      <c r="M17" s="66"/>
      <c r="N17" s="66" t="s">
        <v>76</v>
      </c>
      <c r="O17" s="66"/>
      <c r="P17" s="66"/>
      <c r="Q17" s="66"/>
      <c r="R17" s="66"/>
      <c r="S17" s="66"/>
      <c r="T17" s="66"/>
      <c r="U17" s="66"/>
      <c r="V17" s="66"/>
      <c r="W17" s="66">
        <v>9.0812016039176378</v>
      </c>
      <c r="X17" s="66"/>
      <c r="Y17" s="66"/>
      <c r="Z17" s="66"/>
      <c r="AA17" s="66"/>
      <c r="AB17" s="66"/>
      <c r="AC17" s="66"/>
      <c r="AD17" s="66"/>
      <c r="BQ17" s="15">
        <v>10.288065843621407</v>
      </c>
    </row>
    <row r="18" spans="10:69" s="15" customFormat="1" x14ac:dyDescent="0.35">
      <c r="J18" s="15">
        <f>100/(67.8-49.13)</f>
        <v>5.3561863952865574</v>
      </c>
      <c r="M18" s="66"/>
      <c r="N18" s="66" t="s">
        <v>76</v>
      </c>
      <c r="O18" s="66"/>
      <c r="P18" s="66"/>
      <c r="Q18" s="66"/>
      <c r="R18" s="66"/>
      <c r="S18" s="66"/>
      <c r="T18" s="66"/>
      <c r="U18" s="66"/>
      <c r="V18" s="66"/>
      <c r="W18" s="66">
        <v>9.1746991985374287</v>
      </c>
      <c r="X18" s="66"/>
      <c r="Y18" s="66"/>
      <c r="Z18" s="66"/>
      <c r="AA18" s="66"/>
      <c r="AB18" s="66"/>
      <c r="AC18" s="66"/>
      <c r="AD18" s="66"/>
      <c r="BQ18" s="15">
        <v>12.160966503272546</v>
      </c>
    </row>
    <row r="19" spans="10:69" s="15" customFormat="1" x14ac:dyDescent="0.35">
      <c r="M19" s="66"/>
      <c r="N19" s="66"/>
      <c r="O19" s="66"/>
      <c r="P19" s="66"/>
      <c r="Q19" s="66"/>
      <c r="R19" s="66"/>
      <c r="S19" s="66"/>
      <c r="T19" s="66"/>
      <c r="U19" s="66"/>
      <c r="V19" s="66"/>
      <c r="W19" s="66">
        <v>10.070854612957767</v>
      </c>
      <c r="X19" s="66"/>
      <c r="Y19" s="66"/>
      <c r="Z19" s="66"/>
      <c r="AA19" s="66"/>
      <c r="AB19" s="66"/>
      <c r="AC19" s="66"/>
      <c r="AD19" s="66"/>
      <c r="BQ19" s="15">
        <v>13.382898621380789</v>
      </c>
    </row>
    <row r="20" spans="10:69" s="15" customFormat="1" x14ac:dyDescent="0.35">
      <c r="M20" s="66"/>
      <c r="N20" s="66"/>
      <c r="O20" s="66"/>
      <c r="P20" s="66"/>
      <c r="Q20" s="66"/>
      <c r="R20" s="66"/>
      <c r="S20" s="66"/>
      <c r="T20" s="66"/>
      <c r="U20" s="66"/>
      <c r="V20" s="66"/>
      <c r="W20" s="66">
        <v>9.1240237093570613</v>
      </c>
      <c r="X20" s="66"/>
      <c r="Y20" s="66"/>
      <c r="Z20" s="66"/>
      <c r="AA20" s="66"/>
      <c r="AB20" s="66"/>
      <c r="AC20" s="66"/>
      <c r="AD20" s="66"/>
    </row>
    <row r="21" spans="10:69" s="15" customFormat="1" x14ac:dyDescent="0.35">
      <c r="M21" s="66"/>
      <c r="N21" s="66"/>
      <c r="O21" s="66"/>
      <c r="P21" s="66"/>
      <c r="Q21" s="66"/>
      <c r="R21" s="66"/>
      <c r="S21" s="66"/>
      <c r="T21" s="66"/>
      <c r="U21" s="66"/>
      <c r="V21" s="66"/>
      <c r="W21" s="66">
        <v>8.6458213754713036</v>
      </c>
      <c r="X21" s="66"/>
      <c r="Y21" s="66"/>
      <c r="Z21" s="66"/>
      <c r="AA21" s="66"/>
      <c r="AB21" s="66"/>
      <c r="AC21" s="66"/>
      <c r="AD21" s="66"/>
    </row>
    <row r="22" spans="10:69" s="15" customFormat="1" x14ac:dyDescent="0.35">
      <c r="M22" s="66"/>
      <c r="N22" s="66"/>
      <c r="O22" s="66"/>
      <c r="P22" s="66"/>
      <c r="Q22" s="66"/>
      <c r="R22" s="66"/>
      <c r="S22" s="66"/>
      <c r="T22" s="66"/>
      <c r="U22" s="66"/>
      <c r="V22" s="66"/>
      <c r="W22" s="66"/>
      <c r="X22" s="66"/>
      <c r="Y22" s="66"/>
      <c r="Z22" s="66"/>
      <c r="AA22" s="66"/>
      <c r="AB22" s="66"/>
      <c r="AC22" s="66"/>
      <c r="AD22" s="66"/>
    </row>
    <row r="23" spans="10:69" s="15" customFormat="1" x14ac:dyDescent="0.35">
      <c r="M23" s="66"/>
      <c r="N23" s="66"/>
      <c r="O23" s="66"/>
      <c r="P23" s="66"/>
      <c r="Q23" s="66"/>
      <c r="R23" s="66"/>
      <c r="S23" s="66"/>
      <c r="T23" s="66"/>
      <c r="U23" s="66"/>
      <c r="V23" s="66"/>
      <c r="W23" s="66"/>
      <c r="X23" s="66"/>
      <c r="Y23" s="66"/>
      <c r="Z23" s="66"/>
      <c r="AA23" s="66"/>
      <c r="AB23" s="66"/>
      <c r="AC23" s="66"/>
      <c r="AD23" s="66"/>
    </row>
    <row r="24" spans="10:69" s="15" customFormat="1" x14ac:dyDescent="0.35">
      <c r="M24" s="66"/>
      <c r="N24" s="66"/>
      <c r="O24" s="66"/>
      <c r="P24" s="66"/>
      <c r="Q24" s="66"/>
      <c r="R24" s="66"/>
      <c r="S24" s="66"/>
      <c r="T24" s="66"/>
      <c r="U24" s="66"/>
      <c r="V24" s="66"/>
      <c r="W24" s="66"/>
      <c r="X24" s="66"/>
      <c r="Y24" s="66"/>
      <c r="Z24" s="66"/>
      <c r="AA24" s="66"/>
      <c r="AB24" s="66"/>
      <c r="AC24" s="66"/>
      <c r="AD24" s="66"/>
    </row>
    <row r="25" spans="10:69" s="15" customFormat="1" x14ac:dyDescent="0.35">
      <c r="M25" s="66"/>
      <c r="N25" s="66"/>
      <c r="O25" s="66"/>
      <c r="P25" s="66"/>
      <c r="Q25" s="66"/>
      <c r="R25" s="66"/>
      <c r="S25" s="66"/>
      <c r="T25" s="66"/>
      <c r="U25" s="66"/>
      <c r="V25" s="66"/>
      <c r="W25" s="66"/>
      <c r="X25" s="66"/>
      <c r="Y25" s="66"/>
      <c r="Z25" s="66"/>
      <c r="AA25" s="66"/>
      <c r="AB25" s="66"/>
      <c r="AC25" s="66"/>
      <c r="AD25" s="66"/>
    </row>
    <row r="26" spans="10:69" s="15" customFormat="1" x14ac:dyDescent="0.35">
      <c r="M26" s="66"/>
      <c r="N26" s="66"/>
      <c r="O26" s="66"/>
      <c r="P26" s="66"/>
      <c r="Q26" s="66"/>
      <c r="R26" s="66"/>
      <c r="S26" s="66"/>
      <c r="T26" s="66"/>
      <c r="U26" s="66"/>
      <c r="V26" s="66"/>
      <c r="W26" s="66"/>
      <c r="X26" s="66"/>
      <c r="Y26" s="66"/>
      <c r="Z26" s="66"/>
      <c r="AA26" s="66"/>
      <c r="AB26" s="66"/>
      <c r="AC26" s="66"/>
      <c r="AD26" s="66"/>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F21"/>
  <sheetViews>
    <sheetView topLeftCell="BV1" zoomScale="110" zoomScaleNormal="110" workbookViewId="0">
      <selection activeCell="CD4" sqref="CD4:CD10"/>
    </sheetView>
  </sheetViews>
  <sheetFormatPr defaultRowHeight="14.5" x14ac:dyDescent="0.35"/>
  <cols>
    <col min="110" max="110" width="14.08984375" customWidth="1"/>
  </cols>
  <sheetData>
    <row r="1" spans="1:136" x14ac:dyDescent="0.35">
      <c r="A1" t="s">
        <v>520</v>
      </c>
    </row>
    <row r="3" spans="1:136" s="1" customFormat="1" ht="87" x14ac:dyDescent="0.35">
      <c r="A3" s="1" t="str">
        <f>'Formulation Name Data'!A10&amp;"_T1"</f>
        <v>Buckeye 3%_3_T1</v>
      </c>
      <c r="B3" s="1" t="str">
        <f>'Formulation Name Data'!A4&amp;"_T1"</f>
        <v>Cap_TrX100_DGBE_0.3_0.2_0.5_T1</v>
      </c>
      <c r="C3" s="1" t="str">
        <f>'Formulation Name Data'!A13&amp;"_T1"</f>
        <v>Cap_TrX100_DGBE_0.6_0.2_0.5_T1</v>
      </c>
      <c r="D3" s="1" t="str">
        <f>'Formulation Name Data'!A14&amp;"_T1"</f>
        <v>Cap_TrX100_DGBE_0.6_0.4_0.5_T1</v>
      </c>
      <c r="E3" s="1" t="str">
        <f>'Formulation Name Data'!A15&amp;"_T1"</f>
        <v>Cap_TrX100_DGBE_1.2_0.8_0.5_T1</v>
      </c>
      <c r="F3" s="1" t="str">
        <f>'Formulation Name Data'!A16&amp;"_T1"</f>
        <v>Cap_TrX100_DGBE_0.3_0.2_1_T1</v>
      </c>
      <c r="G3" s="1" t="str">
        <f>'Formulation Name Data'!A8&amp;"_T1"</f>
        <v>Cap_G215_DGBE_0.3_0.2_0.5_T1</v>
      </c>
      <c r="H3" s="1" t="str">
        <f>'Formulation Name Data'!A119&amp;"_T1"</f>
        <v>Cap_TrGR-5M_DGBE_0.3_0.2_0.5_T1</v>
      </c>
      <c r="I3" s="1" t="str">
        <f>'Formulation Name Data'!A7&amp;"_T1"</f>
        <v>G215_DGBE_0.5_0.5_T1</v>
      </c>
      <c r="J3" s="1" t="str">
        <f>'Formulation Name Data'!A6&amp;"_T1"</f>
        <v>Cap_DGBE_0.5_0.5_T1</v>
      </c>
      <c r="K3" s="1" t="str">
        <f>'Formulation Name Data'!A5&amp;"_T1"</f>
        <v>TrX100_DGBE_0.5_0.5_T1</v>
      </c>
      <c r="L3" s="1" t="str">
        <f>'Formulation Name Data'!A74&amp;"_T1"</f>
        <v>Cap_DGBE_0.225_0.5_T1</v>
      </c>
      <c r="M3" s="1" t="str">
        <f>'Formulation Name Data'!A11&amp;"_T1"</f>
        <v>RF6_6_T1</v>
      </c>
      <c r="N3" s="1" t="str">
        <f>'Formulation Name Data'!A33&amp;"_T1"</f>
        <v>D502W_G215_DGBE_0.075_0.05_0.5_T1</v>
      </c>
      <c r="O3" s="1" t="str">
        <f>'Formulation Name Data'!A7&amp;"_T2"</f>
        <v>G215_DGBE_0.5_0.5_T2</v>
      </c>
      <c r="P3" s="1" t="str">
        <f>'Formulation Name Data'!A5&amp;"_T2"</f>
        <v>TrX100_DGBE_0.5_0.5_T2</v>
      </c>
      <c r="Q3" s="1" t="str">
        <f>'Formulation Name Data'!A72&amp;"_T1"</f>
        <v>D502W_DGBE_0.1_0.5_T1</v>
      </c>
      <c r="R3" s="1" t="str">
        <f>'Formulation Name Data'!A35&amp;"_T1"</f>
        <v>L77_G215_DGBE_0.11_0.08_0.5_T1</v>
      </c>
      <c r="S3" s="1" t="str">
        <f>'Formulation Name Data'!A83&amp;"_T1"</f>
        <v>D502W_TrX100_DGBE_0.1_0.08_0.5_T1</v>
      </c>
      <c r="T3" s="1" t="str">
        <f>'Formulation Name Data'!A36&amp;"_T1"</f>
        <v>D67_G215_DGBE_0.06_0.04_0.5_T1</v>
      </c>
      <c r="U3" s="1" t="str">
        <f>'Formulation Name Data'!A122&amp;"_T1"</f>
        <v>D502W_G215_DGBE_0.3_0.2_0.5_T1</v>
      </c>
      <c r="V3" s="1" t="str">
        <f>'Formulation Name Data'!A75&amp;"_T1"</f>
        <v>D193_G215_DGBE_0.3_0.2_0.5_T1</v>
      </c>
      <c r="W3" s="1" t="str">
        <f>'Formulation Name Data'!A84&amp;"_T1"</f>
        <v>D502W_G215_DGBE_0.05_0.075_0.5_T1</v>
      </c>
      <c r="X3" s="1" t="str">
        <f>'Formulation Name Data'!A45&amp;"_T1"</f>
        <v>Gel6185_G215_DGBE_0.06_0.04_0.5_T1</v>
      </c>
      <c r="Y3" s="1" t="str">
        <f>'Formulation Name Data'!A123&amp;"_T1"</f>
        <v>D502W_G225_DGBE_0.17_0.33_0.5_T1</v>
      </c>
      <c r="Z3" s="1" t="str">
        <f>'Formulation Name Data'!A124&amp;"_T1"</f>
        <v>D502W_G225_DGBE_0.12_0.38_0.5_T1</v>
      </c>
      <c r="AA3" s="1" t="str">
        <f>'Formulation Name Data'!A125&amp;"_T1"</f>
        <v>G225_DGBE_0.25_0.25_T1</v>
      </c>
      <c r="AB3" s="1" t="str">
        <f>'Formulation Name Data'!A112&amp;"_T1"</f>
        <v>G600_DGBE_0.5_0.5_T1</v>
      </c>
      <c r="AC3" s="1" t="str">
        <f>'Formulation Name Data'!A113&amp;"_T1"</f>
        <v>D502W_DGBE_0.5_0.5_T1</v>
      </c>
      <c r="AD3" s="1" t="str">
        <f>'Formulation Name Data'!A8&amp;"_T2"</f>
        <v>Cap_G215_DGBE_0.3_0.2_0.5_T2</v>
      </c>
      <c r="AE3" s="1" t="str">
        <f>'Formulation Name Data'!A126&amp;"_T1"</f>
        <v>D5575_0.225_T1</v>
      </c>
      <c r="AF3" s="1" t="str">
        <f>'Formulation Name Data'!A29&amp;"_T1"</f>
        <v>D5575_G215_DGBE_0.3_0.2_0.5_T1</v>
      </c>
      <c r="AG3" s="1" t="str">
        <f>'Formulation Name Data'!A127&amp;"_T1"</f>
        <v>D5244_0.225_T1</v>
      </c>
      <c r="AH3" s="1" t="str">
        <f>'Formulation Name Data'!A30&amp;"_T1"</f>
        <v>D5244_G215_DGBE_0.3_0.2_0.5_T1</v>
      </c>
      <c r="AI3" s="1" t="str">
        <f>'Formulation Name Data'!A128&amp;"_T1"</f>
        <v>D193_0.225_T1</v>
      </c>
      <c r="AJ3" s="1" t="str">
        <f>'Formulation Name Data'!A75&amp;"_T1"</f>
        <v>D193_G215_DGBE_0.3_0.2_0.5_T1</v>
      </c>
      <c r="AK3" s="1" t="str">
        <f>'Formulation Name Data'!A129&amp;"_T1"</f>
        <v>D501W_0.05_T1</v>
      </c>
      <c r="AL3" s="1" t="str">
        <f>'Formulation Name Data'!A32&amp;"_T1"</f>
        <v>D501W_G215_DGBE_0.04_0.027_0.5_T1</v>
      </c>
      <c r="AM3" s="1" t="str">
        <f>'Formulation Name Data'!A130&amp;"_T1"</f>
        <v>D198_0.5_T1</v>
      </c>
      <c r="AN3" s="1" t="str">
        <f>'Formulation Name Data'!A131&amp;"_T1"</f>
        <v>D198_G215_DGBE_0.3_0.2_0.5_T1</v>
      </c>
      <c r="AO3" s="1" t="str">
        <f>'Formulation Name Data'!A132&amp;"_T1"</f>
        <v>D5604_0.24_T1</v>
      </c>
      <c r="AP3" s="1" t="str">
        <f>'Formulation Name Data'!A133&amp;"_T1"</f>
        <v>D5604_G215_DGBE_0.3_0.2_0.5_T1</v>
      </c>
      <c r="AQ3" s="1" t="str">
        <f>'Formulation Name Data'!A77&amp;"_T1"</f>
        <v>D502W_0.1_T1</v>
      </c>
      <c r="AR3" s="1" t="str">
        <f>'Formulation Name Data'!A134&amp;"_T1"</f>
        <v>D5098_0.1_T1</v>
      </c>
      <c r="AS3" s="1" t="str">
        <f>'Formulation Name Data'!A34&amp;"_T1"</f>
        <v>D5098_G215_DGBE_0.14_0.09_0.5_T1</v>
      </c>
      <c r="AT3" s="1" t="str">
        <f>'Formulation Name Data'!A80&amp;"_T1"</f>
        <v>AlphaFoam_1.3_T1</v>
      </c>
      <c r="AU3" s="1" t="str">
        <f>'Formulation Name Data'!A135&amp;"_T1"</f>
        <v>AlphaFoam_G215_DGBE_1.3_0.2_0.5_T1</v>
      </c>
      <c r="AV3" s="1" t="str">
        <f>'Formulation Name Data'!A79&amp;"_T1"</f>
        <v>TMN6_0.4_T1</v>
      </c>
      <c r="AW3" s="1" t="str">
        <f>'Formulation Name Data'!A19&amp;"_T1"</f>
        <v>TMN6_G215_DGBE_0.3_0.2_0.5_T1</v>
      </c>
      <c r="AX3" s="1" t="str">
        <f>'Formulation Name Data'!A78&amp;"_T1"</f>
        <v>T15-S-7_0.05_T1</v>
      </c>
      <c r="AY3" s="1" t="str">
        <f>'Formulation Name Data'!A20&amp;"_T1"</f>
        <v>T15-S-7_G215_DGBE_0.03_0.02_0.5_T1</v>
      </c>
      <c r="AZ3" s="1" t="str">
        <f>'Formulation Name Data'!A82&amp;"_T1"</f>
        <v>Silsurf_0.014_T1</v>
      </c>
      <c r="BA3" s="1" t="str">
        <f>'Formulation Name Data'!A136&amp;"_T1"</f>
        <v>Silsurf_0.14_T1</v>
      </c>
      <c r="BB3" s="1" t="str">
        <f>'Formulation Name Data'!A17&amp;"_T1"</f>
        <v>Silsurf_G215_DGBE_0.14_0.09_0.5_T1</v>
      </c>
      <c r="BC3" s="1" t="str">
        <f>'Formulation Name Data'!A81&amp;"_T1"</f>
        <v>Silphos_0.3_T1</v>
      </c>
      <c r="BD3" s="1" t="str">
        <f>'Formulation Name Data'!A18&amp;"_T1"</f>
        <v>Silphos_G215_DGBE_0.3_0.2_0.5_T1</v>
      </c>
      <c r="BE3" s="1" t="str">
        <f>'Formulation Name Data'!A156&amp;"_T1"</f>
        <v>NRL_N10477-189_G225_DGBE_0.05_0.3_0.5_T1</v>
      </c>
      <c r="BF3" s="1" t="str">
        <f>'Formulation Name Data'!A155&amp;"_T1"</f>
        <v>NRL_N10478-198_G225_DGBE_0.065_0.3_0.5_T1</v>
      </c>
      <c r="BG3" s="1" t="str">
        <f>'Formulation Name Data'!A157&amp;"_T1"</f>
        <v>NRL_N10478-81_G225_DGBE_0.116_0.3_0.5_T1</v>
      </c>
      <c r="BH3" s="1" t="str">
        <f>'Formulation Name Data'!A138&amp;"_T1"</f>
        <v>CL_MD2086-97_G225_DGBE_0.34_0.56_0.5_T1</v>
      </c>
      <c r="BI3" s="1" t="str">
        <f>'Formulation Name Data'!A158&amp;"_T1"</f>
        <v>CL_MD2102-54_G225_DGBE_0.2_0.3_0.5_T1</v>
      </c>
      <c r="BJ3" s="1" t="str">
        <f>'Formulation Name Data'!A160&amp;"_T1"</f>
        <v>D502W_CL_C8G3_DGBE_0.2_0.19_0.5_T1</v>
      </c>
      <c r="BK3" s="1" t="str">
        <f>'Formulation Name Data'!A161&amp;"_T1"</f>
        <v>D502W_C10G3_DGBE_0.2_0.21_0.5_T1</v>
      </c>
      <c r="BL3" s="1" t="str">
        <f>'Formulation Name Data'!A162&amp;"_T1"</f>
        <v>D502W_C12G3_DGBE_0.2_0.21_0.5_T1</v>
      </c>
      <c r="BM3" s="1" t="str">
        <f>'Formulation Name Data'!A38&amp;"_T1"</f>
        <v>D502W_G225_0.2_0.3_T1</v>
      </c>
      <c r="BN3" s="1" t="str">
        <f>'Formulation Name Data'!A165&amp;"_T1"</f>
        <v>NRL_N10478-40_G225_DGBE_0.2_0.3_0.5_T1</v>
      </c>
      <c r="BO3" s="1" t="str">
        <f>'Formulation Name Data'!A167&amp;"_T1"</f>
        <v>Ecoguard CF3F_T1</v>
      </c>
      <c r="BP3" s="1" t="str">
        <f>'Formulation Name Data'!A67&amp;"_T1"</f>
        <v>FomtecEnviroUSP 3%_T1</v>
      </c>
      <c r="BQ3" s="1" t="str">
        <f>'Formulation Name Data'!A8&amp;"_T3"</f>
        <v>Cap_G215_DGBE_0.3_0.2_0.5_T3</v>
      </c>
      <c r="BR3" s="1" t="str">
        <f>'Formulation Name Data'!A8&amp;"_T4"</f>
        <v>Cap_G215_DGBE_0.3_0.2_0.5_T4</v>
      </c>
      <c r="BS3" s="1" t="str">
        <f>'Formulation Name Data'!A37&amp;"_T1"</f>
        <v>D502W_G225_DGBE_0.2_0.3_0.5_T1</v>
      </c>
      <c r="BT3" s="1" t="str">
        <f>'Formulation Name Data'!A6&amp;"_T2"</f>
        <v>Cap_DGBE_0.5_0.5_T2</v>
      </c>
      <c r="BU3" s="1" t="str">
        <f>'Formulation Name Data'!A37&amp;"_T2"</f>
        <v>D502W_G225_DGBE_0.2_0.3_0.5_T2</v>
      </c>
      <c r="BV3" s="1" t="str">
        <f>'Formulation Name Data'!A168&amp;"_T1"</f>
        <v>D502W_G225_DGBE_0.4_0.6_1_T1</v>
      </c>
      <c r="BW3" s="1" t="str">
        <f>'Formulation Name Data'!A149&amp;"_T1"</f>
        <v>ComSor_EXP-21-CM7837-4_T1</v>
      </c>
      <c r="BX3" s="1" t="str">
        <f>'Formulation Name Data'!A148&amp;"_T1"</f>
        <v>ComSor_EXP-21-CM7837-5_T1</v>
      </c>
      <c r="BY3" s="1" t="str">
        <f>'Formulation Name Data'!A61&amp;"_T1"</f>
        <v>ComSor_EXP-20-C10628-E_T1</v>
      </c>
      <c r="BZ3" s="1" t="str">
        <f>'Formulation Name Data'!A60&amp;"_T1"</f>
        <v>ComSor_EXP-20-C10628-D_T1</v>
      </c>
      <c r="CA3" s="1" t="str">
        <f>'Formulation Name Data'!A101&amp;"_T1"</f>
        <v>ComSor_26990-95D_T1</v>
      </c>
      <c r="CB3" s="1" t="str">
        <f>'Formulation Name Data'!A100&amp;"_T1"</f>
        <v>ComSor_26990-95C_T1</v>
      </c>
      <c r="CC3" s="1" t="str">
        <f>'Formulation Name Data'!A99&amp;"_T1"</f>
        <v>ComSor_26990-95B_T1</v>
      </c>
      <c r="CD3" s="1" t="str">
        <f>'Formulation Name Data'!A98&amp;"_T1"</f>
        <v>ComSor1830503_T1</v>
      </c>
      <c r="CE3" s="1" t="str">
        <f>'Formulation Name Data'!A10&amp;"_T2"</f>
        <v>Buckeye 3%_3_T2</v>
      </c>
      <c r="CF3" s="1" t="str">
        <f>'Formulation Name Data'!A169&amp;"_T1"</f>
        <v>Universal®F3 Green_3_T1</v>
      </c>
      <c r="CG3" s="1" t="str">
        <f>'Formulation Name Data'!A8&amp;"_T5"</f>
        <v>Cap_G215_DGBE_0.3_0.2_0.5_T5</v>
      </c>
      <c r="CH3" s="1" t="str">
        <f>'Formulation Name Data'!A170&amp;"_T1"</f>
        <v>Cap_G225_DGBE_0.3_0.2_0.5_T1</v>
      </c>
      <c r="CI3" s="1" t="str">
        <f>'Formulation Name Data'!A50&amp;"_T1"</f>
        <v>D502W_C12G2_DGBE_0.2_0.19_0.5_T1</v>
      </c>
      <c r="CJ3" s="1" t="str">
        <f>'Formulation Name Data'!A49&amp;"_T1"</f>
        <v>D502W_C10G2_DGBE_0.2_0.19_0.5_T1</v>
      </c>
      <c r="CK3" s="1" t="str">
        <f>'Formulation Name Data'!A51&amp;"_T1"</f>
        <v>D502W_C8G1_DGBE_0.2_0.19_0.5_T1</v>
      </c>
      <c r="CL3" s="1" t="str">
        <f>'Formulation Name Data'!A51&amp;"_T2"</f>
        <v>D502W_C8G1_DGBE_0.2_0.19_0.5_T2</v>
      </c>
      <c r="CM3" s="1" t="str">
        <f>'Formulation Name Data'!A48&amp;"_T1"</f>
        <v>D502W_C8G2_DGBE_0.2_0.19_0.5_T1</v>
      </c>
      <c r="CN3" s="1" t="str">
        <f>'Formulation Name Data'!A106&amp;"_T1"</f>
        <v>D502W_C9G2_DGBE_0.2_0.19_0.5_T1</v>
      </c>
      <c r="CO3" s="1" t="str">
        <f>'Formulation Name Data'!A108&amp;"_T1"</f>
        <v>D502W_C7G1_DGBE_0.2_0.19_0.5_T1</v>
      </c>
      <c r="CP3" s="1" t="str">
        <f>'Formulation Name Data'!A107&amp;"_T1"</f>
        <v>D502W_C6G1_DGBE_0.2_0.19_0.5_T1</v>
      </c>
      <c r="CQ3" s="1" t="str">
        <f>'Formulation Name Data'!A103&amp;"_T1"</f>
        <v>D502W_Cymal_DGBE_0.2_0.19_0.5_T1</v>
      </c>
      <c r="CR3" s="1" t="str">
        <f>'Formulation Name Data'!A102&amp;"_T1"</f>
        <v>D502W_C8SG2_DGBE_0.2_0.19_0.5_T1</v>
      </c>
      <c r="CS3" s="1" t="str">
        <f>'Formulation Name Data'!A104&amp;"_T1"</f>
        <v>D502W_iC8G2_DGBE_0.2_0.19_0.5_T1</v>
      </c>
      <c r="CT3" s="1" t="str">
        <f>'Formulation Name Data'!A105&amp;"_T1"</f>
        <v>D502W_C6G2_DGBE_0.2_0.19_0.5_T1</v>
      </c>
      <c r="CU3" s="1" t="str">
        <f>'Formulation Name Data'!A37&amp;"_T3"</f>
        <v>D502W_G225_DGBE_0.2_0.3_0.5_T3</v>
      </c>
      <c r="CV3" s="1" t="str">
        <f>'Formulation Name Data'!A50&amp;"_T2"</f>
        <v>D502W_C12G2_DGBE_0.2_0.19_0.5_T2</v>
      </c>
      <c r="CW3" s="1" t="str">
        <f>'Formulation Name Data'!A49&amp;"_T2"</f>
        <v>D502W_C10G2_DGBE_0.2_0.19_0.5_T2</v>
      </c>
      <c r="CX3" s="1" t="str">
        <f>'Formulation Name Data'!A51&amp;"_T3"</f>
        <v>D502W_C8G1_DGBE_0.2_0.19_0.5_T3</v>
      </c>
      <c r="CY3" s="1" t="str">
        <f>'Formulation Name Data'!A48&amp;"_T2"</f>
        <v>D502W_C8G2_DGBE_0.2_0.19_0.5_T2</v>
      </c>
      <c r="CZ3" s="1" t="str">
        <f>'Formulation Name Data'!A37&amp;"_T4"</f>
        <v>D502W_G225_DGBE_0.2_0.3_0.5_T4</v>
      </c>
      <c r="DA3" s="1" t="str">
        <f>'Formulation Name Data'!A89&amp;"_T1"</f>
        <v>D502W_G600_DGBE_0.2_0.3_0.5_T1</v>
      </c>
      <c r="DB3" s="1" t="str">
        <f>'Formulation Name Data'!A171&amp;"_T1"</f>
        <v>D502W_G225_DGBE_0.3_0.2_0.5_T1</v>
      </c>
      <c r="DC3" s="1" t="str">
        <f>'Formulation Name Data'!A172&amp;"_T1"</f>
        <v>D502W_G225_DGBE_0.13_0.38_0.5_T1</v>
      </c>
      <c r="DD3" s="1" t="str">
        <f>'Formulation Name Data'!A173&amp;"_T1"</f>
        <v>D502W_TrCG-425_DGBE_0.2_0.3_0.5_T1</v>
      </c>
      <c r="DE3" s="1" t="str">
        <f>'Formulation Name Data'!A46&amp;"_T1"</f>
        <v>ComSor181360_G225_DGBE_0.2_0.3_0.5_T1</v>
      </c>
      <c r="DF3" s="1" t="str">
        <f>'Formulation Name Data'!A177&amp;"_T1"</f>
        <v>CL_MD2062-57_G225_DGBE_0.2_0.3_0.5_T1</v>
      </c>
      <c r="DG3" s="1" t="str">
        <f>'Formulation Name Data'!A109&amp;"_T1"</f>
        <v>G225_DGBE_0.3_0.5_T1</v>
      </c>
      <c r="DH3" s="1" t="str">
        <f>'Formulation Name Data'!A178&amp;"_T1"</f>
        <v>CL_MD2062-121_G225_DGBE_0.1_0.3_0.5_T1</v>
      </c>
      <c r="DI3" s="1" t="str">
        <f>'Formulation Name Data'!A37&amp;"_T5"</f>
        <v>D502W_G225_DGBE_0.2_0.3_0.5_T5</v>
      </c>
      <c r="DJ3" s="1" t="str">
        <f>'Formulation Name Data'!A39&amp;"_T1"</f>
        <v>NRL_N10358-176_G225_DGBE_0.2_0.3_0.5_T1</v>
      </c>
      <c r="DK3" s="1" t="str">
        <f>'Formulation Name Data'!A40&amp;"_T1"</f>
        <v>NRL_N10358-174_G225_DGBE_0.2_0.3_0.5_T1</v>
      </c>
      <c r="DL3" s="1" t="str">
        <f>'Formulation Name Data'!A120&amp;"_T2"</f>
        <v>NRL_N10477-03_G225_DGBE_0.2_0.3_0.5_T2</v>
      </c>
      <c r="DM3" s="1" t="str">
        <f>'Formulation Name Data'!A121&amp;"_T2"</f>
        <v>NRL_N10477-01_G225_DGBE_0.2_0.3_0.5_T2</v>
      </c>
      <c r="DN3" s="1" t="str">
        <f>'Formulation Name Data'!A92&amp;"_T1"</f>
        <v>NRL_N10477-09_G225_DGBE_0.2_0.3_0.5_T1</v>
      </c>
      <c r="DO3" s="1" t="str">
        <f>'Formulation Name Data'!A116&amp;"_T1"</f>
        <v>NRL_N10477-05_G215_DGBE_0.2_0.3_0.5_T1</v>
      </c>
      <c r="DP3" s="1" t="str">
        <f>'Formulation Name Data'!A97&amp;"_T2"</f>
        <v>NRL_N10477-07_G225_DGBE_0.2_0.3_0.5_T2</v>
      </c>
      <c r="DQ3" s="1" t="str">
        <f>'Formulation Name Data'!A96&amp;"_T1"</f>
        <v>NRL_N10477-12_G225_DGBE_0.2_0.3_0.5_T1</v>
      </c>
      <c r="DR3" s="1" t="str">
        <f>'Formulation Name Data'!A37&amp;"_T6"</f>
        <v>D502W_G225_DGBE_0.2_0.3_0.5_T6</v>
      </c>
      <c r="DS3" s="1" t="str">
        <f>'Formulation Name Data'!A182&amp;"_T1"</f>
        <v>NRL_LBII43_G225_DGBE_0.2_0.3_0.5_T1</v>
      </c>
      <c r="DT3" s="1" t="str">
        <f>'Formulation Name Data'!A183&amp;"_T1"</f>
        <v>NRL_CB_DTBTS_SB_G225_DGBE_0.02_0.3_0.5_T1</v>
      </c>
      <c r="DU3" s="1" t="str">
        <f>'Formulation Name Data'!A184&amp;"_T1"</f>
        <v>NRL_CB-1-123_G225_DGBE_0.2_0.3_0.5_T1</v>
      </c>
      <c r="DV3" s="1" t="str">
        <f>'Formulation Name Data'!A185&amp;"_T1"</f>
        <v>NRL_N10478-227_G225_DGBE_0.063_0.3_0.5_T1</v>
      </c>
      <c r="DW3" s="1" t="str">
        <f>'Formulation Name Data'!A186&amp;"_T1"</f>
        <v>NRL_N10478-233_G225_DGBE_0.03_0.3_0.5_T1</v>
      </c>
      <c r="DX3" s="1" t="str">
        <f>'Formulation Name Data'!A187&amp;"_T1"</f>
        <v>NRL_N10478-240_G225_DGBE_#_0.3_0.5_T1</v>
      </c>
      <c r="DY3" s="1" t="str">
        <f>'Formulation Name Data'!A188&amp;"_T1"</f>
        <v>CL_MD2102-90_G225_DGBE_0.2_0.3_0.5_T1</v>
      </c>
      <c r="DZ3" s="1" t="str">
        <f>'Formulation Name Data'!A189&amp;"_T1"</f>
        <v>CL_MD2102-112_G225_DGBE_0.05_0.3_0.5_T1</v>
      </c>
      <c r="EA3" s="1" t="str">
        <f>'Formulation Name Data'!A191&amp;"_T1"</f>
        <v>ComSor_EXP-21-CH1070-1_3_T1</v>
      </c>
      <c r="EB3" s="1" t="str">
        <f>'Formulation Name Data'!A192&amp;"_T1"</f>
        <v>ComSor_EXP-21-CH1070-2_3_T1</v>
      </c>
      <c r="EC3" s="1" t="str">
        <f>'Formulation Name Data'!A193&amp;"_T1"</f>
        <v>ComSor_EXP-21-CH1070-4_1_T1</v>
      </c>
      <c r="ED3" s="1" t="str">
        <f>'Formulation Name Data'!A37&amp;"_T7"</f>
        <v>D502W_G225_DGBE_0.2_0.3_0.5_T7</v>
      </c>
      <c r="EE3" s="1" t="str">
        <f>'Formulation Name Data'!A190&amp;"_T1"</f>
        <v>CL_MD2102-118_G225_DGBE_0.2_0.3_0.5_T1</v>
      </c>
      <c r="EF3" s="1" t="str">
        <f>'Formulation Name Data'!A197&amp;"_T1"</f>
        <v>NRL_CB-1-192_G225_DGBE_0.14_0.21_0.5_T1</v>
      </c>
    </row>
    <row r="4" spans="1:136" x14ac:dyDescent="0.35">
      <c r="A4" s="1">
        <f>39-25</f>
        <v>14</v>
      </c>
      <c r="B4" s="1">
        <v>62</v>
      </c>
      <c r="C4" s="1" t="s">
        <v>174</v>
      </c>
      <c r="D4" s="1">
        <v>180</v>
      </c>
      <c r="E4">
        <v>50</v>
      </c>
      <c r="F4" t="s">
        <v>76</v>
      </c>
      <c r="G4" s="17">
        <v>57</v>
      </c>
      <c r="H4" s="17">
        <v>5</v>
      </c>
      <c r="I4" s="17">
        <f>39-23</f>
        <v>16</v>
      </c>
      <c r="J4" s="21">
        <v>10.31</v>
      </c>
      <c r="K4" t="s">
        <v>76</v>
      </c>
      <c r="L4" t="s">
        <v>76</v>
      </c>
      <c r="M4" t="s">
        <v>76</v>
      </c>
      <c r="N4">
        <v>38</v>
      </c>
      <c r="O4">
        <v>12</v>
      </c>
      <c r="P4">
        <v>4</v>
      </c>
      <c r="Q4" t="s">
        <v>174</v>
      </c>
      <c r="R4" t="s">
        <v>174</v>
      </c>
      <c r="S4" t="s">
        <v>174</v>
      </c>
      <c r="T4" t="s">
        <v>174</v>
      </c>
      <c r="U4">
        <v>87</v>
      </c>
      <c r="V4" t="s">
        <v>174</v>
      </c>
      <c r="W4">
        <v>18</v>
      </c>
      <c r="X4" t="s">
        <v>174</v>
      </c>
      <c r="Y4">
        <v>15</v>
      </c>
      <c r="Z4">
        <v>14</v>
      </c>
      <c r="AA4">
        <v>5</v>
      </c>
      <c r="AB4">
        <v>5</v>
      </c>
      <c r="AC4">
        <v>32</v>
      </c>
      <c r="AD4">
        <v>12</v>
      </c>
      <c r="AE4" t="s">
        <v>174</v>
      </c>
      <c r="AF4" t="s">
        <v>174</v>
      </c>
      <c r="AG4" t="s">
        <v>174</v>
      </c>
      <c r="AH4" t="s">
        <v>174</v>
      </c>
      <c r="AI4" t="s">
        <v>174</v>
      </c>
      <c r="AJ4" t="s">
        <v>174</v>
      </c>
      <c r="AK4" t="s">
        <v>174</v>
      </c>
      <c r="AL4" t="s">
        <v>174</v>
      </c>
      <c r="AM4" t="s">
        <v>174</v>
      </c>
      <c r="AN4" t="s">
        <v>174</v>
      </c>
      <c r="AO4" t="s">
        <v>174</v>
      </c>
      <c r="AP4" t="s">
        <v>174</v>
      </c>
      <c r="AQ4" t="s">
        <v>174</v>
      </c>
      <c r="AR4" t="s">
        <v>174</v>
      </c>
      <c r="AS4" t="s">
        <v>174</v>
      </c>
      <c r="AT4" t="s">
        <v>174</v>
      </c>
      <c r="AU4" t="s">
        <v>174</v>
      </c>
      <c r="AV4" t="s">
        <v>174</v>
      </c>
      <c r="AW4" t="s">
        <v>174</v>
      </c>
      <c r="AX4" t="s">
        <v>174</v>
      </c>
      <c r="AY4" t="s">
        <v>174</v>
      </c>
      <c r="AZ4" t="s">
        <v>174</v>
      </c>
      <c r="BA4" t="s">
        <v>174</v>
      </c>
      <c r="BB4" t="s">
        <v>174</v>
      </c>
      <c r="BC4" t="s">
        <v>174</v>
      </c>
      <c r="BD4" t="s">
        <v>174</v>
      </c>
      <c r="BE4">
        <v>7</v>
      </c>
      <c r="BF4">
        <v>5</v>
      </c>
      <c r="BG4">
        <v>16</v>
      </c>
      <c r="BH4">
        <v>11</v>
      </c>
      <c r="BI4">
        <v>9</v>
      </c>
      <c r="BJ4">
        <v>22</v>
      </c>
      <c r="BK4">
        <v>116</v>
      </c>
      <c r="BL4">
        <v>23</v>
      </c>
      <c r="BM4">
        <v>20</v>
      </c>
      <c r="BN4">
        <v>11</v>
      </c>
      <c r="BO4">
        <v>8</v>
      </c>
      <c r="BP4">
        <v>8</v>
      </c>
      <c r="BQ4">
        <v>339</v>
      </c>
      <c r="BR4">
        <v>6</v>
      </c>
      <c r="BS4">
        <v>17</v>
      </c>
      <c r="BT4">
        <v>9</v>
      </c>
      <c r="BU4">
        <v>20</v>
      </c>
      <c r="BV4">
        <v>18</v>
      </c>
      <c r="BW4">
        <v>5</v>
      </c>
      <c r="BX4">
        <v>23</v>
      </c>
      <c r="BY4">
        <v>7</v>
      </c>
      <c r="BZ4">
        <v>8</v>
      </c>
      <c r="CA4">
        <v>13</v>
      </c>
      <c r="CB4">
        <v>5</v>
      </c>
      <c r="CC4">
        <v>4</v>
      </c>
      <c r="CD4">
        <v>3</v>
      </c>
      <c r="CE4">
        <v>12</v>
      </c>
      <c r="CF4">
        <v>17</v>
      </c>
      <c r="CG4">
        <v>12</v>
      </c>
      <c r="CH4">
        <v>16</v>
      </c>
      <c r="CI4">
        <v>12</v>
      </c>
      <c r="CJ4">
        <v>13</v>
      </c>
      <c r="CK4">
        <v>46</v>
      </c>
      <c r="CL4" t="s">
        <v>174</v>
      </c>
      <c r="CM4">
        <v>30</v>
      </c>
      <c r="CN4">
        <v>17</v>
      </c>
      <c r="CO4">
        <v>350</v>
      </c>
      <c r="CP4">
        <v>237</v>
      </c>
      <c r="CQ4">
        <v>36</v>
      </c>
      <c r="CR4">
        <v>17</v>
      </c>
      <c r="CS4">
        <v>41</v>
      </c>
      <c r="CT4">
        <v>34</v>
      </c>
      <c r="CU4">
        <v>15</v>
      </c>
      <c r="CV4" s="60" t="s">
        <v>174</v>
      </c>
      <c r="CW4" s="60" t="s">
        <v>174</v>
      </c>
      <c r="CX4">
        <v>19</v>
      </c>
      <c r="CY4">
        <v>54</v>
      </c>
      <c r="CZ4">
        <v>143</v>
      </c>
      <c r="DA4">
        <v>14</v>
      </c>
      <c r="DB4">
        <v>60</v>
      </c>
      <c r="DC4">
        <v>23</v>
      </c>
      <c r="DD4" t="s">
        <v>174</v>
      </c>
      <c r="DE4" s="60" t="s">
        <v>174</v>
      </c>
      <c r="DF4">
        <v>14</v>
      </c>
      <c r="DG4">
        <v>9</v>
      </c>
      <c r="DH4">
        <v>5</v>
      </c>
      <c r="DI4">
        <v>10</v>
      </c>
      <c r="DJ4">
        <v>24</v>
      </c>
      <c r="DK4">
        <v>12</v>
      </c>
      <c r="DL4">
        <v>42</v>
      </c>
      <c r="DM4">
        <v>17</v>
      </c>
      <c r="DN4">
        <v>26</v>
      </c>
      <c r="DO4">
        <v>11</v>
      </c>
      <c r="DP4">
        <v>42</v>
      </c>
      <c r="DQ4" s="60" t="s">
        <v>174</v>
      </c>
      <c r="DR4" s="42">
        <v>8</v>
      </c>
      <c r="DS4" s="42">
        <v>14</v>
      </c>
      <c r="DT4" s="42">
        <v>67</v>
      </c>
      <c r="DU4" s="42">
        <v>23</v>
      </c>
      <c r="DV4" s="60" t="s">
        <v>174</v>
      </c>
      <c r="DW4" s="60" t="s">
        <v>174</v>
      </c>
      <c r="DX4" s="42">
        <v>9</v>
      </c>
      <c r="DY4" s="42">
        <v>17</v>
      </c>
      <c r="DZ4" s="42">
        <v>6</v>
      </c>
      <c r="EA4" s="42">
        <v>9</v>
      </c>
      <c r="EB4" s="42">
        <v>6</v>
      </c>
      <c r="EC4" s="42">
        <v>10</v>
      </c>
      <c r="ED4">
        <v>8</v>
      </c>
      <c r="EE4" s="42">
        <v>11</v>
      </c>
      <c r="EF4" s="42">
        <v>21</v>
      </c>
    </row>
    <row r="5" spans="1:136" x14ac:dyDescent="0.35">
      <c r="A5" s="1">
        <f>32-19</f>
        <v>13</v>
      </c>
      <c r="B5" s="1" t="s">
        <v>76</v>
      </c>
      <c r="C5" s="1" t="s">
        <v>174</v>
      </c>
      <c r="D5" s="1">
        <v>180</v>
      </c>
      <c r="E5">
        <v>70</v>
      </c>
      <c r="F5">
        <v>88</v>
      </c>
      <c r="G5" s="17">
        <v>65</v>
      </c>
      <c r="H5" s="17">
        <f>12-7</f>
        <v>5</v>
      </c>
      <c r="I5" s="17">
        <f>47-35</f>
        <v>12</v>
      </c>
      <c r="J5" s="21">
        <v>17</v>
      </c>
      <c r="K5" t="s">
        <v>76</v>
      </c>
      <c r="L5" t="s">
        <v>76</v>
      </c>
      <c r="M5">
        <v>12</v>
      </c>
      <c r="N5">
        <v>40</v>
      </c>
      <c r="O5">
        <v>11</v>
      </c>
      <c r="P5">
        <v>9</v>
      </c>
      <c r="Q5" t="s">
        <v>174</v>
      </c>
      <c r="R5" t="s">
        <v>174</v>
      </c>
      <c r="S5" t="s">
        <v>174</v>
      </c>
      <c r="T5" t="s">
        <v>174</v>
      </c>
      <c r="U5">
        <v>46</v>
      </c>
      <c r="V5" t="s">
        <v>174</v>
      </c>
      <c r="W5">
        <v>18</v>
      </c>
      <c r="X5" t="s">
        <v>174</v>
      </c>
      <c r="Y5">
        <v>17</v>
      </c>
      <c r="Z5">
        <v>16</v>
      </c>
      <c r="AA5">
        <v>7</v>
      </c>
      <c r="AB5">
        <v>4</v>
      </c>
      <c r="AC5">
        <v>60</v>
      </c>
      <c r="AD5">
        <v>22</v>
      </c>
      <c r="AE5" t="s">
        <v>174</v>
      </c>
      <c r="AF5" t="s">
        <v>174</v>
      </c>
      <c r="BE5">
        <v>5</v>
      </c>
      <c r="BF5">
        <v>6</v>
      </c>
      <c r="BG5">
        <v>12</v>
      </c>
      <c r="BH5">
        <v>13</v>
      </c>
      <c r="BI5">
        <v>14</v>
      </c>
      <c r="BJ5">
        <v>23</v>
      </c>
      <c r="BK5">
        <v>37</v>
      </c>
      <c r="BL5">
        <v>11</v>
      </c>
      <c r="BM5">
        <v>28</v>
      </c>
      <c r="BN5">
        <v>11</v>
      </c>
      <c r="BO5">
        <v>7</v>
      </c>
      <c r="BP5">
        <v>11</v>
      </c>
      <c r="BQ5">
        <v>163</v>
      </c>
      <c r="BR5">
        <v>18</v>
      </c>
      <c r="BS5">
        <v>19</v>
      </c>
      <c r="BT5">
        <v>12</v>
      </c>
      <c r="BU5">
        <v>22</v>
      </c>
      <c r="BV5">
        <v>23</v>
      </c>
      <c r="BW5">
        <v>6</v>
      </c>
      <c r="BX5">
        <v>45</v>
      </c>
      <c r="BY5">
        <v>11</v>
      </c>
      <c r="BZ5">
        <v>9</v>
      </c>
      <c r="CA5">
        <v>12</v>
      </c>
      <c r="CB5">
        <v>4</v>
      </c>
      <c r="CC5">
        <v>4</v>
      </c>
      <c r="CD5">
        <v>3</v>
      </c>
      <c r="CE5">
        <v>15</v>
      </c>
      <c r="CF5">
        <v>18</v>
      </c>
      <c r="CG5">
        <v>22</v>
      </c>
      <c r="CH5">
        <v>24</v>
      </c>
      <c r="CI5">
        <v>15</v>
      </c>
      <c r="CJ5">
        <v>29</v>
      </c>
      <c r="CK5">
        <v>56</v>
      </c>
      <c r="CL5">
        <v>151</v>
      </c>
      <c r="CM5">
        <v>39</v>
      </c>
      <c r="CN5">
        <v>27</v>
      </c>
      <c r="CO5">
        <v>227</v>
      </c>
      <c r="CP5">
        <v>109</v>
      </c>
      <c r="CQ5">
        <v>139</v>
      </c>
      <c r="CR5">
        <v>96</v>
      </c>
      <c r="CS5" s="60" t="s">
        <v>174</v>
      </c>
      <c r="CT5" s="60" t="s">
        <v>174</v>
      </c>
      <c r="CU5">
        <v>19</v>
      </c>
      <c r="CV5" s="60" t="s">
        <v>174</v>
      </c>
      <c r="CW5" s="60" t="s">
        <v>174</v>
      </c>
      <c r="CX5">
        <v>22</v>
      </c>
      <c r="CY5" s="60" t="s">
        <v>174</v>
      </c>
      <c r="CZ5">
        <v>82</v>
      </c>
      <c r="DA5">
        <v>15</v>
      </c>
      <c r="DB5">
        <v>80</v>
      </c>
      <c r="DC5">
        <v>33</v>
      </c>
      <c r="DD5">
        <v>18</v>
      </c>
      <c r="DE5" s="60" t="s">
        <v>174</v>
      </c>
      <c r="DF5">
        <v>10</v>
      </c>
      <c r="DG5">
        <v>13</v>
      </c>
      <c r="DH5">
        <v>6</v>
      </c>
      <c r="DI5">
        <v>38</v>
      </c>
      <c r="DJ5">
        <v>28</v>
      </c>
      <c r="DK5">
        <v>18</v>
      </c>
      <c r="DL5">
        <v>40</v>
      </c>
      <c r="DM5">
        <v>18</v>
      </c>
      <c r="DN5">
        <v>36</v>
      </c>
      <c r="DO5">
        <v>11</v>
      </c>
      <c r="DP5">
        <v>77</v>
      </c>
      <c r="DQ5">
        <v>52</v>
      </c>
      <c r="DR5" s="42">
        <v>10</v>
      </c>
      <c r="DS5" s="42">
        <v>16</v>
      </c>
      <c r="DT5" s="42">
        <v>69</v>
      </c>
      <c r="DU5" s="42">
        <v>13</v>
      </c>
      <c r="DW5" s="60" t="s">
        <v>174</v>
      </c>
      <c r="DX5" s="16">
        <v>9</v>
      </c>
      <c r="DY5" s="16">
        <v>16</v>
      </c>
      <c r="DZ5" s="16">
        <v>9</v>
      </c>
      <c r="EA5" s="16">
        <v>13</v>
      </c>
      <c r="EB5" s="16">
        <v>12</v>
      </c>
      <c r="EC5" s="16">
        <v>11</v>
      </c>
      <c r="ED5">
        <v>9</v>
      </c>
      <c r="EE5" s="16">
        <v>16</v>
      </c>
      <c r="EF5" s="42">
        <v>72</v>
      </c>
    </row>
    <row r="6" spans="1:136" x14ac:dyDescent="0.35">
      <c r="A6" s="1">
        <v>13</v>
      </c>
      <c r="B6" s="1">
        <f>31-12</f>
        <v>19</v>
      </c>
      <c r="C6" s="1">
        <f>56-40</f>
        <v>16</v>
      </c>
      <c r="D6" s="1">
        <v>60</v>
      </c>
      <c r="E6">
        <v>80</v>
      </c>
      <c r="F6">
        <v>60</v>
      </c>
      <c r="G6" s="17">
        <f>58-12</f>
        <v>46</v>
      </c>
      <c r="H6" s="17">
        <f>13-8</f>
        <v>5</v>
      </c>
      <c r="I6" s="17">
        <v>9</v>
      </c>
      <c r="J6" s="21">
        <f>57-44</f>
        <v>13</v>
      </c>
      <c r="K6" t="s">
        <v>76</v>
      </c>
      <c r="L6" t="s">
        <v>76</v>
      </c>
      <c r="M6">
        <v>14</v>
      </c>
      <c r="N6">
        <v>41</v>
      </c>
      <c r="O6">
        <v>9</v>
      </c>
      <c r="P6">
        <v>23</v>
      </c>
      <c r="Q6" t="s">
        <v>174</v>
      </c>
      <c r="R6" t="s">
        <v>174</v>
      </c>
      <c r="S6" t="s">
        <v>174</v>
      </c>
      <c r="T6" t="s">
        <v>174</v>
      </c>
      <c r="U6">
        <v>49</v>
      </c>
      <c r="V6">
        <v>19</v>
      </c>
      <c r="W6">
        <v>18</v>
      </c>
      <c r="X6" t="s">
        <v>174</v>
      </c>
      <c r="Y6">
        <v>17</v>
      </c>
      <c r="Z6">
        <v>17</v>
      </c>
      <c r="AA6">
        <v>6</v>
      </c>
      <c r="AC6">
        <v>120</v>
      </c>
      <c r="AD6">
        <v>63</v>
      </c>
      <c r="BF6">
        <v>7</v>
      </c>
      <c r="BH6">
        <v>10</v>
      </c>
      <c r="BI6">
        <v>7</v>
      </c>
      <c r="BJ6">
        <v>50</v>
      </c>
      <c r="BK6">
        <v>13</v>
      </c>
      <c r="BL6" t="s">
        <v>174</v>
      </c>
      <c r="BM6">
        <v>110</v>
      </c>
      <c r="BO6">
        <v>11</v>
      </c>
      <c r="BP6">
        <v>12</v>
      </c>
      <c r="BQ6">
        <v>169</v>
      </c>
      <c r="BR6">
        <v>21</v>
      </c>
      <c r="BS6">
        <v>97</v>
      </c>
      <c r="BT6">
        <v>57</v>
      </c>
      <c r="BU6">
        <v>90</v>
      </c>
      <c r="BV6">
        <v>32</v>
      </c>
      <c r="BW6">
        <v>7</v>
      </c>
      <c r="BX6">
        <v>18</v>
      </c>
      <c r="BY6">
        <v>183</v>
      </c>
      <c r="BZ6">
        <v>11</v>
      </c>
      <c r="CA6" t="s">
        <v>174</v>
      </c>
      <c r="CB6">
        <v>6</v>
      </c>
      <c r="CC6">
        <v>8</v>
      </c>
      <c r="CD6">
        <v>4</v>
      </c>
      <c r="CE6">
        <v>30</v>
      </c>
      <c r="CF6">
        <v>24</v>
      </c>
      <c r="CG6">
        <v>63</v>
      </c>
      <c r="CH6">
        <v>35</v>
      </c>
      <c r="CI6">
        <v>48</v>
      </c>
      <c r="CJ6">
        <v>42</v>
      </c>
      <c r="CK6">
        <v>80</v>
      </c>
      <c r="CL6" t="s">
        <v>174</v>
      </c>
      <c r="CM6">
        <v>55</v>
      </c>
      <c r="CN6">
        <v>41</v>
      </c>
      <c r="CO6">
        <v>104</v>
      </c>
      <c r="CP6">
        <v>64</v>
      </c>
      <c r="CQ6" s="60" t="s">
        <v>174</v>
      </c>
      <c r="CR6" s="60" t="s">
        <v>174</v>
      </c>
      <c r="CS6">
        <v>56</v>
      </c>
      <c r="CT6">
        <v>53</v>
      </c>
      <c r="CU6" s="60" t="s">
        <v>174</v>
      </c>
      <c r="CV6">
        <v>5</v>
      </c>
      <c r="CW6" s="60" t="s">
        <v>174</v>
      </c>
      <c r="CX6">
        <v>38</v>
      </c>
      <c r="CY6" s="60" t="s">
        <v>174</v>
      </c>
      <c r="CZ6">
        <v>113</v>
      </c>
      <c r="DA6">
        <v>14</v>
      </c>
      <c r="DB6">
        <v>52</v>
      </c>
      <c r="DC6">
        <v>21</v>
      </c>
      <c r="DD6">
        <v>18</v>
      </c>
      <c r="DE6" s="60" t="s">
        <v>174</v>
      </c>
      <c r="DF6">
        <v>24</v>
      </c>
      <c r="DG6">
        <v>14</v>
      </c>
      <c r="DH6">
        <v>7</v>
      </c>
      <c r="DI6" s="60" t="s">
        <v>174</v>
      </c>
      <c r="DJ6">
        <v>52</v>
      </c>
      <c r="DK6">
        <v>18</v>
      </c>
      <c r="DL6">
        <v>85</v>
      </c>
      <c r="DM6">
        <v>19</v>
      </c>
      <c r="DN6">
        <v>43</v>
      </c>
      <c r="DO6">
        <v>15</v>
      </c>
      <c r="DP6" s="60" t="s">
        <v>174</v>
      </c>
      <c r="DQ6">
        <v>29</v>
      </c>
      <c r="DR6" s="42">
        <v>17</v>
      </c>
      <c r="DS6" s="42">
        <v>31</v>
      </c>
      <c r="DT6" s="42">
        <v>71</v>
      </c>
      <c r="DW6" s="60" t="s">
        <v>174</v>
      </c>
      <c r="DX6" s="16">
        <v>7</v>
      </c>
      <c r="DY6" s="16">
        <v>10</v>
      </c>
      <c r="DZ6" s="16">
        <v>12</v>
      </c>
      <c r="ED6">
        <v>13</v>
      </c>
      <c r="EE6" s="16">
        <v>23</v>
      </c>
      <c r="EF6" s="60" t="s">
        <v>174</v>
      </c>
    </row>
    <row r="7" spans="1:136" x14ac:dyDescent="0.35">
      <c r="A7" s="1">
        <v>13</v>
      </c>
      <c r="B7" s="1">
        <f>44-27</f>
        <v>17</v>
      </c>
      <c r="C7" s="1">
        <f>38-19</f>
        <v>19</v>
      </c>
      <c r="D7" s="1">
        <f>39-25</f>
        <v>14</v>
      </c>
      <c r="E7">
        <f>39-23</f>
        <v>16</v>
      </c>
      <c r="F7">
        <v>26</v>
      </c>
      <c r="G7" s="17">
        <v>84</v>
      </c>
      <c r="J7" s="21">
        <f>57-43</f>
        <v>14</v>
      </c>
      <c r="K7" t="s">
        <v>76</v>
      </c>
      <c r="L7" t="s">
        <v>76</v>
      </c>
      <c r="M7">
        <v>18</v>
      </c>
      <c r="N7">
        <v>67</v>
      </c>
      <c r="O7">
        <v>8</v>
      </c>
      <c r="P7" t="s">
        <v>174</v>
      </c>
      <c r="Q7" t="s">
        <v>174</v>
      </c>
      <c r="R7" t="s">
        <v>174</v>
      </c>
      <c r="S7" t="s">
        <v>174</v>
      </c>
      <c r="T7" t="s">
        <v>174</v>
      </c>
      <c r="U7">
        <v>74</v>
      </c>
      <c r="V7">
        <v>14</v>
      </c>
      <c r="W7">
        <v>24</v>
      </c>
      <c r="X7" t="s">
        <v>174</v>
      </c>
      <c r="Y7">
        <v>17</v>
      </c>
      <c r="Z7">
        <v>16</v>
      </c>
      <c r="AA7">
        <v>5</v>
      </c>
      <c r="AC7" t="s">
        <v>174</v>
      </c>
      <c r="AD7" t="s">
        <v>174</v>
      </c>
      <c r="BF7">
        <v>8</v>
      </c>
      <c r="BJ7">
        <v>68</v>
      </c>
      <c r="BK7">
        <v>8.5</v>
      </c>
      <c r="BM7">
        <v>512</v>
      </c>
      <c r="BO7">
        <v>16</v>
      </c>
      <c r="BP7">
        <v>13</v>
      </c>
      <c r="BQ7">
        <v>120</v>
      </c>
      <c r="BR7">
        <v>61</v>
      </c>
      <c r="BS7">
        <v>414</v>
      </c>
      <c r="BT7">
        <v>26</v>
      </c>
      <c r="BU7">
        <v>293</v>
      </c>
      <c r="BV7">
        <v>308</v>
      </c>
      <c r="BW7">
        <v>8</v>
      </c>
      <c r="BX7">
        <v>15</v>
      </c>
      <c r="BY7" t="s">
        <v>174</v>
      </c>
      <c r="BZ7">
        <v>50</v>
      </c>
      <c r="CA7">
        <v>24</v>
      </c>
      <c r="CB7">
        <v>7</v>
      </c>
      <c r="CC7">
        <v>8</v>
      </c>
      <c r="CD7">
        <v>5</v>
      </c>
      <c r="CE7">
        <v>30</v>
      </c>
      <c r="CF7" t="s">
        <v>174</v>
      </c>
      <c r="CG7" t="s">
        <v>174</v>
      </c>
      <c r="CH7" t="s">
        <v>174</v>
      </c>
      <c r="CI7">
        <v>75</v>
      </c>
      <c r="CJ7">
        <v>47</v>
      </c>
      <c r="CK7">
        <v>112</v>
      </c>
      <c r="CM7">
        <v>63</v>
      </c>
      <c r="CN7">
        <v>50</v>
      </c>
      <c r="CO7">
        <v>52</v>
      </c>
      <c r="CP7">
        <v>43</v>
      </c>
      <c r="CQ7">
        <v>92</v>
      </c>
      <c r="CR7">
        <v>100</v>
      </c>
      <c r="CS7">
        <v>97</v>
      </c>
      <c r="CT7">
        <v>85</v>
      </c>
      <c r="CU7">
        <v>195</v>
      </c>
      <c r="CV7">
        <v>5</v>
      </c>
      <c r="CW7" s="60" t="s">
        <v>174</v>
      </c>
      <c r="CX7" s="60" t="s">
        <v>174</v>
      </c>
      <c r="CY7">
        <v>27</v>
      </c>
      <c r="CZ7">
        <v>22</v>
      </c>
      <c r="DA7">
        <v>13</v>
      </c>
      <c r="DB7" s="43" t="s">
        <v>76</v>
      </c>
      <c r="DC7">
        <v>17</v>
      </c>
      <c r="DD7">
        <v>15</v>
      </c>
      <c r="DE7" s="60" t="s">
        <v>174</v>
      </c>
      <c r="DG7">
        <v>20</v>
      </c>
      <c r="DH7">
        <v>9</v>
      </c>
      <c r="DI7">
        <v>35</v>
      </c>
      <c r="DJ7">
        <v>120</v>
      </c>
      <c r="DK7">
        <v>38</v>
      </c>
      <c r="DL7" s="60" t="s">
        <v>174</v>
      </c>
      <c r="DM7">
        <v>28</v>
      </c>
      <c r="DN7">
        <v>164</v>
      </c>
      <c r="DO7">
        <v>20</v>
      </c>
      <c r="DP7">
        <v>25</v>
      </c>
      <c r="DQ7">
        <v>20</v>
      </c>
      <c r="DR7" s="42">
        <v>37</v>
      </c>
      <c r="DS7" s="42">
        <v>58</v>
      </c>
      <c r="DT7" s="42">
        <v>74</v>
      </c>
      <c r="DX7" s="16">
        <v>6</v>
      </c>
      <c r="DZ7" s="16">
        <v>17</v>
      </c>
      <c r="ED7">
        <v>16</v>
      </c>
      <c r="EE7" s="16">
        <v>62</v>
      </c>
      <c r="EF7" s="42">
        <v>18</v>
      </c>
    </row>
    <row r="8" spans="1:136" x14ac:dyDescent="0.35">
      <c r="A8">
        <v>11</v>
      </c>
      <c r="B8">
        <f>25-10</f>
        <v>15</v>
      </c>
      <c r="C8">
        <v>24</v>
      </c>
      <c r="D8" s="1">
        <f>35-2</f>
        <v>33</v>
      </c>
      <c r="E8">
        <f>39-26</f>
        <v>13</v>
      </c>
      <c r="F8">
        <v>25</v>
      </c>
      <c r="G8" s="17">
        <f>25-13</f>
        <v>12</v>
      </c>
      <c r="J8" s="17">
        <v>10</v>
      </c>
      <c r="K8" t="s">
        <v>76</v>
      </c>
      <c r="L8" t="s">
        <v>76</v>
      </c>
      <c r="M8">
        <v>11</v>
      </c>
      <c r="N8">
        <v>63</v>
      </c>
      <c r="O8">
        <v>7</v>
      </c>
      <c r="P8">
        <v>51</v>
      </c>
      <c r="Q8">
        <v>33</v>
      </c>
      <c r="R8" t="s">
        <v>174</v>
      </c>
      <c r="T8">
        <v>18</v>
      </c>
      <c r="U8">
        <v>55</v>
      </c>
      <c r="V8">
        <v>9</v>
      </c>
      <c r="W8">
        <v>25</v>
      </c>
      <c r="X8" t="s">
        <v>174</v>
      </c>
      <c r="Y8" t="s">
        <v>174</v>
      </c>
      <c r="Z8">
        <v>21</v>
      </c>
      <c r="AC8">
        <v>120</v>
      </c>
      <c r="AD8">
        <v>87</v>
      </c>
      <c r="BF8">
        <v>9</v>
      </c>
      <c r="BJ8">
        <v>123</v>
      </c>
      <c r="BK8">
        <v>26</v>
      </c>
      <c r="BM8">
        <v>401</v>
      </c>
      <c r="BO8">
        <v>73</v>
      </c>
      <c r="BP8">
        <v>13</v>
      </c>
      <c r="BQ8">
        <v>97</v>
      </c>
      <c r="BR8">
        <v>119</v>
      </c>
      <c r="BS8">
        <v>271</v>
      </c>
      <c r="BT8">
        <v>13</v>
      </c>
      <c r="BU8">
        <v>149</v>
      </c>
      <c r="BV8">
        <v>153</v>
      </c>
      <c r="BW8">
        <v>9</v>
      </c>
      <c r="BX8">
        <v>14</v>
      </c>
      <c r="BY8">
        <v>28</v>
      </c>
      <c r="BZ8">
        <v>55</v>
      </c>
      <c r="CA8" t="s">
        <v>174</v>
      </c>
      <c r="CB8">
        <v>9</v>
      </c>
      <c r="CD8">
        <v>8</v>
      </c>
      <c r="CE8" t="s">
        <v>174</v>
      </c>
      <c r="CF8">
        <v>39</v>
      </c>
      <c r="CG8">
        <v>87</v>
      </c>
      <c r="CH8">
        <v>75</v>
      </c>
      <c r="CI8">
        <v>68</v>
      </c>
      <c r="CJ8">
        <v>71</v>
      </c>
      <c r="CK8">
        <v>164</v>
      </c>
      <c r="CM8">
        <v>89</v>
      </c>
      <c r="CN8">
        <v>66</v>
      </c>
      <c r="CO8">
        <v>56</v>
      </c>
      <c r="CP8">
        <v>34</v>
      </c>
      <c r="CQ8">
        <v>75</v>
      </c>
      <c r="CR8">
        <v>57</v>
      </c>
      <c r="CS8">
        <v>115</v>
      </c>
      <c r="CT8">
        <v>256</v>
      </c>
      <c r="CU8">
        <v>156</v>
      </c>
      <c r="CW8" s="60" t="s">
        <v>174</v>
      </c>
      <c r="CX8">
        <v>53</v>
      </c>
      <c r="CY8">
        <v>26</v>
      </c>
      <c r="CZ8">
        <v>28</v>
      </c>
      <c r="DA8">
        <v>11</v>
      </c>
      <c r="DB8">
        <v>40</v>
      </c>
      <c r="DC8">
        <v>13</v>
      </c>
      <c r="DD8">
        <v>13</v>
      </c>
      <c r="DG8">
        <v>28</v>
      </c>
      <c r="DH8">
        <v>10</v>
      </c>
      <c r="DJ8">
        <v>89</v>
      </c>
      <c r="DK8">
        <v>31</v>
      </c>
      <c r="DL8">
        <v>165</v>
      </c>
      <c r="DM8">
        <v>48</v>
      </c>
      <c r="DN8" s="60" t="s">
        <v>174</v>
      </c>
      <c r="DO8">
        <v>26</v>
      </c>
      <c r="DP8">
        <v>20</v>
      </c>
      <c r="DQ8">
        <v>15</v>
      </c>
      <c r="DR8" s="42">
        <v>8.9</v>
      </c>
      <c r="DS8" s="60" t="s">
        <v>174</v>
      </c>
      <c r="DT8" s="42">
        <v>65</v>
      </c>
      <c r="DX8" s="16">
        <v>7</v>
      </c>
      <c r="DZ8" s="16">
        <v>16</v>
      </c>
      <c r="ED8">
        <v>19</v>
      </c>
      <c r="EE8" s="16">
        <v>10</v>
      </c>
      <c r="EF8" s="60" t="s">
        <v>174</v>
      </c>
    </row>
    <row r="9" spans="1:136" x14ac:dyDescent="0.35">
      <c r="A9">
        <v>10</v>
      </c>
      <c r="B9">
        <f>20-13</f>
        <v>7</v>
      </c>
      <c r="C9">
        <v>10</v>
      </c>
      <c r="D9">
        <f>35-3</f>
        <v>32</v>
      </c>
      <c r="E9">
        <f>31-16</f>
        <v>15</v>
      </c>
      <c r="F9">
        <v>20</v>
      </c>
      <c r="G9" s="18">
        <f>25-12</f>
        <v>13</v>
      </c>
      <c r="J9" s="18">
        <f>18-6</f>
        <v>12</v>
      </c>
      <c r="K9" t="s">
        <v>76</v>
      </c>
      <c r="L9" t="s">
        <v>76</v>
      </c>
      <c r="M9">
        <v>3</v>
      </c>
      <c r="N9">
        <v>75</v>
      </c>
      <c r="O9">
        <v>5</v>
      </c>
      <c r="P9">
        <v>33</v>
      </c>
      <c r="Q9">
        <v>28</v>
      </c>
      <c r="T9">
        <v>19</v>
      </c>
      <c r="U9" t="s">
        <v>174</v>
      </c>
      <c r="W9">
        <v>47</v>
      </c>
      <c r="X9" t="s">
        <v>174</v>
      </c>
      <c r="Y9">
        <v>10</v>
      </c>
      <c r="Z9">
        <v>22</v>
      </c>
      <c r="AC9">
        <v>37</v>
      </c>
      <c r="AD9">
        <v>93</v>
      </c>
      <c r="BF9">
        <v>11</v>
      </c>
      <c r="BJ9">
        <v>70</v>
      </c>
      <c r="BM9">
        <v>18</v>
      </c>
      <c r="BO9">
        <v>37</v>
      </c>
      <c r="BP9">
        <v>14</v>
      </c>
      <c r="BQ9">
        <v>76</v>
      </c>
      <c r="BR9">
        <v>207</v>
      </c>
      <c r="BS9">
        <v>14</v>
      </c>
      <c r="BT9">
        <v>11</v>
      </c>
      <c r="BU9">
        <v>16</v>
      </c>
      <c r="BV9">
        <v>13</v>
      </c>
      <c r="BW9">
        <v>13</v>
      </c>
      <c r="BY9">
        <v>8</v>
      </c>
      <c r="BZ9">
        <v>10</v>
      </c>
      <c r="CB9">
        <v>10</v>
      </c>
      <c r="CD9">
        <v>5</v>
      </c>
      <c r="CE9" t="s">
        <v>174</v>
      </c>
      <c r="CF9">
        <v>15</v>
      </c>
      <c r="CG9">
        <v>93</v>
      </c>
      <c r="CH9" t="s">
        <v>174</v>
      </c>
      <c r="CI9" t="s">
        <v>174</v>
      </c>
      <c r="CJ9">
        <v>292</v>
      </c>
      <c r="CK9" t="s">
        <v>174</v>
      </c>
      <c r="CM9">
        <v>177</v>
      </c>
      <c r="CN9">
        <v>125</v>
      </c>
      <c r="CO9">
        <v>35</v>
      </c>
      <c r="CP9">
        <v>31</v>
      </c>
      <c r="CQ9">
        <v>53</v>
      </c>
      <c r="CR9">
        <v>44</v>
      </c>
      <c r="CS9">
        <v>187</v>
      </c>
      <c r="CT9">
        <v>31</v>
      </c>
      <c r="CU9">
        <v>11</v>
      </c>
      <c r="CW9">
        <v>8</v>
      </c>
      <c r="CX9">
        <v>15</v>
      </c>
      <c r="CY9">
        <v>16</v>
      </c>
      <c r="CZ9">
        <v>10</v>
      </c>
      <c r="DA9">
        <v>10</v>
      </c>
      <c r="DB9">
        <v>27</v>
      </c>
      <c r="DC9">
        <v>10</v>
      </c>
      <c r="DD9">
        <v>10</v>
      </c>
      <c r="DG9">
        <v>25</v>
      </c>
      <c r="DH9">
        <v>14</v>
      </c>
      <c r="DJ9">
        <v>17</v>
      </c>
      <c r="DK9">
        <v>9</v>
      </c>
      <c r="DL9">
        <v>20</v>
      </c>
      <c r="DM9">
        <v>10</v>
      </c>
      <c r="DN9">
        <v>24</v>
      </c>
      <c r="DO9">
        <v>44</v>
      </c>
      <c r="DP9">
        <v>16</v>
      </c>
      <c r="DQ9">
        <v>13</v>
      </c>
      <c r="DR9" s="42">
        <v>9.5</v>
      </c>
      <c r="DS9" s="42">
        <f>60+45</f>
        <v>105</v>
      </c>
      <c r="DX9" s="16">
        <v>8</v>
      </c>
      <c r="DZ9" s="16">
        <v>6</v>
      </c>
      <c r="ED9">
        <v>24</v>
      </c>
      <c r="EE9" s="16">
        <v>13</v>
      </c>
    </row>
    <row r="10" spans="1:136" x14ac:dyDescent="0.35">
      <c r="A10" s="8">
        <v>8</v>
      </c>
      <c r="B10" s="8">
        <f>24-12</f>
        <v>12</v>
      </c>
      <c r="C10" s="8">
        <f>50-39</f>
        <v>11</v>
      </c>
      <c r="D10">
        <v>10</v>
      </c>
      <c r="E10">
        <v>8</v>
      </c>
      <c r="F10">
        <v>15</v>
      </c>
      <c r="G10" s="18">
        <f>26-10</f>
        <v>16</v>
      </c>
      <c r="J10" s="18">
        <v>16</v>
      </c>
      <c r="K10" t="s">
        <v>76</v>
      </c>
      <c r="L10" t="s">
        <v>76</v>
      </c>
      <c r="M10">
        <v>9</v>
      </c>
      <c r="N10">
        <v>26</v>
      </c>
      <c r="P10">
        <v>38</v>
      </c>
      <c r="Q10">
        <v>40</v>
      </c>
      <c r="U10">
        <v>21</v>
      </c>
      <c r="W10">
        <v>63</v>
      </c>
      <c r="Y10">
        <v>10</v>
      </c>
      <c r="Z10">
        <v>8.5</v>
      </c>
      <c r="AD10">
        <v>14</v>
      </c>
      <c r="BF10">
        <v>8</v>
      </c>
      <c r="BJ10">
        <v>164</v>
      </c>
      <c r="BM10">
        <v>14</v>
      </c>
      <c r="BO10">
        <v>8</v>
      </c>
      <c r="BP10">
        <v>10</v>
      </c>
      <c r="BQ10">
        <v>72</v>
      </c>
      <c r="BR10">
        <v>150</v>
      </c>
      <c r="BS10">
        <v>11</v>
      </c>
      <c r="BT10">
        <v>10</v>
      </c>
      <c r="BU10">
        <v>13</v>
      </c>
      <c r="BV10">
        <v>11</v>
      </c>
      <c r="BW10">
        <v>19</v>
      </c>
      <c r="BY10">
        <v>7</v>
      </c>
      <c r="BZ10">
        <v>8</v>
      </c>
      <c r="CB10">
        <v>11</v>
      </c>
      <c r="CD10">
        <v>4</v>
      </c>
      <c r="CE10">
        <v>10</v>
      </c>
      <c r="CF10">
        <v>12</v>
      </c>
      <c r="CG10">
        <v>14</v>
      </c>
      <c r="CH10">
        <v>18</v>
      </c>
      <c r="CI10" t="s">
        <v>174</v>
      </c>
      <c r="CJ10">
        <v>8</v>
      </c>
      <c r="CK10">
        <v>30</v>
      </c>
      <c r="CM10" s="60" t="s">
        <v>174</v>
      </c>
      <c r="CN10" s="60" t="s">
        <v>174</v>
      </c>
      <c r="CO10">
        <v>45</v>
      </c>
      <c r="CP10">
        <v>25</v>
      </c>
      <c r="CQ10">
        <v>29</v>
      </c>
      <c r="CR10">
        <v>30</v>
      </c>
      <c r="CS10">
        <v>42</v>
      </c>
      <c r="CT10">
        <v>28</v>
      </c>
      <c r="CU10">
        <v>9</v>
      </c>
      <c r="CW10" s="60" t="s">
        <v>174</v>
      </c>
      <c r="CX10">
        <v>14</v>
      </c>
      <c r="CY10">
        <v>13</v>
      </c>
      <c r="CZ10">
        <v>9</v>
      </c>
      <c r="DA10">
        <v>6</v>
      </c>
      <c r="DB10">
        <v>17</v>
      </c>
      <c r="DC10">
        <v>9</v>
      </c>
      <c r="DD10">
        <v>9</v>
      </c>
      <c r="DG10">
        <v>9</v>
      </c>
      <c r="DH10">
        <v>16</v>
      </c>
      <c r="DJ10">
        <v>10</v>
      </c>
      <c r="DK10">
        <v>8</v>
      </c>
      <c r="DL10">
        <v>10</v>
      </c>
      <c r="DM10">
        <v>9</v>
      </c>
      <c r="DN10">
        <v>19</v>
      </c>
      <c r="DO10">
        <v>36</v>
      </c>
      <c r="DP10">
        <v>13</v>
      </c>
      <c r="DQ10">
        <v>18</v>
      </c>
      <c r="DX10" s="16">
        <v>8</v>
      </c>
      <c r="DZ10" s="16">
        <v>6</v>
      </c>
      <c r="ED10">
        <v>76</v>
      </c>
    </row>
    <row r="11" spans="1:136" x14ac:dyDescent="0.35">
      <c r="A11" s="8">
        <f>48-39</f>
        <v>9</v>
      </c>
      <c r="B11" s="8">
        <v>10</v>
      </c>
      <c r="C11" s="8">
        <v>10</v>
      </c>
      <c r="D11" s="8">
        <v>10</v>
      </c>
      <c r="E11">
        <v>8</v>
      </c>
      <c r="F11">
        <v>9</v>
      </c>
      <c r="G11" s="19">
        <f>17-9</f>
        <v>8</v>
      </c>
      <c r="J11" s="19">
        <f>30-13</f>
        <v>17</v>
      </c>
      <c r="L11" t="s">
        <v>76</v>
      </c>
      <c r="M11">
        <v>3</v>
      </c>
      <c r="N11">
        <v>22</v>
      </c>
      <c r="P11">
        <v>23</v>
      </c>
      <c r="U11">
        <v>16</v>
      </c>
      <c r="W11" t="s">
        <v>174</v>
      </c>
      <c r="Y11">
        <v>6.5</v>
      </c>
      <c r="Z11">
        <v>9</v>
      </c>
      <c r="AD11">
        <v>11</v>
      </c>
      <c r="BF11">
        <v>4</v>
      </c>
      <c r="BJ11" t="s">
        <v>174</v>
      </c>
      <c r="BM11">
        <v>11</v>
      </c>
      <c r="BO11">
        <v>6</v>
      </c>
      <c r="BP11">
        <v>9</v>
      </c>
      <c r="BQ11">
        <v>7</v>
      </c>
      <c r="BR11">
        <v>10</v>
      </c>
      <c r="BS11">
        <v>10</v>
      </c>
      <c r="BT11">
        <v>8</v>
      </c>
      <c r="BU11">
        <v>10</v>
      </c>
      <c r="BV11">
        <v>8</v>
      </c>
      <c r="BW11">
        <v>40</v>
      </c>
      <c r="BY11">
        <v>6</v>
      </c>
      <c r="BZ11">
        <v>6</v>
      </c>
      <c r="CB11">
        <v>6</v>
      </c>
      <c r="CE11">
        <v>9</v>
      </c>
      <c r="CF11">
        <v>11</v>
      </c>
      <c r="CG11">
        <v>11</v>
      </c>
      <c r="CH11">
        <v>12</v>
      </c>
      <c r="CI11">
        <v>8</v>
      </c>
      <c r="CJ11">
        <v>7</v>
      </c>
      <c r="CK11">
        <v>32</v>
      </c>
      <c r="CM11" s="60" t="s">
        <v>174</v>
      </c>
      <c r="CN11">
        <v>250</v>
      </c>
      <c r="CQ11">
        <v>29</v>
      </c>
      <c r="CR11">
        <v>23</v>
      </c>
      <c r="CS11">
        <v>32</v>
      </c>
      <c r="CU11">
        <v>6</v>
      </c>
      <c r="CX11">
        <v>15</v>
      </c>
      <c r="CY11">
        <v>10</v>
      </c>
      <c r="CZ11">
        <v>8</v>
      </c>
      <c r="DA11">
        <v>8</v>
      </c>
      <c r="DB11">
        <v>13</v>
      </c>
      <c r="DC11">
        <v>7</v>
      </c>
      <c r="DD11">
        <v>8</v>
      </c>
      <c r="DG11">
        <v>8</v>
      </c>
      <c r="DH11">
        <v>17</v>
      </c>
      <c r="DJ11">
        <v>8</v>
      </c>
      <c r="DK11">
        <v>7</v>
      </c>
      <c r="DL11">
        <v>11</v>
      </c>
      <c r="DM11">
        <v>8</v>
      </c>
      <c r="DN11">
        <v>16</v>
      </c>
      <c r="DO11">
        <v>10</v>
      </c>
      <c r="DP11">
        <v>9</v>
      </c>
      <c r="DQ11">
        <v>14</v>
      </c>
      <c r="DX11" s="16">
        <v>9</v>
      </c>
      <c r="ED11">
        <v>172</v>
      </c>
    </row>
    <row r="12" spans="1:136" x14ac:dyDescent="0.35">
      <c r="A12" s="8">
        <f>19-10</f>
        <v>9</v>
      </c>
      <c r="B12" s="8">
        <f>41-35</f>
        <v>6</v>
      </c>
      <c r="C12" s="8">
        <f>41-35</f>
        <v>6</v>
      </c>
      <c r="D12" s="8">
        <v>10</v>
      </c>
      <c r="E12">
        <f>54-46</f>
        <v>8</v>
      </c>
      <c r="F12">
        <v>19</v>
      </c>
      <c r="G12" s="19">
        <f>22-13</f>
        <v>9</v>
      </c>
      <c r="J12" s="19">
        <f>38-13</f>
        <v>25</v>
      </c>
      <c r="L12" t="s">
        <v>76</v>
      </c>
      <c r="M12">
        <v>5</v>
      </c>
      <c r="N12">
        <v>18</v>
      </c>
      <c r="P12">
        <v>23</v>
      </c>
      <c r="U12">
        <v>10</v>
      </c>
      <c r="W12">
        <v>12</v>
      </c>
      <c r="Y12">
        <v>7</v>
      </c>
      <c r="Z12" s="43" t="s">
        <v>76</v>
      </c>
      <c r="AD12">
        <v>9</v>
      </c>
      <c r="BF12">
        <v>4</v>
      </c>
      <c r="BM12">
        <v>9</v>
      </c>
      <c r="BO12">
        <v>6</v>
      </c>
      <c r="BP12">
        <v>8</v>
      </c>
      <c r="BQ12">
        <v>5</v>
      </c>
      <c r="BR12">
        <v>8</v>
      </c>
      <c r="BS12">
        <v>10</v>
      </c>
      <c r="BT12">
        <v>6</v>
      </c>
      <c r="BU12">
        <v>9</v>
      </c>
      <c r="BV12">
        <v>8</v>
      </c>
      <c r="BW12">
        <v>14</v>
      </c>
      <c r="BZ12">
        <v>7</v>
      </c>
      <c r="CB12">
        <v>5</v>
      </c>
      <c r="CE12">
        <v>8</v>
      </c>
      <c r="CF12">
        <v>8</v>
      </c>
      <c r="CG12">
        <v>9</v>
      </c>
      <c r="CH12">
        <v>9</v>
      </c>
      <c r="CI12">
        <v>11</v>
      </c>
      <c r="CJ12">
        <v>15</v>
      </c>
      <c r="CM12">
        <v>26</v>
      </c>
      <c r="CN12">
        <v>12</v>
      </c>
      <c r="CR12">
        <v>16</v>
      </c>
      <c r="CU12">
        <v>6</v>
      </c>
      <c r="CY12">
        <v>9</v>
      </c>
      <c r="CZ12">
        <v>6</v>
      </c>
      <c r="DA12">
        <v>9</v>
      </c>
      <c r="DB12">
        <v>12</v>
      </c>
      <c r="DC12">
        <v>1</v>
      </c>
      <c r="DH12">
        <v>5</v>
      </c>
      <c r="DJ12">
        <v>7</v>
      </c>
      <c r="DK12">
        <v>6</v>
      </c>
      <c r="DL12">
        <v>10</v>
      </c>
      <c r="DM12">
        <v>7</v>
      </c>
      <c r="DN12">
        <v>14</v>
      </c>
      <c r="DO12">
        <v>9</v>
      </c>
      <c r="DP12">
        <v>8</v>
      </c>
      <c r="DX12" s="16">
        <v>10</v>
      </c>
      <c r="ED12">
        <v>8</v>
      </c>
    </row>
    <row r="13" spans="1:136" x14ac:dyDescent="0.35">
      <c r="A13" s="8">
        <f>51-43</f>
        <v>8</v>
      </c>
      <c r="B13" s="8">
        <v>6</v>
      </c>
      <c r="C13" s="8">
        <f>35-29</f>
        <v>6</v>
      </c>
      <c r="D13" s="8">
        <v>7</v>
      </c>
      <c r="E13">
        <f>52-47</f>
        <v>5</v>
      </c>
      <c r="F13">
        <v>8</v>
      </c>
      <c r="G13" s="19">
        <v>8</v>
      </c>
      <c r="J13" s="19">
        <v>20</v>
      </c>
      <c r="L13" t="s">
        <v>76</v>
      </c>
      <c r="N13">
        <v>17</v>
      </c>
      <c r="U13">
        <v>6</v>
      </c>
      <c r="W13">
        <v>11</v>
      </c>
      <c r="Y13">
        <v>10</v>
      </c>
      <c r="AD13">
        <v>6</v>
      </c>
      <c r="BM13">
        <v>9</v>
      </c>
      <c r="BO13">
        <v>6</v>
      </c>
      <c r="BP13">
        <v>7</v>
      </c>
      <c r="BQ13">
        <v>8</v>
      </c>
      <c r="BR13">
        <v>6</v>
      </c>
      <c r="BS13">
        <v>9</v>
      </c>
      <c r="BT13">
        <v>7</v>
      </c>
      <c r="BU13">
        <v>8</v>
      </c>
      <c r="BV13">
        <v>7</v>
      </c>
      <c r="BW13">
        <v>25</v>
      </c>
      <c r="CB13">
        <v>4</v>
      </c>
      <c r="CE13">
        <v>7</v>
      </c>
      <c r="CF13">
        <v>8</v>
      </c>
      <c r="CG13">
        <v>6</v>
      </c>
      <c r="CH13">
        <v>8</v>
      </c>
      <c r="CI13">
        <v>10</v>
      </c>
      <c r="CJ13">
        <v>12</v>
      </c>
      <c r="CM13">
        <v>25</v>
      </c>
      <c r="CN13">
        <v>10</v>
      </c>
      <c r="CU13">
        <v>7</v>
      </c>
      <c r="CZ13">
        <v>16</v>
      </c>
      <c r="DB13">
        <v>9</v>
      </c>
      <c r="DH13">
        <v>4</v>
      </c>
      <c r="DJ13">
        <v>7</v>
      </c>
      <c r="DK13">
        <v>5</v>
      </c>
      <c r="DL13">
        <v>8</v>
      </c>
      <c r="DM13">
        <v>6</v>
      </c>
      <c r="DN13">
        <v>11</v>
      </c>
      <c r="DO13">
        <v>8</v>
      </c>
      <c r="DP13">
        <v>41</v>
      </c>
    </row>
    <row r="14" spans="1:136" x14ac:dyDescent="0.35">
      <c r="A14" s="8">
        <v>7</v>
      </c>
      <c r="B14" s="8">
        <f>45-36</f>
        <v>9</v>
      </c>
      <c r="C14" s="8">
        <f>23-17</f>
        <v>6</v>
      </c>
      <c r="D14" s="8">
        <f>16-9</f>
        <v>7</v>
      </c>
      <c r="E14">
        <v>5</v>
      </c>
      <c r="F14">
        <v>9</v>
      </c>
      <c r="G14" s="19">
        <f>18-13</f>
        <v>5</v>
      </c>
      <c r="J14" s="19">
        <v>28</v>
      </c>
      <c r="L14" t="s">
        <v>76</v>
      </c>
      <c r="N14">
        <v>11</v>
      </c>
      <c r="W14">
        <v>9</v>
      </c>
      <c r="Y14">
        <v>9</v>
      </c>
      <c r="AD14">
        <v>6</v>
      </c>
      <c r="BM14">
        <v>7</v>
      </c>
      <c r="BO14">
        <v>5</v>
      </c>
      <c r="BP14">
        <v>7</v>
      </c>
      <c r="BQ14">
        <v>6</v>
      </c>
      <c r="BR14">
        <v>4</v>
      </c>
      <c r="BS14">
        <v>7</v>
      </c>
      <c r="BU14">
        <v>7</v>
      </c>
      <c r="BV14">
        <v>6</v>
      </c>
      <c r="BW14">
        <v>3</v>
      </c>
      <c r="CE14">
        <v>6</v>
      </c>
      <c r="CF14">
        <v>7</v>
      </c>
      <c r="CG14">
        <v>6</v>
      </c>
      <c r="CH14">
        <v>7</v>
      </c>
      <c r="DB14">
        <v>17</v>
      </c>
      <c r="DJ14">
        <v>19</v>
      </c>
      <c r="DL14">
        <v>30</v>
      </c>
      <c r="DM14">
        <v>13</v>
      </c>
      <c r="DN14">
        <v>10</v>
      </c>
      <c r="DO14">
        <v>6</v>
      </c>
      <c r="DP14">
        <v>55</v>
      </c>
    </row>
    <row r="15" spans="1:136" x14ac:dyDescent="0.35">
      <c r="A15" s="8">
        <f>32-25</f>
        <v>7</v>
      </c>
      <c r="D15" s="8">
        <f>45-39</f>
        <v>6</v>
      </c>
      <c r="E15">
        <f>53-48</f>
        <v>5</v>
      </c>
      <c r="F15">
        <v>9</v>
      </c>
      <c r="G15" s="19">
        <f>23-16</f>
        <v>7</v>
      </c>
      <c r="J15" s="19">
        <v>25</v>
      </c>
      <c r="L15" t="s">
        <v>76</v>
      </c>
      <c r="N15">
        <v>13</v>
      </c>
      <c r="W15">
        <v>11</v>
      </c>
      <c r="Y15">
        <v>8</v>
      </c>
      <c r="AD15">
        <v>5</v>
      </c>
      <c r="BO15">
        <v>6</v>
      </c>
      <c r="BP15">
        <v>7</v>
      </c>
      <c r="BQ15">
        <v>11</v>
      </c>
      <c r="BW15">
        <v>4</v>
      </c>
      <c r="CE15">
        <v>5</v>
      </c>
      <c r="CG15">
        <v>5</v>
      </c>
      <c r="CH15">
        <v>6.5</v>
      </c>
      <c r="DB15">
        <v>23</v>
      </c>
      <c r="DO15">
        <v>6</v>
      </c>
    </row>
    <row r="16" spans="1:136" x14ac:dyDescent="0.35">
      <c r="G16" s="18">
        <v>4</v>
      </c>
      <c r="J16" s="19">
        <v>71</v>
      </c>
      <c r="L16" t="s">
        <v>76</v>
      </c>
      <c r="N16">
        <v>12</v>
      </c>
      <c r="W16">
        <v>10</v>
      </c>
      <c r="BO16">
        <v>4</v>
      </c>
      <c r="BP16">
        <v>5</v>
      </c>
      <c r="BQ16">
        <v>13</v>
      </c>
      <c r="DB16">
        <v>22</v>
      </c>
      <c r="DO16">
        <v>5</v>
      </c>
    </row>
    <row r="17" spans="10:69" x14ac:dyDescent="0.35">
      <c r="J17">
        <f>53-25</f>
        <v>28</v>
      </c>
      <c r="L17" t="s">
        <v>76</v>
      </c>
      <c r="N17">
        <v>14</v>
      </c>
      <c r="W17">
        <v>10</v>
      </c>
      <c r="BQ17">
        <v>35</v>
      </c>
    </row>
    <row r="18" spans="10:69" x14ac:dyDescent="0.35">
      <c r="J18">
        <v>65</v>
      </c>
      <c r="N18">
        <v>13</v>
      </c>
      <c r="W18">
        <v>7</v>
      </c>
      <c r="BQ18">
        <v>61</v>
      </c>
    </row>
    <row r="19" spans="10:69" x14ac:dyDescent="0.35">
      <c r="W19">
        <v>8</v>
      </c>
      <c r="BQ19">
        <v>77</v>
      </c>
    </row>
    <row r="20" spans="10:69" x14ac:dyDescent="0.35">
      <c r="W20">
        <v>5</v>
      </c>
    </row>
    <row r="21" spans="10:69" x14ac:dyDescent="0.35">
      <c r="W21" s="43" t="s">
        <v>229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F21"/>
  <sheetViews>
    <sheetView zoomScale="110" zoomScaleNormal="110" workbookViewId="0">
      <selection activeCell="BZ18" sqref="BZ18"/>
    </sheetView>
  </sheetViews>
  <sheetFormatPr defaultRowHeight="14.5" x14ac:dyDescent="0.35"/>
  <cols>
    <col min="76" max="76" width="8.6328125" style="43"/>
    <col min="81" max="81" width="14.6328125" customWidth="1"/>
    <col min="82" max="82" width="8.6328125" style="43"/>
  </cols>
  <sheetData>
    <row r="1" spans="1:136" x14ac:dyDescent="0.35">
      <c r="A1" t="s">
        <v>521</v>
      </c>
    </row>
    <row r="3" spans="1:136" s="1" customFormat="1" ht="87" x14ac:dyDescent="0.35">
      <c r="A3" s="1" t="str">
        <f>'Formulation Name Data'!A10&amp;"_T1"</f>
        <v>Buckeye 3%_3_T1</v>
      </c>
      <c r="B3" s="1" t="str">
        <f>'Formulation Name Data'!A4&amp;"_T1"</f>
        <v>Cap_TrX100_DGBE_0.3_0.2_0.5_T1</v>
      </c>
      <c r="C3" s="1" t="str">
        <f>'Formulation Name Data'!A13&amp;"_T1"</f>
        <v>Cap_TrX100_DGBE_0.6_0.2_0.5_T1</v>
      </c>
      <c r="D3" s="1" t="str">
        <f>'Formulation Name Data'!A14&amp;"_T1"</f>
        <v>Cap_TrX100_DGBE_0.6_0.4_0.5_T1</v>
      </c>
      <c r="E3" s="1" t="str">
        <f>'Formulation Name Data'!A15&amp;"_T1"</f>
        <v>Cap_TrX100_DGBE_1.2_0.8_0.5_T1</v>
      </c>
      <c r="F3" s="1" t="str">
        <f>'Formulation Name Data'!A16&amp;"_T1"</f>
        <v>Cap_TrX100_DGBE_0.3_0.2_1_T1</v>
      </c>
      <c r="G3" s="1" t="str">
        <f>'Formulation Name Data'!A8&amp;"_T1"</f>
        <v>Cap_G215_DGBE_0.3_0.2_0.5_T1</v>
      </c>
      <c r="H3" s="1" t="str">
        <f>'Formulation Name Data'!A119&amp;"_T1"</f>
        <v>Cap_TrGR-5M_DGBE_0.3_0.2_0.5_T1</v>
      </c>
      <c r="I3" s="1" t="str">
        <f>'Formulation Name Data'!A7&amp;"_T1"</f>
        <v>G215_DGBE_0.5_0.5_T1</v>
      </c>
      <c r="J3" s="1" t="str">
        <f>'Formulation Name Data'!A6&amp;"_T1"</f>
        <v>Cap_DGBE_0.5_0.5_T1</v>
      </c>
      <c r="K3" s="1" t="str">
        <f>'Formulation Name Data'!A5&amp;"_T1"</f>
        <v>TrX100_DGBE_0.5_0.5_T1</v>
      </c>
      <c r="L3" s="1" t="str">
        <f>'Formulation Name Data'!A74&amp;"_T1"</f>
        <v>Cap_DGBE_0.225_0.5_T1</v>
      </c>
      <c r="M3" s="1" t="str">
        <f>'Formulation Name Data'!A11&amp;"_T1"</f>
        <v>RF6_6_T1</v>
      </c>
      <c r="N3" s="1" t="str">
        <f>'Formulation Name Data'!A33&amp;"_T1"</f>
        <v>D502W_G215_DGBE_0.075_0.05_0.5_T1</v>
      </c>
      <c r="O3" s="1" t="str">
        <f>'Formulation Name Data'!A7&amp;"_T2"</f>
        <v>G215_DGBE_0.5_0.5_T2</v>
      </c>
      <c r="P3" s="1" t="str">
        <f>'Formulation Name Data'!A5&amp;"_T2"</f>
        <v>TrX100_DGBE_0.5_0.5_T2</v>
      </c>
      <c r="Q3" s="1" t="str">
        <f>'Formulation Name Data'!A72&amp;"_T1"</f>
        <v>D502W_DGBE_0.1_0.5_T1</v>
      </c>
      <c r="R3" s="1" t="str">
        <f>'Formulation Name Data'!A35&amp;"_T1"</f>
        <v>L77_G215_DGBE_0.11_0.08_0.5_T1</v>
      </c>
      <c r="S3" s="1" t="str">
        <f>'Formulation Name Data'!A83&amp;"_T1"</f>
        <v>D502W_TrX100_DGBE_0.1_0.08_0.5_T1</v>
      </c>
      <c r="T3" s="1" t="str">
        <f>'Formulation Name Data'!A36&amp;"_T1"</f>
        <v>D67_G215_DGBE_0.06_0.04_0.5_T1</v>
      </c>
      <c r="U3" s="1" t="str">
        <f>'Formulation Name Data'!A122&amp;"_T1"</f>
        <v>D502W_G215_DGBE_0.3_0.2_0.5_T1</v>
      </c>
      <c r="V3" s="1" t="str">
        <f>'Formulation Name Data'!A75&amp;"_T1"</f>
        <v>D193_G215_DGBE_0.3_0.2_0.5_T1</v>
      </c>
      <c r="W3" s="1" t="str">
        <f>'Formulation Name Data'!A84&amp;"_T1"</f>
        <v>D502W_G215_DGBE_0.05_0.075_0.5_T1</v>
      </c>
      <c r="X3" s="1" t="str">
        <f>'Formulation Name Data'!A45&amp;"_T1"</f>
        <v>Gel6185_G215_DGBE_0.06_0.04_0.5_T1</v>
      </c>
      <c r="Y3" s="1" t="str">
        <f>'Formulation Name Data'!A123&amp;"_T1"</f>
        <v>D502W_G225_DGBE_0.17_0.33_0.5_T1</v>
      </c>
      <c r="Z3" s="1" t="str">
        <f>'Formulation Name Data'!A124&amp;"_T1"</f>
        <v>D502W_G225_DGBE_0.12_0.38_0.5_T1</v>
      </c>
      <c r="AA3" s="1" t="str">
        <f>'Formulation Name Data'!A125&amp;"_T1"</f>
        <v>G225_DGBE_0.25_0.25_T1</v>
      </c>
      <c r="AB3" s="1" t="str">
        <f>'Formulation Name Data'!A112&amp;"_T1"</f>
        <v>G600_DGBE_0.5_0.5_T1</v>
      </c>
      <c r="AC3" s="1" t="str">
        <f>'Formulation Name Data'!A113&amp;"_T1"</f>
        <v>D502W_DGBE_0.5_0.5_T1</v>
      </c>
      <c r="AD3" s="1" t="str">
        <f>'Formulation Name Data'!A8&amp;"_T2"</f>
        <v>Cap_G215_DGBE_0.3_0.2_0.5_T2</v>
      </c>
      <c r="AE3" s="1" t="str">
        <f>'Formulation Name Data'!A126&amp;"_T1"</f>
        <v>D5575_0.225_T1</v>
      </c>
      <c r="AF3" s="1" t="str">
        <f>'Formulation Name Data'!A29&amp;"_T1"</f>
        <v>D5575_G215_DGBE_0.3_0.2_0.5_T1</v>
      </c>
      <c r="AG3" s="1" t="str">
        <f>'Formulation Name Data'!A127&amp;"_T1"</f>
        <v>D5244_0.225_T1</v>
      </c>
      <c r="AH3" s="1" t="str">
        <f>'Formulation Name Data'!A30&amp;"_T1"</f>
        <v>D5244_G215_DGBE_0.3_0.2_0.5_T1</v>
      </c>
      <c r="AI3" s="1" t="str">
        <f>'Formulation Name Data'!A128&amp;"_T1"</f>
        <v>D193_0.225_T1</v>
      </c>
      <c r="AJ3" s="1" t="str">
        <f>'Formulation Name Data'!A75&amp;"_T1"</f>
        <v>D193_G215_DGBE_0.3_0.2_0.5_T1</v>
      </c>
      <c r="AK3" s="1" t="str">
        <f>'Formulation Name Data'!A129&amp;"_T1"</f>
        <v>D501W_0.05_T1</v>
      </c>
      <c r="AL3" s="1" t="str">
        <f>'Formulation Name Data'!A32&amp;"_T1"</f>
        <v>D501W_G215_DGBE_0.04_0.027_0.5_T1</v>
      </c>
      <c r="AM3" s="1" t="str">
        <f>'Formulation Name Data'!A130&amp;"_T1"</f>
        <v>D198_0.5_T1</v>
      </c>
      <c r="AN3" s="1" t="str">
        <f>'Formulation Name Data'!A131&amp;"_T1"</f>
        <v>D198_G215_DGBE_0.3_0.2_0.5_T1</v>
      </c>
      <c r="AO3" s="1" t="str">
        <f>'Formulation Name Data'!A132&amp;"_T1"</f>
        <v>D5604_0.24_T1</v>
      </c>
      <c r="AP3" s="1" t="str">
        <f>'Formulation Name Data'!A133&amp;"_T1"</f>
        <v>D5604_G215_DGBE_0.3_0.2_0.5_T1</v>
      </c>
      <c r="AQ3" s="1" t="str">
        <f>'Formulation Name Data'!A77&amp;"_T1"</f>
        <v>D502W_0.1_T1</v>
      </c>
      <c r="AR3" s="1" t="str">
        <f>'Formulation Name Data'!A134&amp;"_T1"</f>
        <v>D5098_0.1_T1</v>
      </c>
      <c r="AS3" s="1" t="str">
        <f>'Formulation Name Data'!A34&amp;"_T1"</f>
        <v>D5098_G215_DGBE_0.14_0.09_0.5_T1</v>
      </c>
      <c r="AT3" s="1" t="str">
        <f>'Formulation Name Data'!A80&amp;"_T1"</f>
        <v>AlphaFoam_1.3_T1</v>
      </c>
      <c r="AU3" s="1" t="str">
        <f>'Formulation Name Data'!A135&amp;"_T1"</f>
        <v>AlphaFoam_G215_DGBE_1.3_0.2_0.5_T1</v>
      </c>
      <c r="AV3" s="1" t="str">
        <f>'Formulation Name Data'!A79&amp;"_T1"</f>
        <v>TMN6_0.4_T1</v>
      </c>
      <c r="AW3" s="1" t="str">
        <f>'Formulation Name Data'!A19&amp;"_T1"</f>
        <v>TMN6_G215_DGBE_0.3_0.2_0.5_T1</v>
      </c>
      <c r="AX3" s="1" t="str">
        <f>'Formulation Name Data'!A78&amp;"_T1"</f>
        <v>T15-S-7_0.05_T1</v>
      </c>
      <c r="AY3" s="1" t="str">
        <f>'Formulation Name Data'!A20&amp;"_T1"</f>
        <v>T15-S-7_G215_DGBE_0.03_0.02_0.5_T1</v>
      </c>
      <c r="AZ3" s="1" t="str">
        <f>'Formulation Name Data'!A82&amp;"_T1"</f>
        <v>Silsurf_0.014_T1</v>
      </c>
      <c r="BA3" s="1" t="str">
        <f>'Formulation Name Data'!A136&amp;"_T1"</f>
        <v>Silsurf_0.14_T1</v>
      </c>
      <c r="BB3" s="1" t="str">
        <f>'Formulation Name Data'!A17&amp;"_T1"</f>
        <v>Silsurf_G215_DGBE_0.14_0.09_0.5_T1</v>
      </c>
      <c r="BC3" s="1" t="str">
        <f>'Formulation Name Data'!A81&amp;"_T1"</f>
        <v>Silphos_0.3_T1</v>
      </c>
      <c r="BD3" s="1" t="str">
        <f>'Formulation Name Data'!A18&amp;"_T1"</f>
        <v>Silphos_G215_DGBE_0.3_0.2_0.5_T1</v>
      </c>
      <c r="BE3" s="1" t="str">
        <f>'Formulation Name Data'!A156&amp;"_T1"</f>
        <v>NRL_N10477-189_G225_DGBE_0.05_0.3_0.5_T1</v>
      </c>
      <c r="BF3" s="1" t="str">
        <f>'Formulation Name Data'!A155&amp;"_T1"</f>
        <v>NRL_N10478-198_G225_DGBE_0.065_0.3_0.5_T1</v>
      </c>
      <c r="BG3" s="1" t="str">
        <f>'Formulation Name Data'!A157&amp;"_T1"</f>
        <v>NRL_N10478-81_G225_DGBE_0.116_0.3_0.5_T1</v>
      </c>
      <c r="BH3" s="1" t="str">
        <f>'Formulation Name Data'!A138&amp;"_T1"</f>
        <v>CL_MD2086-97_G225_DGBE_0.34_0.56_0.5_T1</v>
      </c>
      <c r="BI3" s="1" t="str">
        <f>'Formulation Name Data'!A158&amp;"_T1"</f>
        <v>CL_MD2102-54_G225_DGBE_0.2_0.3_0.5_T1</v>
      </c>
      <c r="BJ3" s="1" t="str">
        <f>'Formulation Name Data'!A160&amp;"_T1"</f>
        <v>D502W_CL_C8G3_DGBE_0.2_0.19_0.5_T1</v>
      </c>
      <c r="BK3" s="1" t="str">
        <f>'Formulation Name Data'!A161&amp;"_T1"</f>
        <v>D502W_C10G3_DGBE_0.2_0.21_0.5_T1</v>
      </c>
      <c r="BL3" s="1" t="str">
        <f>'Formulation Name Data'!A162&amp;"_T1"</f>
        <v>D502W_C12G3_DGBE_0.2_0.21_0.5_T1</v>
      </c>
      <c r="BM3" s="1" t="str">
        <f>'Formulation Name Data'!A38&amp;"_T1"</f>
        <v>D502W_G225_0.2_0.3_T1</v>
      </c>
      <c r="BN3" s="1" t="str">
        <f>'Formulation Name Data'!A165&amp;"_T1"</f>
        <v>NRL_N10478-40_G225_DGBE_0.2_0.3_0.5_T1</v>
      </c>
      <c r="BO3" s="1" t="str">
        <f>'Formulation Name Data'!A167&amp;"_T1"</f>
        <v>Ecoguard CF3F_T1</v>
      </c>
      <c r="BP3" s="1" t="str">
        <f>'Formulation Name Data'!A67&amp;"_T1"</f>
        <v>FomtecEnviroUSP 3%_T1</v>
      </c>
      <c r="BQ3" s="1" t="str">
        <f>'Formulation Name Data'!A8&amp;"_T3"</f>
        <v>Cap_G215_DGBE_0.3_0.2_0.5_T3</v>
      </c>
      <c r="BR3" s="1" t="str">
        <f>'Formulation Name Data'!A8&amp;"_T4"</f>
        <v>Cap_G215_DGBE_0.3_0.2_0.5_T4</v>
      </c>
      <c r="BS3" s="1" t="str">
        <f>'Formulation Name Data'!A37&amp;"_T1"</f>
        <v>D502W_G225_DGBE_0.2_0.3_0.5_T1</v>
      </c>
      <c r="BT3" s="1" t="str">
        <f>'Formulation Name Data'!A6&amp;"_T2"</f>
        <v>Cap_DGBE_0.5_0.5_T2</v>
      </c>
      <c r="BU3" s="1" t="str">
        <f>'Formulation Name Data'!A37&amp;"_T2"</f>
        <v>D502W_G225_DGBE_0.2_0.3_0.5_T2</v>
      </c>
      <c r="BV3" s="1" t="str">
        <f>'Formulation Name Data'!A168&amp;"_T1"</f>
        <v>D502W_G225_DGBE_0.4_0.6_1_T1</v>
      </c>
      <c r="BW3" s="1" t="str">
        <f>'Formulation Name Data'!A149&amp;"_T1"</f>
        <v>ComSor_EXP-21-CM7837-4_T1</v>
      </c>
      <c r="BX3" s="12" t="str">
        <f>'Formulation Name Data'!A148&amp;"_T1"</f>
        <v>ComSor_EXP-21-CM7837-5_T1</v>
      </c>
      <c r="BY3" s="1" t="str">
        <f>'Formulation Name Data'!A61&amp;"_T1"</f>
        <v>ComSor_EXP-20-C10628-E_T1</v>
      </c>
      <c r="BZ3" s="1" t="str">
        <f>'Formulation Name Data'!A60&amp;"_T1"</f>
        <v>ComSor_EXP-20-C10628-D_T1</v>
      </c>
      <c r="CA3" s="1" t="str">
        <f>'Formulation Name Data'!A101&amp;"_T1"</f>
        <v>ComSor_26990-95D_T1</v>
      </c>
      <c r="CB3" s="1" t="str">
        <f>'Formulation Name Data'!A100&amp;"_T1"</f>
        <v>ComSor_26990-95C_T1</v>
      </c>
      <c r="CC3" s="1" t="str">
        <f>'Formulation Name Data'!A99&amp;"_T1"</f>
        <v>ComSor_26990-95B_T1</v>
      </c>
      <c r="CD3" s="12" t="str">
        <f>'Formulation Name Data'!A98&amp;"_T1"</f>
        <v>ComSor1830503_T1</v>
      </c>
      <c r="CE3" s="1" t="str">
        <f>'Formulation Name Data'!A10&amp;"_T2"</f>
        <v>Buckeye 3%_3_T2</v>
      </c>
      <c r="CF3" s="1" t="str">
        <f>'Formulation Name Data'!A169&amp;"_T1"</f>
        <v>Universal®F3 Green_3_T1</v>
      </c>
      <c r="CG3" s="1" t="str">
        <f>'Formulation Name Data'!A8&amp;"_T5"</f>
        <v>Cap_G215_DGBE_0.3_0.2_0.5_T5</v>
      </c>
      <c r="CH3" s="1" t="str">
        <f>'Formulation Name Data'!A170&amp;"_T1"</f>
        <v>Cap_G225_DGBE_0.3_0.2_0.5_T1</v>
      </c>
      <c r="CI3" s="1" t="str">
        <f>'Formulation Name Data'!A50&amp;"_T1"</f>
        <v>D502W_C12G2_DGBE_0.2_0.19_0.5_T1</v>
      </c>
      <c r="CJ3" s="1" t="str">
        <f>'Formulation Name Data'!A49&amp;"_T1"</f>
        <v>D502W_C10G2_DGBE_0.2_0.19_0.5_T1</v>
      </c>
      <c r="CK3" s="1" t="str">
        <f>'Formulation Name Data'!A51&amp;"_T1"</f>
        <v>D502W_C8G1_DGBE_0.2_0.19_0.5_T1</v>
      </c>
      <c r="CL3" s="1" t="str">
        <f>'Formulation Name Data'!A51&amp;"_T2"</f>
        <v>D502W_C8G1_DGBE_0.2_0.19_0.5_T2</v>
      </c>
      <c r="CM3" s="1" t="str">
        <f>'Formulation Name Data'!A48&amp;"_T1"</f>
        <v>D502W_C8G2_DGBE_0.2_0.19_0.5_T1</v>
      </c>
      <c r="CN3" s="1" t="str">
        <f>'Formulation Name Data'!A106&amp;"_T1"</f>
        <v>D502W_C9G2_DGBE_0.2_0.19_0.5_T1</v>
      </c>
      <c r="CO3" s="1" t="str">
        <f>'Formulation Name Data'!A108&amp;"_T1"</f>
        <v>D502W_C7G1_DGBE_0.2_0.19_0.5_T1</v>
      </c>
      <c r="CP3" s="1" t="str">
        <f>'Formulation Name Data'!A107&amp;"_T1"</f>
        <v>D502W_C6G1_DGBE_0.2_0.19_0.5_T1</v>
      </c>
      <c r="CQ3" s="1" t="str">
        <f>'Formulation Name Data'!A103&amp;"_T1"</f>
        <v>D502W_Cymal_DGBE_0.2_0.19_0.5_T1</v>
      </c>
      <c r="CR3" s="1" t="str">
        <f>'Formulation Name Data'!A102&amp;"_T1"</f>
        <v>D502W_C8SG2_DGBE_0.2_0.19_0.5_T1</v>
      </c>
      <c r="CS3" s="1" t="str">
        <f>'Formulation Name Data'!A104&amp;"_T1"</f>
        <v>D502W_iC8G2_DGBE_0.2_0.19_0.5_T1</v>
      </c>
      <c r="CT3" s="1" t="str">
        <f>'Formulation Name Data'!A105&amp;"_T1"</f>
        <v>D502W_C6G2_DGBE_0.2_0.19_0.5_T1</v>
      </c>
      <c r="CU3" s="1" t="str">
        <f>'Formulation Name Data'!A37&amp;"_T3"</f>
        <v>D502W_G225_DGBE_0.2_0.3_0.5_T3</v>
      </c>
      <c r="CV3" s="1" t="str">
        <f>'Formulation Name Data'!A50&amp;"_T2"</f>
        <v>D502W_C12G2_DGBE_0.2_0.19_0.5_T2</v>
      </c>
      <c r="CW3" s="1" t="str">
        <f>'Formulation Name Data'!A49&amp;"_T2"</f>
        <v>D502W_C10G2_DGBE_0.2_0.19_0.5_T2</v>
      </c>
      <c r="CX3" s="1" t="str">
        <f>'Formulation Name Data'!A51&amp;"_T3"</f>
        <v>D502W_C8G1_DGBE_0.2_0.19_0.5_T3</v>
      </c>
      <c r="CY3" s="1" t="str">
        <f>'Formulation Name Data'!A48&amp;"_T2"</f>
        <v>D502W_C8G2_DGBE_0.2_0.19_0.5_T2</v>
      </c>
      <c r="CZ3" s="1" t="str">
        <f>'Formulation Name Data'!A37&amp;"_T4"</f>
        <v>D502W_G225_DGBE_0.2_0.3_0.5_T4</v>
      </c>
      <c r="DA3" s="1" t="str">
        <f>'Formulation Name Data'!A89&amp;"_T1"</f>
        <v>D502W_G600_DGBE_0.2_0.3_0.5_T1</v>
      </c>
      <c r="DB3" s="1" t="str">
        <f>'Formulation Name Data'!A171&amp;"_T1"</f>
        <v>D502W_G225_DGBE_0.3_0.2_0.5_T1</v>
      </c>
      <c r="DC3" s="1" t="str">
        <f>'Formulation Name Data'!A172&amp;"_T1"</f>
        <v>D502W_G225_DGBE_0.13_0.38_0.5_T1</v>
      </c>
      <c r="DD3" s="1" t="str">
        <f>'Formulation Name Data'!A173&amp;"_T1"</f>
        <v>D502W_TrCG-425_DGBE_0.2_0.3_0.5_T1</v>
      </c>
      <c r="DE3" s="1" t="str">
        <f>'Formulation Name Data'!A46&amp;"_T1"</f>
        <v>ComSor181360_G225_DGBE_0.2_0.3_0.5_T1</v>
      </c>
      <c r="DF3" s="1" t="str">
        <f>'Formulation Name Data'!A177&amp;"_T1"</f>
        <v>CL_MD2062-57_G225_DGBE_0.2_0.3_0.5_T1</v>
      </c>
      <c r="DG3" s="1" t="str">
        <f>'Formulation Name Data'!A109&amp;"_T1"</f>
        <v>G225_DGBE_0.3_0.5_T1</v>
      </c>
      <c r="DH3" s="1" t="str">
        <f>'Formulation Name Data'!A178&amp;"_T1"</f>
        <v>CL_MD2062-121_G225_DGBE_0.1_0.3_0.5_T1</v>
      </c>
      <c r="DI3" s="1" t="str">
        <f>'Formulation Name Data'!A37&amp;"_T5"</f>
        <v>D502W_G225_DGBE_0.2_0.3_0.5_T5</v>
      </c>
      <c r="DJ3" s="1" t="str">
        <f>'Formulation Name Data'!A39&amp;"_T1"</f>
        <v>NRL_N10358-176_G225_DGBE_0.2_0.3_0.5_T1</v>
      </c>
      <c r="DK3" s="1" t="str">
        <f>'Formulation Name Data'!A40&amp;"_T1"</f>
        <v>NRL_N10358-174_G225_DGBE_0.2_0.3_0.5_T1</v>
      </c>
      <c r="DL3" s="1" t="str">
        <f>'Formulation Name Data'!A120&amp;"_T2"</f>
        <v>NRL_N10477-03_G225_DGBE_0.2_0.3_0.5_T2</v>
      </c>
      <c r="DM3" s="1" t="str">
        <f>'Formulation Name Data'!A121&amp;"_T2"</f>
        <v>NRL_N10477-01_G225_DGBE_0.2_0.3_0.5_T2</v>
      </c>
      <c r="DN3" s="1" t="str">
        <f>'Formulation Name Data'!A92&amp;"_T1"</f>
        <v>NRL_N10477-09_G225_DGBE_0.2_0.3_0.5_T1</v>
      </c>
      <c r="DO3" s="1" t="str">
        <f>'Formulation Name Data'!A116&amp;"_T1"</f>
        <v>NRL_N10477-05_G215_DGBE_0.2_0.3_0.5_T1</v>
      </c>
      <c r="DP3" s="1" t="str">
        <f>'Formulation Name Data'!A97&amp;"_T2"</f>
        <v>NRL_N10477-07_G225_DGBE_0.2_0.3_0.5_T2</v>
      </c>
      <c r="DQ3" s="1" t="str">
        <f>'Formulation Name Data'!A96&amp;"_T1"</f>
        <v>NRL_N10477-12_G225_DGBE_0.2_0.3_0.5_T1</v>
      </c>
      <c r="DR3" s="1" t="str">
        <f>'Formulation Name Data'!A37&amp;"_T6"</f>
        <v>D502W_G225_DGBE_0.2_0.3_0.5_T6</v>
      </c>
      <c r="DS3" s="1" t="str">
        <f>'Formulation Name Data'!A182&amp;"_T1"</f>
        <v>NRL_LBII43_G225_DGBE_0.2_0.3_0.5_T1</v>
      </c>
      <c r="DT3" s="1" t="str">
        <f>'Formulation Name Data'!A183&amp;"_T1"</f>
        <v>NRL_CB_DTBTS_SB_G225_DGBE_0.02_0.3_0.5_T1</v>
      </c>
      <c r="DU3" s="1" t="str">
        <f>'Formulation Name Data'!A184&amp;"_T1"</f>
        <v>NRL_CB-1-123_G225_DGBE_0.2_0.3_0.5_T1</v>
      </c>
      <c r="DV3" s="1" t="str">
        <f>'Formulation Name Data'!A185&amp;"_T1"</f>
        <v>NRL_N10478-227_G225_DGBE_0.063_0.3_0.5_T1</v>
      </c>
      <c r="DW3" s="1" t="str">
        <f>'Formulation Name Data'!A186&amp;"_T1"</f>
        <v>NRL_N10478-233_G225_DGBE_0.03_0.3_0.5_T1</v>
      </c>
      <c r="DX3" s="1" t="str">
        <f>'Formulation Name Data'!A187&amp;"_T1"</f>
        <v>NRL_N10478-240_G225_DGBE_#_0.3_0.5_T1</v>
      </c>
      <c r="DY3" s="1" t="str">
        <f>'Formulation Name Data'!A188&amp;"_T1"</f>
        <v>CL_MD2102-90_G225_DGBE_0.2_0.3_0.5_T1</v>
      </c>
      <c r="DZ3" s="1" t="str">
        <f>'Formulation Name Data'!A189&amp;"_T1"</f>
        <v>CL_MD2102-112_G225_DGBE_0.05_0.3_0.5_T1</v>
      </c>
      <c r="EA3" s="1" t="str">
        <f>'Formulation Name Data'!A191&amp;"_T1"</f>
        <v>ComSor_EXP-21-CH1070-1_3_T1</v>
      </c>
      <c r="EB3" s="1" t="str">
        <f>'Formulation Name Data'!A192&amp;"_T1"</f>
        <v>ComSor_EXP-21-CH1070-2_3_T1</v>
      </c>
      <c r="EC3" s="1" t="str">
        <f>'Formulation Name Data'!A193&amp;"_T1"</f>
        <v>ComSor_EXP-21-CH1070-4_1_T1</v>
      </c>
      <c r="ED3" s="1" t="str">
        <f>'Formulation Name Data'!A37&amp;"_T7"</f>
        <v>D502W_G225_DGBE_0.2_0.3_0.5_T7</v>
      </c>
      <c r="EE3" s="1" t="str">
        <f>'Formulation Name Data'!A190&amp;"_T1"</f>
        <v>CL_MD2102-118_G225_DGBE_0.2_0.3_0.5_T1</v>
      </c>
      <c r="EF3" s="1" t="str">
        <f>'Formulation Name Data'!A197&amp;"_T1"</f>
        <v>NRL_CB-1-192_G225_DGBE_0.14_0.21_0.5_T1</v>
      </c>
    </row>
    <row r="4" spans="1:136" x14ac:dyDescent="0.35">
      <c r="A4">
        <v>24</v>
      </c>
      <c r="B4">
        <v>258</v>
      </c>
      <c r="C4" t="s">
        <v>175</v>
      </c>
      <c r="D4">
        <f>180+15</f>
        <v>195</v>
      </c>
      <c r="E4">
        <f>60+47</f>
        <v>107</v>
      </c>
      <c r="F4">
        <v>136</v>
      </c>
      <c r="G4" s="18">
        <v>73</v>
      </c>
      <c r="H4" s="18">
        <v>39</v>
      </c>
      <c r="I4" t="s">
        <v>175</v>
      </c>
      <c r="J4" s="21">
        <v>16.09</v>
      </c>
      <c r="K4">
        <v>37.840000000000003</v>
      </c>
      <c r="L4" s="21">
        <v>20.149999999999999</v>
      </c>
      <c r="M4">
        <v>44.1</v>
      </c>
      <c r="N4">
        <v>86.59</v>
      </c>
      <c r="O4" t="s">
        <v>175</v>
      </c>
      <c r="P4">
        <v>18.28</v>
      </c>
      <c r="Q4" t="s">
        <v>175</v>
      </c>
      <c r="R4" t="s">
        <v>175</v>
      </c>
      <c r="S4" t="s">
        <v>175</v>
      </c>
      <c r="T4" t="s">
        <v>175</v>
      </c>
      <c r="U4">
        <v>148.53818965517237</v>
      </c>
      <c r="V4" t="s">
        <v>175</v>
      </c>
      <c r="W4">
        <v>45.09</v>
      </c>
      <c r="X4" t="s">
        <v>175</v>
      </c>
      <c r="Y4">
        <v>43.6</v>
      </c>
      <c r="Z4">
        <v>87.04</v>
      </c>
      <c r="AA4">
        <v>48.25</v>
      </c>
      <c r="AB4" t="s">
        <v>175</v>
      </c>
      <c r="AC4">
        <v>46.15</v>
      </c>
      <c r="AD4">
        <v>21.78</v>
      </c>
      <c r="AE4" t="s">
        <v>175</v>
      </c>
      <c r="AF4" t="s">
        <v>175</v>
      </c>
      <c r="AG4" t="s">
        <v>175</v>
      </c>
      <c r="AH4" t="s">
        <v>175</v>
      </c>
      <c r="AI4" t="s">
        <v>175</v>
      </c>
      <c r="AJ4" t="s">
        <v>175</v>
      </c>
      <c r="AK4" t="s">
        <v>175</v>
      </c>
      <c r="AL4" t="s">
        <v>175</v>
      </c>
      <c r="AM4" t="s">
        <v>175</v>
      </c>
      <c r="AN4" t="s">
        <v>175</v>
      </c>
      <c r="AO4" t="s">
        <v>175</v>
      </c>
      <c r="AP4" t="s">
        <v>175</v>
      </c>
      <c r="AQ4" t="s">
        <v>175</v>
      </c>
      <c r="AR4" t="s">
        <v>175</v>
      </c>
      <c r="AS4" t="s">
        <v>175</v>
      </c>
      <c r="AT4" t="s">
        <v>175</v>
      </c>
      <c r="AU4" t="s">
        <v>175</v>
      </c>
      <c r="AV4" t="s">
        <v>175</v>
      </c>
      <c r="AW4" t="s">
        <v>175</v>
      </c>
      <c r="AX4" t="s">
        <v>175</v>
      </c>
      <c r="AY4" t="s">
        <v>175</v>
      </c>
      <c r="AZ4" t="s">
        <v>175</v>
      </c>
      <c r="BA4" t="s">
        <v>175</v>
      </c>
      <c r="BB4" t="s">
        <v>175</v>
      </c>
      <c r="BC4" t="s">
        <v>175</v>
      </c>
      <c r="BD4" t="s">
        <v>175</v>
      </c>
      <c r="BE4" s="60" t="s">
        <v>175</v>
      </c>
      <c r="BF4">
        <v>50.63</v>
      </c>
      <c r="BG4">
        <v>616.94000000000005</v>
      </c>
      <c r="BH4">
        <v>145.43</v>
      </c>
      <c r="BI4" s="60" t="s">
        <v>175</v>
      </c>
      <c r="BJ4">
        <v>40.06</v>
      </c>
      <c r="BK4">
        <v>144.16</v>
      </c>
      <c r="BL4">
        <v>82.62</v>
      </c>
      <c r="BM4">
        <v>37.9</v>
      </c>
      <c r="BN4">
        <v>208.28</v>
      </c>
      <c r="BO4">
        <v>40.840000000000003</v>
      </c>
      <c r="BP4">
        <v>101.22</v>
      </c>
      <c r="BQ4">
        <v>379.5</v>
      </c>
      <c r="BR4">
        <v>13.16</v>
      </c>
      <c r="BS4">
        <v>30.47</v>
      </c>
      <c r="BT4">
        <v>11.31</v>
      </c>
      <c r="BU4">
        <v>53.87</v>
      </c>
      <c r="BV4">
        <v>51.56</v>
      </c>
      <c r="BW4">
        <v>30.03</v>
      </c>
      <c r="BX4" s="43">
        <v>95.87</v>
      </c>
      <c r="BY4">
        <v>50.12</v>
      </c>
      <c r="BZ4">
        <v>58.16</v>
      </c>
      <c r="CA4">
        <v>218.34</v>
      </c>
      <c r="CB4">
        <v>47.41</v>
      </c>
      <c r="CC4" s="60" t="s">
        <v>175</v>
      </c>
      <c r="CD4" s="43" t="s">
        <v>76</v>
      </c>
      <c r="CE4">
        <v>21.53</v>
      </c>
      <c r="CF4">
        <v>36.880000000000003</v>
      </c>
      <c r="CG4">
        <v>21.78</v>
      </c>
      <c r="CH4">
        <v>21.75</v>
      </c>
      <c r="CI4">
        <v>65.59</v>
      </c>
      <c r="CJ4">
        <v>54.28</v>
      </c>
      <c r="CK4">
        <v>50.9</v>
      </c>
      <c r="CL4" s="60" t="s">
        <v>175</v>
      </c>
      <c r="CM4">
        <v>37.56</v>
      </c>
      <c r="CN4">
        <v>33.409999999999997</v>
      </c>
      <c r="CO4">
        <v>380.96</v>
      </c>
      <c r="CP4">
        <v>283.12</v>
      </c>
      <c r="CQ4">
        <v>44.6</v>
      </c>
      <c r="CR4">
        <v>41.78</v>
      </c>
      <c r="CS4">
        <v>57.28</v>
      </c>
      <c r="CT4">
        <v>47.75</v>
      </c>
      <c r="CU4">
        <v>24.78</v>
      </c>
      <c r="CV4" s="60" t="s">
        <v>175</v>
      </c>
      <c r="CW4" s="60" t="s">
        <v>175</v>
      </c>
      <c r="CX4">
        <v>27.69</v>
      </c>
      <c r="CY4">
        <v>87.5</v>
      </c>
      <c r="CZ4">
        <v>168.34</v>
      </c>
      <c r="DA4" s="43" t="s">
        <v>76</v>
      </c>
      <c r="DB4">
        <v>96.75</v>
      </c>
      <c r="DC4">
        <v>194.62</v>
      </c>
      <c r="DD4" s="60" t="s">
        <v>175</v>
      </c>
      <c r="DE4" s="60" t="s">
        <v>175</v>
      </c>
      <c r="DF4">
        <v>163.41</v>
      </c>
      <c r="DG4" s="60" t="s">
        <v>175</v>
      </c>
      <c r="DH4">
        <v>35.53</v>
      </c>
      <c r="DI4">
        <v>20.25</v>
      </c>
      <c r="DJ4">
        <v>38.03</v>
      </c>
      <c r="DK4">
        <v>33.47</v>
      </c>
      <c r="DL4">
        <v>84.03</v>
      </c>
      <c r="DM4">
        <v>44.47</v>
      </c>
      <c r="DN4">
        <v>66.63</v>
      </c>
      <c r="DO4">
        <v>69.59</v>
      </c>
      <c r="DP4">
        <v>56.75</v>
      </c>
      <c r="DQ4" s="60" t="s">
        <v>175</v>
      </c>
      <c r="DR4" s="42">
        <v>19</v>
      </c>
      <c r="DS4" s="42">
        <v>26.13</v>
      </c>
      <c r="DT4" s="60" t="s">
        <v>175</v>
      </c>
      <c r="DU4" s="60" t="s">
        <v>175</v>
      </c>
      <c r="DV4" s="60" t="s">
        <v>175</v>
      </c>
      <c r="DW4" s="60" t="s">
        <v>175</v>
      </c>
      <c r="DX4" s="42">
        <f>60+12.34</f>
        <v>72.34</v>
      </c>
      <c r="DY4" s="42">
        <f>60*2+42.35</f>
        <v>162.35</v>
      </c>
      <c r="DZ4" s="60" t="s">
        <v>175</v>
      </c>
      <c r="EA4" s="42">
        <v>23</v>
      </c>
      <c r="EB4" s="42">
        <v>23.35</v>
      </c>
      <c r="EC4" s="42">
        <v>24.34</v>
      </c>
      <c r="ED4">
        <v>19.75</v>
      </c>
      <c r="EE4">
        <v>58.13</v>
      </c>
      <c r="EF4" s="42">
        <f>60+36.28</f>
        <v>96.28</v>
      </c>
    </row>
    <row r="5" spans="1:136" x14ac:dyDescent="0.35">
      <c r="A5">
        <v>22</v>
      </c>
      <c r="B5">
        <v>166</v>
      </c>
      <c r="C5" t="s">
        <v>175</v>
      </c>
      <c r="D5">
        <f>180+22</f>
        <v>202</v>
      </c>
      <c r="E5">
        <v>89</v>
      </c>
      <c r="F5">
        <v>128</v>
      </c>
      <c r="G5" s="18">
        <v>65</v>
      </c>
      <c r="H5" s="18">
        <v>40</v>
      </c>
      <c r="I5" t="s">
        <v>175</v>
      </c>
      <c r="J5" s="21">
        <v>20</v>
      </c>
      <c r="K5">
        <v>36.340000000000003</v>
      </c>
      <c r="L5" s="18">
        <v>17.84</v>
      </c>
      <c r="M5">
        <v>58.09</v>
      </c>
      <c r="N5">
        <v>65.7</v>
      </c>
      <c r="O5" t="s">
        <v>175</v>
      </c>
      <c r="P5">
        <v>24.5</v>
      </c>
      <c r="Q5" t="s">
        <v>175</v>
      </c>
      <c r="R5" t="s">
        <v>175</v>
      </c>
      <c r="S5" t="s">
        <v>175</v>
      </c>
      <c r="T5" t="s">
        <v>175</v>
      </c>
      <c r="U5">
        <v>89.014177524429982</v>
      </c>
      <c r="V5" t="s">
        <v>175</v>
      </c>
      <c r="W5">
        <v>49.44</v>
      </c>
      <c r="X5" t="s">
        <v>175</v>
      </c>
      <c r="Y5">
        <v>60.85</v>
      </c>
      <c r="Z5">
        <v>76.650000000000006</v>
      </c>
      <c r="AA5" t="s">
        <v>175</v>
      </c>
      <c r="AB5" t="s">
        <v>175</v>
      </c>
      <c r="AC5">
        <v>88.13</v>
      </c>
      <c r="AD5">
        <v>29.34</v>
      </c>
      <c r="AE5" t="s">
        <v>175</v>
      </c>
      <c r="AF5" t="s">
        <v>175</v>
      </c>
      <c r="BE5" s="60" t="s">
        <v>175</v>
      </c>
      <c r="BF5">
        <v>46.18</v>
      </c>
      <c r="BG5" s="60" t="s">
        <v>175</v>
      </c>
      <c r="BH5">
        <v>443.44</v>
      </c>
      <c r="BI5" s="60" t="s">
        <v>175</v>
      </c>
      <c r="BJ5">
        <v>36.9</v>
      </c>
      <c r="BK5">
        <v>56.75</v>
      </c>
      <c r="BL5">
        <v>78.09</v>
      </c>
      <c r="BM5">
        <v>49.12</v>
      </c>
      <c r="BN5">
        <v>131.66</v>
      </c>
      <c r="BO5">
        <v>53.35</v>
      </c>
      <c r="BP5">
        <v>118.35</v>
      </c>
      <c r="BQ5">
        <v>162.84</v>
      </c>
      <c r="BR5">
        <v>27.5</v>
      </c>
      <c r="BS5">
        <v>52.28</v>
      </c>
      <c r="BT5">
        <v>15.78</v>
      </c>
      <c r="BU5">
        <v>65.88</v>
      </c>
      <c r="BV5">
        <v>59.46</v>
      </c>
      <c r="BW5">
        <v>35.28</v>
      </c>
      <c r="BX5" s="43" t="s">
        <v>76</v>
      </c>
      <c r="BY5">
        <v>73.69</v>
      </c>
      <c r="BZ5">
        <v>72.599999999999994</v>
      </c>
      <c r="CA5">
        <v>128.31</v>
      </c>
      <c r="CB5">
        <v>38.35</v>
      </c>
      <c r="CC5">
        <v>176.41</v>
      </c>
      <c r="CD5" s="43">
        <v>58.08</v>
      </c>
      <c r="CE5">
        <v>25.19</v>
      </c>
      <c r="CF5">
        <v>46.25</v>
      </c>
      <c r="CG5">
        <v>29.34</v>
      </c>
      <c r="CH5">
        <v>30.03</v>
      </c>
      <c r="CI5">
        <v>66.41</v>
      </c>
      <c r="CJ5">
        <v>49.5</v>
      </c>
      <c r="CK5">
        <v>64.5</v>
      </c>
      <c r="CL5">
        <v>165.38</v>
      </c>
      <c r="CM5">
        <v>46.91</v>
      </c>
      <c r="CN5">
        <v>42.43</v>
      </c>
      <c r="CO5">
        <v>136.69</v>
      </c>
      <c r="CP5">
        <v>136.69</v>
      </c>
      <c r="CQ5">
        <v>160.22</v>
      </c>
      <c r="CR5">
        <v>116.5</v>
      </c>
      <c r="CS5" s="60" t="s">
        <v>175</v>
      </c>
      <c r="CT5" s="60" t="s">
        <v>175</v>
      </c>
      <c r="CU5">
        <v>37.22</v>
      </c>
      <c r="CV5" s="60" t="s">
        <v>175</v>
      </c>
      <c r="CW5" s="60" t="s">
        <v>175</v>
      </c>
      <c r="CX5">
        <v>39.5</v>
      </c>
      <c r="CY5" s="60" t="s">
        <v>175</v>
      </c>
      <c r="CZ5">
        <v>94.12</v>
      </c>
      <c r="DA5" s="60" t="s">
        <v>175</v>
      </c>
      <c r="DB5">
        <v>114.15</v>
      </c>
      <c r="DC5">
        <v>170.54</v>
      </c>
      <c r="DD5" s="60" t="s">
        <v>175</v>
      </c>
      <c r="DE5" s="60" t="s">
        <v>175</v>
      </c>
      <c r="DF5">
        <v>158.71</v>
      </c>
      <c r="DG5">
        <v>57.25</v>
      </c>
      <c r="DH5">
        <v>41.6</v>
      </c>
      <c r="DI5">
        <v>66.19</v>
      </c>
      <c r="DJ5">
        <v>50.84</v>
      </c>
      <c r="DK5">
        <v>48.16</v>
      </c>
      <c r="DL5">
        <v>81.819999999999993</v>
      </c>
      <c r="DM5">
        <v>40.29</v>
      </c>
      <c r="DN5">
        <v>117.21</v>
      </c>
      <c r="DO5">
        <v>61.94</v>
      </c>
      <c r="DP5">
        <v>130</v>
      </c>
      <c r="DQ5">
        <v>92.59</v>
      </c>
      <c r="DR5" s="42">
        <v>29</v>
      </c>
      <c r="DS5" s="42">
        <v>37.659999999999997</v>
      </c>
      <c r="DT5" s="60" t="s">
        <v>175</v>
      </c>
      <c r="DU5" s="60" t="s">
        <v>175</v>
      </c>
      <c r="DW5" s="60" t="s">
        <v>175</v>
      </c>
      <c r="DX5" s="42">
        <f>60*5+19.53</f>
        <v>319.52999999999997</v>
      </c>
      <c r="DY5" s="60" t="s">
        <v>175</v>
      </c>
      <c r="DZ5" s="60" t="s">
        <v>175</v>
      </c>
      <c r="EA5" s="16">
        <v>42.25</v>
      </c>
      <c r="EB5" s="16">
        <v>37.369999999999997</v>
      </c>
      <c r="EC5" s="16">
        <v>37.69</v>
      </c>
      <c r="ED5">
        <v>26.03</v>
      </c>
      <c r="EE5">
        <v>66.97</v>
      </c>
      <c r="EF5" s="42">
        <f>2*60+25.5</f>
        <v>145.5</v>
      </c>
    </row>
    <row r="6" spans="1:136" x14ac:dyDescent="0.35">
      <c r="A6">
        <v>21</v>
      </c>
      <c r="B6">
        <v>35</v>
      </c>
      <c r="C6">
        <v>49</v>
      </c>
      <c r="D6">
        <f>120+47</f>
        <v>167</v>
      </c>
      <c r="E6">
        <f>120+17</f>
        <v>137</v>
      </c>
      <c r="F6">
        <v>124</v>
      </c>
      <c r="G6" s="18">
        <v>54</v>
      </c>
      <c r="H6" s="18">
        <v>48</v>
      </c>
      <c r="I6" t="s">
        <v>175</v>
      </c>
      <c r="J6" s="21">
        <v>18</v>
      </c>
      <c r="K6">
        <v>30.47</v>
      </c>
      <c r="L6" s="19">
        <v>16.350000000000001</v>
      </c>
      <c r="M6">
        <v>76.599999999999994</v>
      </c>
      <c r="N6">
        <v>67.180000000000007</v>
      </c>
      <c r="O6" t="s">
        <v>175</v>
      </c>
      <c r="P6">
        <v>30.47</v>
      </c>
      <c r="Q6" t="s">
        <v>175</v>
      </c>
      <c r="R6" t="s">
        <v>175</v>
      </c>
      <c r="S6" t="s">
        <v>175</v>
      </c>
      <c r="T6" t="s">
        <v>175</v>
      </c>
      <c r="U6">
        <v>78.494510541423352</v>
      </c>
      <c r="V6" t="s">
        <v>175</v>
      </c>
      <c r="W6">
        <v>48.49</v>
      </c>
      <c r="X6" t="s">
        <v>175</v>
      </c>
      <c r="Y6">
        <v>71.349999999999994</v>
      </c>
      <c r="Z6">
        <v>109.63</v>
      </c>
      <c r="AA6" t="s">
        <v>175</v>
      </c>
      <c r="AC6">
        <v>151.65</v>
      </c>
      <c r="AD6">
        <v>69.150000000000006</v>
      </c>
      <c r="BF6">
        <v>67.62</v>
      </c>
      <c r="BH6">
        <v>167.65</v>
      </c>
      <c r="BI6" s="60" t="s">
        <v>175</v>
      </c>
      <c r="BJ6">
        <v>62.9</v>
      </c>
      <c r="BK6">
        <v>46.65</v>
      </c>
      <c r="BL6" s="60" t="s">
        <v>175</v>
      </c>
      <c r="BM6">
        <v>116.63</v>
      </c>
      <c r="BO6">
        <v>62.78</v>
      </c>
      <c r="BP6">
        <v>118.41</v>
      </c>
      <c r="BQ6">
        <v>177.53</v>
      </c>
      <c r="BR6">
        <v>36.18</v>
      </c>
      <c r="BS6">
        <v>101.81</v>
      </c>
      <c r="BT6">
        <v>64.900000000000006</v>
      </c>
      <c r="BU6">
        <v>109.22</v>
      </c>
      <c r="BV6">
        <v>108.1</v>
      </c>
      <c r="BW6">
        <v>34.380000000000003</v>
      </c>
      <c r="BX6" s="43">
        <v>91</v>
      </c>
      <c r="BY6">
        <v>183.13</v>
      </c>
      <c r="BZ6">
        <v>124.57</v>
      </c>
      <c r="CA6" s="60" t="s">
        <v>175</v>
      </c>
      <c r="CB6">
        <v>69.03</v>
      </c>
      <c r="CC6" s="60" t="s">
        <v>175</v>
      </c>
      <c r="CD6" s="43">
        <v>43.72</v>
      </c>
      <c r="CE6">
        <v>39.81</v>
      </c>
      <c r="CF6">
        <v>55.93</v>
      </c>
      <c r="CG6">
        <v>69.150000000000006</v>
      </c>
      <c r="CH6">
        <v>39.35</v>
      </c>
      <c r="CI6">
        <v>93.5</v>
      </c>
      <c r="CJ6">
        <v>74.22</v>
      </c>
      <c r="CK6">
        <v>67.37</v>
      </c>
      <c r="CL6" s="60" t="s">
        <v>175</v>
      </c>
      <c r="CM6">
        <v>67.37</v>
      </c>
      <c r="CN6">
        <v>57.66</v>
      </c>
      <c r="CO6">
        <v>125.47</v>
      </c>
      <c r="CP6">
        <v>88.44</v>
      </c>
      <c r="CQ6" s="60" t="s">
        <v>175</v>
      </c>
      <c r="CR6" s="60" t="s">
        <v>175</v>
      </c>
      <c r="CS6">
        <v>72.06</v>
      </c>
      <c r="CT6">
        <v>70.66</v>
      </c>
      <c r="CU6" s="60" t="s">
        <v>175</v>
      </c>
      <c r="CV6">
        <v>156.72</v>
      </c>
      <c r="CW6" s="60" t="s">
        <v>175</v>
      </c>
      <c r="CX6">
        <v>59.41</v>
      </c>
      <c r="CY6" s="60" t="s">
        <v>175</v>
      </c>
      <c r="CZ6">
        <v>165.28</v>
      </c>
      <c r="DA6" s="60" t="s">
        <v>175</v>
      </c>
      <c r="DB6">
        <v>70</v>
      </c>
      <c r="DC6">
        <v>64</v>
      </c>
      <c r="DD6" s="60" t="s">
        <v>175</v>
      </c>
      <c r="DE6" s="60" t="s">
        <v>175</v>
      </c>
      <c r="DF6">
        <v>283.08999999999997</v>
      </c>
      <c r="DG6">
        <v>60.25</v>
      </c>
      <c r="DH6">
        <v>54.59</v>
      </c>
      <c r="DI6" s="60" t="s">
        <v>175</v>
      </c>
      <c r="DJ6">
        <v>78.88</v>
      </c>
      <c r="DK6">
        <v>106.94</v>
      </c>
      <c r="DL6">
        <v>144.41</v>
      </c>
      <c r="DM6">
        <v>64.87</v>
      </c>
      <c r="DN6">
        <v>132.56</v>
      </c>
      <c r="DO6">
        <v>66.44</v>
      </c>
      <c r="DP6" s="60" t="s">
        <v>175</v>
      </c>
      <c r="DQ6">
        <v>73.400000000000006</v>
      </c>
      <c r="DR6" s="42">
        <v>32.799999999999997</v>
      </c>
      <c r="DS6" s="42">
        <f>(60*2+6.78-60)</f>
        <v>66.78</v>
      </c>
      <c r="DT6" s="60" t="s">
        <v>175</v>
      </c>
      <c r="DW6" s="60" t="s">
        <v>175</v>
      </c>
      <c r="DX6" s="42">
        <v>68.25</v>
      </c>
      <c r="DY6" s="60" t="s">
        <v>175</v>
      </c>
      <c r="DZ6" s="42">
        <f>60+26.31</f>
        <v>86.31</v>
      </c>
      <c r="ED6">
        <v>31.81</v>
      </c>
      <c r="EE6">
        <v>94.06</v>
      </c>
      <c r="EF6" s="60" t="s">
        <v>175</v>
      </c>
    </row>
    <row r="7" spans="1:136" x14ac:dyDescent="0.35">
      <c r="A7">
        <v>20</v>
      </c>
      <c r="B7">
        <v>30</v>
      </c>
      <c r="C7">
        <v>35</v>
      </c>
      <c r="D7">
        <v>61</v>
      </c>
      <c r="E7">
        <v>51</v>
      </c>
      <c r="F7">
        <v>71</v>
      </c>
      <c r="G7" s="18">
        <v>96</v>
      </c>
      <c r="J7" s="21">
        <v>22</v>
      </c>
      <c r="K7">
        <v>59.91</v>
      </c>
      <c r="L7" s="19">
        <v>20.29</v>
      </c>
      <c r="M7" t="s">
        <v>175</v>
      </c>
      <c r="N7">
        <v>170.22</v>
      </c>
      <c r="O7" t="s">
        <v>175</v>
      </c>
      <c r="P7" t="s">
        <v>175</v>
      </c>
      <c r="Q7" t="s">
        <v>175</v>
      </c>
      <c r="R7" t="s">
        <v>175</v>
      </c>
      <c r="S7" t="s">
        <v>175</v>
      </c>
      <c r="T7" t="s">
        <v>175</v>
      </c>
      <c r="U7">
        <v>123.99856251559777</v>
      </c>
      <c r="V7" t="s">
        <v>175</v>
      </c>
      <c r="W7">
        <v>53.78</v>
      </c>
      <c r="X7" t="s">
        <v>175</v>
      </c>
      <c r="Y7">
        <v>70.97</v>
      </c>
      <c r="Z7">
        <v>104.25</v>
      </c>
      <c r="AA7" t="s">
        <v>175</v>
      </c>
      <c r="AC7" t="s">
        <v>175</v>
      </c>
      <c r="AD7" t="s">
        <v>175</v>
      </c>
      <c r="BF7">
        <v>120</v>
      </c>
      <c r="BJ7">
        <v>82.28</v>
      </c>
      <c r="BK7">
        <v>46.56</v>
      </c>
      <c r="BM7">
        <v>436</v>
      </c>
      <c r="BO7">
        <v>82.46</v>
      </c>
      <c r="BP7">
        <v>155.22</v>
      </c>
      <c r="BQ7">
        <v>123.59</v>
      </c>
      <c r="BR7">
        <v>72.34</v>
      </c>
      <c r="BS7">
        <v>413.69</v>
      </c>
      <c r="BT7">
        <v>26.38</v>
      </c>
      <c r="BU7">
        <v>294.58999999999997</v>
      </c>
      <c r="BV7">
        <v>316.47000000000003</v>
      </c>
      <c r="BW7">
        <v>49</v>
      </c>
      <c r="BX7" s="43">
        <v>61</v>
      </c>
      <c r="BY7" s="60" t="s">
        <v>175</v>
      </c>
      <c r="BZ7" s="60" t="s">
        <v>175</v>
      </c>
      <c r="CA7">
        <v>120.28</v>
      </c>
      <c r="CB7">
        <v>65.34</v>
      </c>
      <c r="CC7" s="60" t="s">
        <v>175</v>
      </c>
      <c r="CD7" s="43">
        <v>90.35</v>
      </c>
      <c r="CE7">
        <v>52.22</v>
      </c>
      <c r="CF7" s="60" t="s">
        <v>175</v>
      </c>
      <c r="CG7" s="60" t="s">
        <v>175</v>
      </c>
      <c r="CH7" s="60" t="s">
        <v>175</v>
      </c>
      <c r="CI7">
        <v>112.15</v>
      </c>
      <c r="CJ7">
        <v>74.25</v>
      </c>
      <c r="CK7">
        <v>124.35</v>
      </c>
      <c r="CM7">
        <v>79</v>
      </c>
      <c r="CN7">
        <v>71.03</v>
      </c>
      <c r="CO7">
        <v>71.53</v>
      </c>
      <c r="CP7">
        <v>55.84</v>
      </c>
      <c r="CQ7">
        <v>121.75</v>
      </c>
      <c r="CR7">
        <v>140.31</v>
      </c>
      <c r="CS7">
        <v>119.6</v>
      </c>
      <c r="CT7">
        <v>120.87</v>
      </c>
      <c r="CU7">
        <v>232.09</v>
      </c>
      <c r="CV7">
        <v>53.38</v>
      </c>
      <c r="CW7" s="60" t="s">
        <v>175</v>
      </c>
      <c r="CX7" s="60" t="s">
        <v>175</v>
      </c>
      <c r="CY7">
        <v>51.94</v>
      </c>
      <c r="CZ7">
        <v>28.31</v>
      </c>
      <c r="DA7" s="60" t="s">
        <v>175</v>
      </c>
      <c r="DB7">
        <v>202.66</v>
      </c>
      <c r="DC7">
        <v>45.25</v>
      </c>
      <c r="DD7">
        <v>98.5</v>
      </c>
      <c r="DE7" s="60" t="s">
        <v>175</v>
      </c>
      <c r="DG7">
        <v>92.4</v>
      </c>
      <c r="DH7">
        <v>83.68</v>
      </c>
      <c r="DI7">
        <v>113.72</v>
      </c>
      <c r="DJ7">
        <v>228.25</v>
      </c>
      <c r="DK7">
        <v>110.41</v>
      </c>
      <c r="DL7" s="60" t="s">
        <v>175</v>
      </c>
      <c r="DM7">
        <v>131.63</v>
      </c>
      <c r="DN7">
        <v>176.68</v>
      </c>
      <c r="DO7">
        <v>82.41</v>
      </c>
      <c r="DP7">
        <v>43</v>
      </c>
      <c r="DQ7">
        <v>54.37</v>
      </c>
      <c r="DR7" s="42">
        <f>(60*2+51.87-60)</f>
        <v>111.87</v>
      </c>
      <c r="DS7" s="42">
        <f>(60*2+51.78-60)</f>
        <v>111.78</v>
      </c>
      <c r="DT7" s="60" t="s">
        <v>175</v>
      </c>
      <c r="DX7" s="16">
        <v>57.91</v>
      </c>
      <c r="DZ7" s="16">
        <f>60*4+31.25</f>
        <v>271.25</v>
      </c>
      <c r="ED7">
        <v>36.97</v>
      </c>
      <c r="EE7">
        <v>321.31</v>
      </c>
      <c r="EF7" s="42">
        <f>60+36.37</f>
        <v>96.37</v>
      </c>
    </row>
    <row r="8" spans="1:136" x14ac:dyDescent="0.35">
      <c r="A8" s="8">
        <v>22</v>
      </c>
      <c r="B8" s="8">
        <v>34</v>
      </c>
      <c r="C8" s="8">
        <v>52</v>
      </c>
      <c r="D8">
        <v>62</v>
      </c>
      <c r="E8">
        <v>49</v>
      </c>
      <c r="F8">
        <v>73</v>
      </c>
      <c r="G8" s="18">
        <v>25</v>
      </c>
      <c r="J8" s="18">
        <v>21</v>
      </c>
      <c r="K8">
        <v>44.41</v>
      </c>
      <c r="L8" s="19">
        <v>17.940000000000001</v>
      </c>
      <c r="M8">
        <v>42.1</v>
      </c>
      <c r="N8">
        <v>118.03</v>
      </c>
      <c r="O8" t="s">
        <v>175</v>
      </c>
      <c r="P8">
        <v>59.91</v>
      </c>
      <c r="Q8">
        <v>63</v>
      </c>
      <c r="R8" t="s">
        <v>175</v>
      </c>
      <c r="T8" t="s">
        <v>175</v>
      </c>
      <c r="U8">
        <v>94.585876358695643</v>
      </c>
      <c r="V8" t="s">
        <v>175</v>
      </c>
      <c r="W8">
        <v>57.11</v>
      </c>
      <c r="X8" t="s">
        <v>175</v>
      </c>
      <c r="Y8" t="s">
        <v>175</v>
      </c>
      <c r="Z8" t="s">
        <v>175</v>
      </c>
      <c r="AC8">
        <v>141.09</v>
      </c>
      <c r="AD8">
        <v>129.07</v>
      </c>
      <c r="BF8">
        <v>136.91</v>
      </c>
      <c r="BJ8">
        <v>141.41</v>
      </c>
      <c r="BK8">
        <v>78.680000000000007</v>
      </c>
      <c r="BM8">
        <v>401.44</v>
      </c>
      <c r="BO8" s="60" t="s">
        <v>175</v>
      </c>
      <c r="BP8" s="60" t="s">
        <v>175</v>
      </c>
      <c r="BQ8">
        <v>100.57</v>
      </c>
      <c r="BR8">
        <v>160.47</v>
      </c>
      <c r="BS8">
        <v>277.13</v>
      </c>
      <c r="BT8">
        <v>19.62</v>
      </c>
      <c r="BU8">
        <v>151.94</v>
      </c>
      <c r="BV8">
        <v>167.16</v>
      </c>
      <c r="BW8">
        <v>53.07</v>
      </c>
      <c r="BX8" s="43">
        <v>52</v>
      </c>
      <c r="BY8">
        <v>211.5</v>
      </c>
      <c r="BZ8" s="60" t="s">
        <v>175</v>
      </c>
      <c r="CA8" s="60" t="s">
        <v>175</v>
      </c>
      <c r="CB8">
        <v>98.88</v>
      </c>
      <c r="CD8" s="43" t="s">
        <v>175</v>
      </c>
      <c r="CE8" s="60" t="s">
        <v>175</v>
      </c>
      <c r="CF8">
        <v>57.62</v>
      </c>
      <c r="CG8">
        <v>129.07</v>
      </c>
      <c r="CH8" s="60" t="s">
        <v>175</v>
      </c>
      <c r="CI8">
        <v>104.87</v>
      </c>
      <c r="CJ8">
        <v>98.25</v>
      </c>
      <c r="CK8">
        <v>181.91</v>
      </c>
      <c r="CM8">
        <v>111.06</v>
      </c>
      <c r="CN8">
        <v>89.18</v>
      </c>
      <c r="CO8">
        <v>63.22</v>
      </c>
      <c r="CP8">
        <v>46.81</v>
      </c>
      <c r="CQ8">
        <v>108.35</v>
      </c>
      <c r="CR8">
        <v>82.81</v>
      </c>
      <c r="CS8">
        <v>140.32</v>
      </c>
      <c r="CT8">
        <v>300.13</v>
      </c>
      <c r="CU8">
        <v>155.63</v>
      </c>
      <c r="CW8" s="60" t="s">
        <v>175</v>
      </c>
      <c r="CX8">
        <v>85.69</v>
      </c>
      <c r="CY8">
        <v>42.72</v>
      </c>
      <c r="CZ8">
        <v>52.94</v>
      </c>
      <c r="DA8">
        <v>157.07</v>
      </c>
      <c r="DB8">
        <v>76.930000000000007</v>
      </c>
      <c r="DC8">
        <v>25.5</v>
      </c>
      <c r="DD8">
        <v>83.53</v>
      </c>
      <c r="DG8" s="60" t="s">
        <v>175</v>
      </c>
      <c r="DH8">
        <v>117.22</v>
      </c>
      <c r="DJ8">
        <v>126.44</v>
      </c>
      <c r="DK8">
        <v>327.02999999999997</v>
      </c>
      <c r="DL8">
        <v>292.82</v>
      </c>
      <c r="DM8">
        <v>236.72</v>
      </c>
      <c r="DN8" s="60" t="s">
        <v>175</v>
      </c>
      <c r="DO8">
        <v>145.66</v>
      </c>
      <c r="DP8">
        <v>33.85</v>
      </c>
      <c r="DQ8">
        <v>54.54</v>
      </c>
      <c r="DR8" s="42">
        <v>21.19</v>
      </c>
      <c r="DS8" s="60" t="s">
        <v>175</v>
      </c>
      <c r="DT8" s="60" t="s">
        <v>175</v>
      </c>
      <c r="DX8" s="42">
        <v>45.28</v>
      </c>
      <c r="DZ8" s="42">
        <f>60+50.85</f>
        <v>110.85</v>
      </c>
      <c r="ED8">
        <v>50.25</v>
      </c>
      <c r="EE8">
        <v>39.43</v>
      </c>
      <c r="EF8" s="60" t="s">
        <v>175</v>
      </c>
    </row>
    <row r="9" spans="1:136" x14ac:dyDescent="0.35">
      <c r="A9" s="8">
        <v>18</v>
      </c>
      <c r="B9" s="8">
        <v>22</v>
      </c>
      <c r="C9" s="8">
        <v>25</v>
      </c>
      <c r="D9" s="8">
        <v>59</v>
      </c>
      <c r="E9" s="8">
        <v>52</v>
      </c>
      <c r="F9" s="8">
        <v>60</v>
      </c>
      <c r="G9" s="19">
        <v>21</v>
      </c>
      <c r="J9" s="19">
        <v>18</v>
      </c>
      <c r="K9">
        <v>49.9</v>
      </c>
      <c r="L9" s="19">
        <v>21.94</v>
      </c>
      <c r="M9">
        <v>33.06</v>
      </c>
      <c r="N9">
        <v>197.43</v>
      </c>
      <c r="O9" t="s">
        <v>175</v>
      </c>
      <c r="P9">
        <v>44.41</v>
      </c>
      <c r="Q9">
        <v>72.84</v>
      </c>
      <c r="T9" t="s">
        <v>175</v>
      </c>
      <c r="U9" t="s">
        <v>175</v>
      </c>
      <c r="W9">
        <v>108.47</v>
      </c>
      <c r="X9" t="s">
        <v>175</v>
      </c>
      <c r="Y9">
        <v>31.32</v>
      </c>
      <c r="Z9" t="s">
        <v>175</v>
      </c>
      <c r="AC9">
        <v>44.66</v>
      </c>
      <c r="AD9">
        <v>372.94</v>
      </c>
      <c r="BF9">
        <v>415.06</v>
      </c>
      <c r="BJ9">
        <v>92.56</v>
      </c>
      <c r="BM9">
        <v>34.869999999999997</v>
      </c>
      <c r="BO9">
        <v>159.5</v>
      </c>
      <c r="BP9">
        <v>149.34</v>
      </c>
      <c r="BQ9">
        <v>83.15</v>
      </c>
      <c r="BR9">
        <v>255.5</v>
      </c>
      <c r="BS9">
        <v>33.909999999999997</v>
      </c>
      <c r="BT9">
        <v>22.41</v>
      </c>
      <c r="BU9">
        <v>40.119999999999997</v>
      </c>
      <c r="BV9">
        <v>61.96</v>
      </c>
      <c r="BW9">
        <v>50.75</v>
      </c>
      <c r="BY9">
        <v>44.19</v>
      </c>
      <c r="BZ9">
        <v>155.69</v>
      </c>
      <c r="CB9">
        <v>101.75</v>
      </c>
      <c r="CD9" s="43">
        <v>122.69</v>
      </c>
      <c r="CE9" s="60" t="s">
        <v>175</v>
      </c>
      <c r="CF9">
        <v>30.13</v>
      </c>
      <c r="CG9">
        <v>372.94</v>
      </c>
      <c r="CH9" s="60" t="s">
        <v>175</v>
      </c>
      <c r="CI9" s="60" t="s">
        <v>175</v>
      </c>
      <c r="CJ9">
        <v>316.10000000000002</v>
      </c>
      <c r="CK9" s="60" t="s">
        <v>175</v>
      </c>
      <c r="CM9">
        <v>193.34</v>
      </c>
      <c r="CN9">
        <v>140.63</v>
      </c>
      <c r="CO9">
        <v>42.84</v>
      </c>
      <c r="CP9">
        <v>41.53</v>
      </c>
      <c r="CQ9">
        <v>68.180000000000007</v>
      </c>
      <c r="CR9">
        <v>64.47</v>
      </c>
      <c r="CS9">
        <v>213.79</v>
      </c>
      <c r="CT9">
        <v>45.71</v>
      </c>
      <c r="CU9">
        <v>18.59</v>
      </c>
      <c r="CW9">
        <v>76.319999999999993</v>
      </c>
      <c r="CX9">
        <v>29.53</v>
      </c>
      <c r="CY9">
        <v>30.53</v>
      </c>
      <c r="CZ9">
        <v>19.97</v>
      </c>
      <c r="DA9">
        <v>59.16</v>
      </c>
      <c r="DB9">
        <v>54.31</v>
      </c>
      <c r="DC9">
        <v>20.72</v>
      </c>
      <c r="DD9">
        <v>43.97</v>
      </c>
      <c r="DG9">
        <v>147.16</v>
      </c>
      <c r="DH9">
        <v>185</v>
      </c>
      <c r="DJ9">
        <v>27.14</v>
      </c>
      <c r="DK9">
        <v>55.43</v>
      </c>
      <c r="DL9">
        <v>38.590000000000003</v>
      </c>
      <c r="DM9">
        <v>31.75</v>
      </c>
      <c r="DN9">
        <v>43.68</v>
      </c>
      <c r="DO9">
        <v>171.07</v>
      </c>
      <c r="DP9">
        <v>29</v>
      </c>
      <c r="DQ9">
        <v>42</v>
      </c>
      <c r="DR9" s="42">
        <v>23.81</v>
      </c>
      <c r="DS9" s="42">
        <f>(60*3+44.56-60)</f>
        <v>164.56</v>
      </c>
      <c r="DX9" s="42">
        <v>64.72</v>
      </c>
      <c r="DZ9" s="60" t="s">
        <v>175</v>
      </c>
      <c r="EA9" s="42"/>
      <c r="ED9">
        <v>63.79</v>
      </c>
      <c r="EE9">
        <v>58.25</v>
      </c>
    </row>
    <row r="10" spans="1:136" x14ac:dyDescent="0.35">
      <c r="A10" s="8">
        <v>13</v>
      </c>
      <c r="B10" s="8">
        <v>29</v>
      </c>
      <c r="C10" s="8">
        <v>24.68</v>
      </c>
      <c r="D10" s="8">
        <v>24</v>
      </c>
      <c r="E10" s="8">
        <v>32</v>
      </c>
      <c r="F10" s="8">
        <v>37</v>
      </c>
      <c r="G10" s="19">
        <v>25</v>
      </c>
      <c r="J10" s="19">
        <v>25</v>
      </c>
      <c r="K10" t="s">
        <v>175</v>
      </c>
      <c r="L10" s="19">
        <v>33.380000000000003</v>
      </c>
      <c r="M10">
        <v>41.9</v>
      </c>
      <c r="N10">
        <v>42.12</v>
      </c>
      <c r="P10">
        <v>49.9</v>
      </c>
      <c r="Q10">
        <v>90</v>
      </c>
      <c r="U10">
        <v>67.131614386598827</v>
      </c>
      <c r="W10">
        <v>97.85</v>
      </c>
      <c r="Y10">
        <v>32</v>
      </c>
      <c r="Z10">
        <v>46.25</v>
      </c>
      <c r="AD10">
        <v>19.87</v>
      </c>
      <c r="BF10" s="60" t="s">
        <v>175</v>
      </c>
      <c r="BJ10">
        <v>185.65</v>
      </c>
      <c r="BM10">
        <v>28.63</v>
      </c>
      <c r="BO10">
        <v>44.47</v>
      </c>
      <c r="BP10">
        <v>57.9</v>
      </c>
      <c r="BQ10">
        <v>80.16</v>
      </c>
      <c r="BR10">
        <v>181.68</v>
      </c>
      <c r="BS10">
        <v>27.91</v>
      </c>
      <c r="BT10">
        <v>14.18</v>
      </c>
      <c r="BU10">
        <v>33</v>
      </c>
      <c r="BV10">
        <v>31.28</v>
      </c>
      <c r="BW10">
        <v>112.53</v>
      </c>
      <c r="BY10">
        <v>42.84</v>
      </c>
      <c r="BZ10">
        <v>65.459999999999994</v>
      </c>
      <c r="CB10">
        <v>328.09</v>
      </c>
      <c r="CD10" s="43" t="s">
        <v>175</v>
      </c>
      <c r="CE10">
        <v>23.1</v>
      </c>
      <c r="CF10">
        <v>24.53</v>
      </c>
      <c r="CG10">
        <v>19.87</v>
      </c>
      <c r="CH10">
        <v>24.22</v>
      </c>
      <c r="CI10" t="s">
        <v>244</v>
      </c>
      <c r="CJ10">
        <v>40.630000000000003</v>
      </c>
      <c r="CK10">
        <v>39.409999999999997</v>
      </c>
      <c r="CM10" s="60" t="s">
        <v>175</v>
      </c>
      <c r="CN10" s="60" t="s">
        <v>175</v>
      </c>
      <c r="CO10">
        <v>51.57</v>
      </c>
      <c r="CP10">
        <v>34.340000000000003</v>
      </c>
      <c r="CQ10">
        <v>46.15</v>
      </c>
      <c r="CR10">
        <v>50.81</v>
      </c>
      <c r="CS10">
        <v>50.78</v>
      </c>
      <c r="CT10">
        <v>42.18</v>
      </c>
      <c r="CU10">
        <v>17.93</v>
      </c>
      <c r="CW10" s="60" t="s">
        <v>175</v>
      </c>
      <c r="CX10">
        <v>22.07</v>
      </c>
      <c r="CY10">
        <v>25.97</v>
      </c>
      <c r="CZ10">
        <v>16.809999999999999</v>
      </c>
      <c r="DA10">
        <v>35.22</v>
      </c>
      <c r="DB10">
        <v>32.97</v>
      </c>
      <c r="DC10">
        <v>23.16</v>
      </c>
      <c r="DD10">
        <v>37.72</v>
      </c>
      <c r="DG10">
        <v>41.46</v>
      </c>
      <c r="DH10">
        <v>259.56</v>
      </c>
      <c r="DJ10">
        <v>22.91</v>
      </c>
      <c r="DK10">
        <v>54</v>
      </c>
      <c r="DL10">
        <v>31.97</v>
      </c>
      <c r="DM10">
        <v>24</v>
      </c>
      <c r="DN10">
        <v>42.59</v>
      </c>
      <c r="DO10" s="60" t="s">
        <v>175</v>
      </c>
      <c r="DP10">
        <v>21.43</v>
      </c>
      <c r="DQ10" s="60" t="s">
        <v>175</v>
      </c>
      <c r="DX10" s="42">
        <f>60+40.63</f>
        <v>100.63</v>
      </c>
      <c r="DZ10" s="60" t="s">
        <v>175</v>
      </c>
      <c r="EA10" s="42"/>
      <c r="ED10">
        <v>99.56</v>
      </c>
    </row>
    <row r="11" spans="1:136" x14ac:dyDescent="0.35">
      <c r="A11" s="8">
        <v>16</v>
      </c>
      <c r="B11" s="8">
        <v>25</v>
      </c>
      <c r="C11" s="8">
        <v>22</v>
      </c>
      <c r="D11" s="8">
        <v>34</v>
      </c>
      <c r="E11" s="8">
        <v>31</v>
      </c>
      <c r="F11" s="8">
        <v>25</v>
      </c>
      <c r="G11" s="19">
        <v>12</v>
      </c>
      <c r="J11" s="19">
        <v>26</v>
      </c>
      <c r="L11" s="19">
        <v>25.16</v>
      </c>
      <c r="M11">
        <v>28.28</v>
      </c>
      <c r="N11">
        <v>40.869999999999997</v>
      </c>
      <c r="P11">
        <v>37.840000000000003</v>
      </c>
      <c r="U11">
        <v>64.781178409559146</v>
      </c>
      <c r="W11" t="s">
        <v>175</v>
      </c>
      <c r="Y11">
        <v>19.559999999999999</v>
      </c>
      <c r="Z11">
        <v>49.69</v>
      </c>
      <c r="AD11">
        <v>17.84</v>
      </c>
      <c r="BF11">
        <v>46.43</v>
      </c>
      <c r="BJ11" s="60" t="s">
        <v>175</v>
      </c>
      <c r="BM11">
        <v>22.84</v>
      </c>
      <c r="BO11">
        <v>30.69</v>
      </c>
      <c r="BP11">
        <v>56.16</v>
      </c>
      <c r="BQ11">
        <v>15.5</v>
      </c>
      <c r="BR11">
        <v>16.84</v>
      </c>
      <c r="BS11">
        <v>22.66</v>
      </c>
      <c r="BT11">
        <v>13.59</v>
      </c>
      <c r="BU11">
        <v>26.66</v>
      </c>
      <c r="BV11">
        <v>25.53</v>
      </c>
      <c r="BW11">
        <v>592.05999999999995</v>
      </c>
      <c r="BY11">
        <v>44.66</v>
      </c>
      <c r="BZ11">
        <v>74.69</v>
      </c>
      <c r="CB11">
        <v>52.43</v>
      </c>
      <c r="CE11">
        <v>16.63</v>
      </c>
      <c r="CF11">
        <v>22.56</v>
      </c>
      <c r="CG11">
        <v>17.84</v>
      </c>
      <c r="CH11">
        <v>16.690000000000001</v>
      </c>
      <c r="CI11">
        <v>51.87</v>
      </c>
      <c r="CJ11">
        <v>36.090000000000003</v>
      </c>
      <c r="CK11">
        <v>38.65</v>
      </c>
      <c r="CM11" s="60" t="s">
        <v>175</v>
      </c>
      <c r="CN11">
        <v>256.66000000000003</v>
      </c>
      <c r="CQ11">
        <v>37.25</v>
      </c>
      <c r="CR11">
        <v>40.409999999999997</v>
      </c>
      <c r="CS11">
        <v>39.81</v>
      </c>
      <c r="CU11">
        <v>14.28</v>
      </c>
      <c r="CX11">
        <v>33.79</v>
      </c>
      <c r="CY11">
        <v>23.07</v>
      </c>
      <c r="CZ11">
        <v>19.38</v>
      </c>
      <c r="DA11">
        <v>35.56</v>
      </c>
      <c r="DB11">
        <v>27.19</v>
      </c>
      <c r="DC11">
        <v>19.97</v>
      </c>
      <c r="DD11">
        <v>29.57</v>
      </c>
      <c r="DG11">
        <v>34.56</v>
      </c>
      <c r="DH11">
        <v>417.37</v>
      </c>
      <c r="DJ11">
        <v>21.15</v>
      </c>
      <c r="DK11">
        <v>48.22</v>
      </c>
      <c r="DL11">
        <v>24.44</v>
      </c>
      <c r="DM11">
        <v>20.52</v>
      </c>
      <c r="DN11">
        <v>31.22</v>
      </c>
      <c r="DO11">
        <v>67.97</v>
      </c>
      <c r="DP11">
        <v>19.47</v>
      </c>
      <c r="DQ11">
        <v>28.22</v>
      </c>
      <c r="DX11" s="42">
        <v>57.91</v>
      </c>
      <c r="ED11">
        <v>186.84</v>
      </c>
    </row>
    <row r="12" spans="1:136" x14ac:dyDescent="0.35">
      <c r="A12" s="8">
        <v>17</v>
      </c>
      <c r="B12" s="8">
        <v>22</v>
      </c>
      <c r="C12" s="8">
        <v>22</v>
      </c>
      <c r="D12" s="8">
        <v>22</v>
      </c>
      <c r="E12" s="8">
        <v>31</v>
      </c>
      <c r="F12" s="8">
        <v>30</v>
      </c>
      <c r="G12" s="19">
        <v>14</v>
      </c>
      <c r="J12" s="19">
        <v>28</v>
      </c>
      <c r="L12" s="21">
        <v>34.22</v>
      </c>
      <c r="M12">
        <v>20.399999999999999</v>
      </c>
      <c r="N12">
        <v>37.409999999999997</v>
      </c>
      <c r="P12">
        <v>36.340000000000003</v>
      </c>
      <c r="U12">
        <v>86.560887728459562</v>
      </c>
      <c r="W12">
        <v>31.47</v>
      </c>
      <c r="Y12">
        <v>23</v>
      </c>
      <c r="Z12">
        <v>38.78</v>
      </c>
      <c r="AD12">
        <v>12.09</v>
      </c>
      <c r="BF12">
        <v>40.520000000000003</v>
      </c>
      <c r="BM12">
        <v>21</v>
      </c>
      <c r="BO12">
        <v>52</v>
      </c>
      <c r="BP12">
        <v>59.22</v>
      </c>
      <c r="BQ12">
        <v>10.79</v>
      </c>
      <c r="BR12">
        <v>16.87</v>
      </c>
      <c r="BS12">
        <v>18.16</v>
      </c>
      <c r="BT12">
        <v>12.81</v>
      </c>
      <c r="BU12">
        <v>25.82</v>
      </c>
      <c r="BV12">
        <v>17.850000000000001</v>
      </c>
      <c r="BW12">
        <v>231.41</v>
      </c>
      <c r="BZ12">
        <v>65.37</v>
      </c>
      <c r="CB12">
        <v>50.62</v>
      </c>
      <c r="CE12">
        <v>15.94</v>
      </c>
      <c r="CF12">
        <v>22.25</v>
      </c>
      <c r="CG12">
        <v>12.09</v>
      </c>
      <c r="CH12">
        <v>13.44</v>
      </c>
      <c r="CI12">
        <v>51.41</v>
      </c>
      <c r="CJ12">
        <v>46.63</v>
      </c>
      <c r="CM12">
        <v>32.97</v>
      </c>
      <c r="CN12">
        <v>33.78</v>
      </c>
      <c r="CR12">
        <v>30.59</v>
      </c>
      <c r="CU12">
        <v>15.69</v>
      </c>
      <c r="CY12">
        <v>18.41</v>
      </c>
      <c r="CZ12">
        <v>16.41</v>
      </c>
      <c r="DA12">
        <v>42.47</v>
      </c>
      <c r="DB12">
        <v>22.57</v>
      </c>
      <c r="DC12">
        <v>17.88</v>
      </c>
      <c r="DH12">
        <v>35.35</v>
      </c>
      <c r="DJ12">
        <v>18.600000000000001</v>
      </c>
      <c r="DK12">
        <v>41.44</v>
      </c>
      <c r="DL12">
        <v>23.25</v>
      </c>
      <c r="DM12">
        <v>20.09</v>
      </c>
      <c r="DN12">
        <v>24.28</v>
      </c>
      <c r="DO12">
        <v>69.53</v>
      </c>
      <c r="DP12">
        <v>17.66</v>
      </c>
      <c r="DX12" s="60" t="s">
        <v>175</v>
      </c>
      <c r="ED12">
        <v>22.28</v>
      </c>
    </row>
    <row r="13" spans="1:136" x14ac:dyDescent="0.35">
      <c r="A13" s="8">
        <v>14</v>
      </c>
      <c r="B13" s="8">
        <v>20</v>
      </c>
      <c r="C13" s="8">
        <v>20.34</v>
      </c>
      <c r="D13" s="8">
        <v>18</v>
      </c>
      <c r="E13" s="8">
        <v>22</v>
      </c>
      <c r="F13" s="8">
        <v>18</v>
      </c>
      <c r="G13" s="19">
        <v>12</v>
      </c>
      <c r="J13" s="19">
        <v>49</v>
      </c>
      <c r="L13" s="21">
        <v>38.15</v>
      </c>
      <c r="N13">
        <v>31.25</v>
      </c>
      <c r="U13">
        <v>124.89238095238099</v>
      </c>
      <c r="W13">
        <v>32.69</v>
      </c>
      <c r="Y13">
        <v>31.96</v>
      </c>
      <c r="AD13">
        <v>11.47</v>
      </c>
      <c r="BM13">
        <v>22.09</v>
      </c>
      <c r="BO13">
        <v>38.75</v>
      </c>
      <c r="BP13">
        <v>45.38</v>
      </c>
      <c r="BQ13">
        <v>13.75</v>
      </c>
      <c r="BR13">
        <v>15.1</v>
      </c>
      <c r="BS13">
        <v>20.9</v>
      </c>
      <c r="BT13">
        <v>13.35</v>
      </c>
      <c r="BU13">
        <v>19.690000000000001</v>
      </c>
      <c r="BV13">
        <v>16.28</v>
      </c>
      <c r="BW13" s="60" t="s">
        <v>175</v>
      </c>
      <c r="CB13">
        <v>41.56</v>
      </c>
      <c r="CE13">
        <v>15</v>
      </c>
      <c r="CF13">
        <v>18.62</v>
      </c>
      <c r="CG13">
        <v>11.47</v>
      </c>
      <c r="CH13">
        <v>11.41</v>
      </c>
      <c r="CI13" s="60" t="s">
        <v>175</v>
      </c>
      <c r="CJ13" s="60" t="s">
        <v>175</v>
      </c>
      <c r="CM13">
        <v>31.72</v>
      </c>
      <c r="CN13">
        <v>29.53</v>
      </c>
      <c r="CU13">
        <v>14.22</v>
      </c>
      <c r="CZ13">
        <v>29.35</v>
      </c>
      <c r="DB13">
        <v>19.5</v>
      </c>
      <c r="DH13">
        <v>33.75</v>
      </c>
      <c r="DJ13">
        <v>16.82</v>
      </c>
      <c r="DK13">
        <v>50.46</v>
      </c>
      <c r="DL13">
        <v>19</v>
      </c>
      <c r="DM13">
        <v>19.5</v>
      </c>
      <c r="DN13">
        <v>20.69</v>
      </c>
      <c r="DO13">
        <v>52.53</v>
      </c>
      <c r="DP13">
        <v>60.94</v>
      </c>
    </row>
    <row r="14" spans="1:136" x14ac:dyDescent="0.35">
      <c r="A14" s="8">
        <v>14</v>
      </c>
      <c r="B14" s="8">
        <v>29</v>
      </c>
      <c r="C14" s="8">
        <v>24</v>
      </c>
      <c r="D14" s="8">
        <v>22</v>
      </c>
      <c r="E14" s="8">
        <v>23</v>
      </c>
      <c r="F14" s="8">
        <v>17</v>
      </c>
      <c r="G14" s="19">
        <v>9</v>
      </c>
      <c r="J14" s="19">
        <v>33</v>
      </c>
      <c r="L14" s="21">
        <v>47.03</v>
      </c>
      <c r="N14">
        <v>24.15</v>
      </c>
      <c r="W14">
        <v>28.22</v>
      </c>
      <c r="Y14">
        <v>29.97</v>
      </c>
      <c r="AD14">
        <v>10.72</v>
      </c>
      <c r="BM14">
        <v>19.190000000000001</v>
      </c>
      <c r="BO14">
        <v>50.03</v>
      </c>
      <c r="BP14">
        <v>52.25</v>
      </c>
      <c r="BQ14">
        <v>12.75</v>
      </c>
      <c r="BR14">
        <v>10.35</v>
      </c>
      <c r="BS14">
        <v>17.649999999999999</v>
      </c>
      <c r="BU14">
        <v>18.72</v>
      </c>
      <c r="BV14">
        <v>16.84</v>
      </c>
      <c r="BW14">
        <v>25.91</v>
      </c>
      <c r="CE14">
        <v>19.38</v>
      </c>
      <c r="CF14">
        <v>17.100000000000001</v>
      </c>
      <c r="CG14">
        <v>10.72</v>
      </c>
      <c r="CH14">
        <v>11.56</v>
      </c>
      <c r="DB14">
        <v>33.31</v>
      </c>
      <c r="DJ14">
        <v>37.090000000000003</v>
      </c>
      <c r="DL14">
        <v>49.59</v>
      </c>
      <c r="DM14">
        <v>33.61</v>
      </c>
      <c r="DN14">
        <v>20.32</v>
      </c>
      <c r="DO14">
        <v>59</v>
      </c>
      <c r="DP14">
        <v>106.41</v>
      </c>
    </row>
    <row r="15" spans="1:136" x14ac:dyDescent="0.35">
      <c r="A15" s="8">
        <v>14</v>
      </c>
      <c r="D15" s="8">
        <v>22</v>
      </c>
      <c r="E15" s="8">
        <v>23.4</v>
      </c>
      <c r="F15" s="8">
        <v>24</v>
      </c>
      <c r="G15" s="19">
        <v>9</v>
      </c>
      <c r="J15" s="19">
        <v>29</v>
      </c>
      <c r="L15" s="19" t="s">
        <v>175</v>
      </c>
      <c r="N15">
        <v>29.03</v>
      </c>
      <c r="W15">
        <v>28.94</v>
      </c>
      <c r="Y15">
        <v>27.97</v>
      </c>
      <c r="AD15">
        <v>9.93</v>
      </c>
      <c r="BO15">
        <v>42.5</v>
      </c>
      <c r="BP15">
        <v>38.44</v>
      </c>
      <c r="BQ15">
        <v>17.940000000000001</v>
      </c>
      <c r="BW15">
        <v>22.06</v>
      </c>
      <c r="CE15">
        <v>14.4</v>
      </c>
      <c r="CG15">
        <v>9.93</v>
      </c>
      <c r="CH15">
        <v>10.119999999999999</v>
      </c>
      <c r="DB15">
        <v>46.07</v>
      </c>
      <c r="DO15">
        <v>36.69</v>
      </c>
    </row>
    <row r="16" spans="1:136" x14ac:dyDescent="0.35">
      <c r="G16" s="18">
        <v>9</v>
      </c>
      <c r="J16" s="18">
        <f>60+60+19</f>
        <v>139</v>
      </c>
      <c r="L16" s="19">
        <v>104</v>
      </c>
      <c r="N16">
        <v>24.56</v>
      </c>
      <c r="W16">
        <v>29.75</v>
      </c>
      <c r="BO16">
        <v>35.380000000000003</v>
      </c>
      <c r="BP16">
        <v>30.85</v>
      </c>
      <c r="BQ16">
        <v>19.25</v>
      </c>
      <c r="DB16">
        <v>46.62</v>
      </c>
      <c r="DO16">
        <v>32.22</v>
      </c>
    </row>
    <row r="17" spans="10:69" x14ac:dyDescent="0.35">
      <c r="J17" s="18">
        <v>63</v>
      </c>
      <c r="L17" s="18">
        <v>123</v>
      </c>
      <c r="N17">
        <v>30.1</v>
      </c>
      <c r="W17">
        <v>27.13</v>
      </c>
      <c r="BQ17">
        <v>36.57</v>
      </c>
    </row>
    <row r="18" spans="10:69" x14ac:dyDescent="0.35">
      <c r="J18" s="18">
        <v>94</v>
      </c>
      <c r="N18">
        <v>30.59</v>
      </c>
      <c r="W18">
        <v>21.25</v>
      </c>
      <c r="BQ18">
        <v>63.5</v>
      </c>
    </row>
    <row r="19" spans="10:69" x14ac:dyDescent="0.35">
      <c r="W19">
        <v>23.4</v>
      </c>
      <c r="BQ19">
        <v>82.66</v>
      </c>
    </row>
    <row r="20" spans="10:69" x14ac:dyDescent="0.35">
      <c r="W20">
        <v>16.21</v>
      </c>
    </row>
    <row r="21" spans="10:69" x14ac:dyDescent="0.35">
      <c r="W21">
        <v>17.850000000000001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W19"/>
  <sheetViews>
    <sheetView topLeftCell="BH1" zoomScale="130" zoomScaleNormal="130" workbookViewId="0">
      <selection activeCell="A3" sqref="A3:BW3"/>
    </sheetView>
  </sheetViews>
  <sheetFormatPr defaultRowHeight="14.5" x14ac:dyDescent="0.35"/>
  <cols>
    <col min="35" max="35" width="10.36328125" customWidth="1"/>
    <col min="36" max="36" width="12" customWidth="1"/>
    <col min="37" max="37" width="14.36328125" customWidth="1"/>
    <col min="38" max="38" width="16.6328125" customWidth="1"/>
    <col min="40" max="40" width="39.54296875" customWidth="1"/>
    <col min="41" max="41" width="46.453125" customWidth="1"/>
    <col min="42" max="42" width="42" customWidth="1"/>
  </cols>
  <sheetData>
    <row r="1" spans="1:75" x14ac:dyDescent="0.35">
      <c r="A1" s="60" t="s">
        <v>522</v>
      </c>
    </row>
    <row r="3" spans="1:75" s="1" customFormat="1" ht="87" x14ac:dyDescent="0.35">
      <c r="A3" s="1" t="str">
        <f>'Formulation Name Data'!A64&amp;"_AgedConc_T1"</f>
        <v>Avio®F3 Green KHC_AgedConc_T1</v>
      </c>
      <c r="B3" s="1" t="str">
        <f>'Formulation Name Data'!A65&amp;"_AgedConc_T1"</f>
        <v>JetFoam 3%_AgedConc_T1</v>
      </c>
      <c r="C3" s="1" t="str">
        <f>'Formulation Name Data'!A67&amp;"_T1"</f>
        <v>FomtecEnviroUSP 3%_T1</v>
      </c>
      <c r="D3" s="1" t="str">
        <f>'Formulation Name Data'!A66&amp;"_T1"</f>
        <v>Solberg® Rehealing RF3 3%_T1</v>
      </c>
      <c r="E3" s="1" t="str">
        <f>'Formulation Name Data'!A109&amp;"_T1"</f>
        <v>G225_DGBE_0.3_0.5_T1</v>
      </c>
      <c r="F3" s="1" t="str">
        <f>'Formulation Name Data'!A98&amp;"_T1"</f>
        <v>ComSor1830503_T1</v>
      </c>
      <c r="G3" s="1" t="str">
        <f>'Formulation Name Data'!A99&amp;"_T1"</f>
        <v>ComSor_26990-95B_T1</v>
      </c>
      <c r="H3" s="1" t="str">
        <f>'Formulation Name Data'!A100&amp;"_T1"</f>
        <v>ComSor_26990-95C_T1</v>
      </c>
      <c r="I3" s="1" t="str">
        <f>'Formulation Name Data'!A101&amp;"_T1"</f>
        <v>ComSor_26990-95D_T1</v>
      </c>
      <c r="J3" s="1" t="str">
        <f>'Formulation Name Data'!A57&amp;"_T1"</f>
        <v>ComSor_EXP-20-C10628-A_T1</v>
      </c>
      <c r="K3" s="1" t="str">
        <f>'Formulation Name Data'!A58&amp;"_T1"</f>
        <v>ComSor_EXP-20-C10628-B_T1</v>
      </c>
      <c r="L3" s="1" t="str">
        <f>'Formulation Name Data'!A59&amp;"_T1"</f>
        <v>ComSor_EXP-20-C10628-C_T1</v>
      </c>
      <c r="M3" s="1" t="str">
        <f>'Formulation Name Data'!A60&amp;"_T1"</f>
        <v>ComSor_EXP-20-C10628-D_T1</v>
      </c>
      <c r="N3" s="1" t="str">
        <f>'Formulation Name Data'!A61&amp;"_T1"</f>
        <v>ComSor_EXP-20-C10628-E_T1</v>
      </c>
      <c r="O3" s="12" t="str">
        <f>'Formulation Name Data'!A140&amp;"_T1"</f>
        <v>ComSor_EXP-20-CH1024-A_T1</v>
      </c>
      <c r="P3" s="1" t="str">
        <f>'Formulation Name Data'!A141&amp;"_T1"</f>
        <v>ComSor_EXP-20-CH1024-B_T1</v>
      </c>
      <c r="Q3" s="1" t="str">
        <f>'Formulation Name Data'!A142&amp;"_T1"</f>
        <v>ComSor_EXP-20-CH1024-C_T1</v>
      </c>
      <c r="R3" s="1" t="str">
        <f>'Formulation Name Data'!A143&amp;"_T1"</f>
        <v>ComSor_EXP-20-CH1024-D_T1</v>
      </c>
      <c r="S3" s="1" t="str">
        <f>'Formulation Name Data'!A144&amp;"_T1"</f>
        <v>ComSor_EXP-20-CH1024-E_T1</v>
      </c>
      <c r="T3" s="1" t="str">
        <f>'Formulation Name Data'!A145&amp;"_T1"</f>
        <v>ComSor_EXP-20-CH1024-F_T1</v>
      </c>
      <c r="U3" s="1" t="str">
        <f>'Formulation Name Data'!A146&amp;"_T1"</f>
        <v>ComSor_EXP-20-CH1024-G_T1</v>
      </c>
      <c r="V3" s="1" t="str">
        <f>'Formulation Name Data'!A147&amp;"_T1"</f>
        <v>ComSor_EXP-20-CH1024-H_T1</v>
      </c>
      <c r="W3" s="1" t="str">
        <f>'Formulation Name Data'!A117&amp;"_T1"</f>
        <v>ComSor_EXP-21-CH1035-A_T1</v>
      </c>
      <c r="X3" s="1" t="str">
        <f>'Formulation Name Data'!A150&amp;"_T1"</f>
        <v>ComSor_EXP-21-CH1035-A-Saltwater_T1</v>
      </c>
      <c r="Y3" s="1" t="str">
        <f>'Formulation Name Data'!A110&amp;"_T1"</f>
        <v>ComSor_EXP-21-CH1035-B_T1</v>
      </c>
      <c r="Z3" s="1" t="str">
        <f>'Formulation Name Data'!A118&amp;"_T1"</f>
        <v>ComSor_EXP-21-CH1035-C_T1</v>
      </c>
      <c r="AA3" s="1" t="str">
        <f>'Formulation Name Data'!A148&amp;"_T1"</f>
        <v>ComSor_EXP-21-CM7837-5_T1</v>
      </c>
      <c r="AB3" s="1" t="str">
        <f>'Formulation Name Data'!A149&amp;"_T1"</f>
        <v>ComSor_EXP-21-CM7837-4_T1</v>
      </c>
      <c r="AC3" s="1" t="str">
        <f>'Formulation Name Data'!A151&amp;"_T1"</f>
        <v>ComSor_EXP-21-CH1042-1-Saltwater_T1</v>
      </c>
      <c r="AD3" s="1" t="str">
        <f>'Formulation Name Data'!A37&amp;"_T1"</f>
        <v>D502W_G225_DGBE_0.2_0.3_0.5_T1</v>
      </c>
      <c r="AE3" s="1" t="str">
        <f>'Formulation Name Data'!A8&amp;"_T1"</f>
        <v>Cap_G215_DGBE_0.3_0.2_0.5_T1</v>
      </c>
      <c r="AF3" s="12" t="str">
        <f>'Formulation Name Data'!A156&amp;"_T1"</f>
        <v>NRL_N10477-189_G225_DGBE_0.05_0.3_0.5_T1</v>
      </c>
      <c r="AG3" s="1" t="str">
        <f>'Formulation Name Data'!A155&amp;"_T1"</f>
        <v>NRL_N10478-198_G225_DGBE_0.065_0.3_0.5_T1</v>
      </c>
      <c r="AH3" s="1" t="str">
        <f>'Formulation Name Data'!A157&amp;"_T1"</f>
        <v>NRL_N10478-81_G225_DGBE_0.116_0.3_0.5_T1</v>
      </c>
      <c r="AI3" s="1" t="str">
        <f>'Formulation Name Data'!A138&amp;"_T1"</f>
        <v>CL_MD2086-97_G225_DGBE_0.34_0.56_0.5_T1</v>
      </c>
      <c r="AJ3" s="1" t="str">
        <f>'Formulation Name Data'!A154&amp;"_T1"</f>
        <v>CL_MD2012-16_G225_DGBE_0.52_0.78_0.5_T1</v>
      </c>
      <c r="AK3" s="1" t="str">
        <f>'Formulation Name Data'!A158&amp;"_T1"</f>
        <v>CL_MD2102-54_G225_DGBE_0.2_0.3_0.5_T1</v>
      </c>
      <c r="AL3" s="1" t="str">
        <f>'Formulation Name Data'!A159&amp;"_T1"</f>
        <v>CL_MD2062-148_G225_DGBE_0.043_0.3_0.5_T1</v>
      </c>
      <c r="AM3" s="1" t="str">
        <f>'Formulation Name Data'!A8&amp;"_T1"</f>
        <v>Cap_G215_DGBE_0.3_0.2_0.5_T1</v>
      </c>
      <c r="AN3" s="1" t="str">
        <f>'Formulation Name Data'!A37&amp;"_T2"</f>
        <v>D502W_G225_DGBE_0.2_0.3_0.5_T2</v>
      </c>
      <c r="AO3" s="1" t="str">
        <f>'Formulation Name Data'!A163&amp;"_T1"</f>
        <v>D502W_G225_SDS_DGBE_0.2_0.3_0.2_0.5_T1</v>
      </c>
      <c r="AP3" s="1" t="str">
        <f>'Formulation Name Data'!A164&amp;"_T1"</f>
        <v>D502W_G225_SDS_DGBE_0.2_0.3_0.02_0.5_T1</v>
      </c>
      <c r="AQ3" s="1" t="str">
        <f>'Formulation Name Data'!A165&amp;"_T1"</f>
        <v>NRL_N10478-40_G225_DGBE_0.2_0.3_0.5_T1</v>
      </c>
      <c r="AR3" s="1" t="str">
        <f>'Formulation Name Data'!A166&amp;"_T1"</f>
        <v>ComSor_EXP-22-CH1050_T1</v>
      </c>
      <c r="AS3" s="1" t="str">
        <f>'Formulation Name Data'!A166&amp;"_T2"</f>
        <v>ComSor_EXP-22-CH1050_T2</v>
      </c>
      <c r="AT3" s="1" t="str">
        <f>'Formulation Name Data'!A167&amp;"_T1"</f>
        <v>Ecoguard CF3F_T1</v>
      </c>
      <c r="AU3" s="1" t="str">
        <f>'Formulation Name Data'!A67&amp;"_T1"</f>
        <v>FomtecEnviroUSP 3%_T1</v>
      </c>
      <c r="AV3" s="1" t="str">
        <f>'Formulation Name Data'!A37&amp;"_T3"</f>
        <v>D502W_G225_DGBE_0.2_0.3_0.5_T3</v>
      </c>
      <c r="AW3" s="1" t="str">
        <f>'Formulation Name Data'!A10&amp;"_T1"</f>
        <v>Buckeye 3%_3_T1</v>
      </c>
      <c r="AX3" s="1" t="str">
        <f>'Formulation Name Data'!A169&amp;"_T1"</f>
        <v>Universal®F3 Green_3_T1</v>
      </c>
      <c r="AY3" s="1" t="str">
        <f>'Formulation Name Data'!A174&amp;"_T1"</f>
        <v>ComSor_EXP-20-CIO632-A3_T1</v>
      </c>
      <c r="AZ3" s="1" t="str">
        <f>'Formulation Name Data'!A175&amp;"_T1"</f>
        <v>ComSor_EXP-20-CIO632-B3_T1</v>
      </c>
      <c r="BA3" s="1" t="str">
        <f>'Formulation Name Data'!A176&amp;"_T1"</f>
        <v>ComSor_EXP-20-CIO632-C3_T1</v>
      </c>
      <c r="BB3" s="1" t="str">
        <f>'Formulation Name Data'!A178&amp;"_T1"</f>
        <v>CL_MD2062-121_G225_DGBE_0.1_0.3_0.5_T1</v>
      </c>
      <c r="BC3" s="1" t="str">
        <f>'Formulation Name Data'!A177&amp;"_T1"</f>
        <v>CL_MD2062-57_G225_DGBE_0.2_0.3_0.5_T1</v>
      </c>
      <c r="BD3" s="1" t="str">
        <f>'Formulation Name Data'!A179&amp;"_T1"</f>
        <v>CL_MD2062-124_G225_DGBE_0.065_0.3_0.5_T1</v>
      </c>
      <c r="BE3" s="1" t="str">
        <f>'Formulation Name Data'!A180&amp;"_T1"</f>
        <v>CL_MD2062-124_G225_DGBE_0.05_0.3_0.5_T1</v>
      </c>
      <c r="BF3" s="1" t="str">
        <f>'Formulation Name Data'!A39&amp;"_T1"</f>
        <v>NRL_N10358-176_G225_DGBE_0.2_0.3_0.5_T1</v>
      </c>
      <c r="BG3" s="1" t="str">
        <f>'Formulation Name Data'!A92&amp;"_T1"</f>
        <v>NRL_N10477-09_G225_DGBE_0.2_0.3_0.5_T1</v>
      </c>
      <c r="BH3" s="1" t="str">
        <f>'Formulation Name Data'!A37&amp;"_T4"</f>
        <v>D502W_G225_DGBE_0.2_0.3_0.5_T4</v>
      </c>
      <c r="BI3" s="1" t="str">
        <f>'Formulation Name Data'!A181&amp;"_T1"</f>
        <v>Collab_26990-95C_G225_5_0.3_T1</v>
      </c>
      <c r="BJ3" s="1" t="str">
        <f>'Formulation Name Data'!A37&amp;"_T5"</f>
        <v>D502W_G225_DGBE_0.2_0.3_0.5_T5</v>
      </c>
      <c r="BK3" s="1" t="str">
        <f>'Formulation Name Data'!A183&amp;"_T1"</f>
        <v>NRL_CB_DTBTS_SB_G225_DGBE_0.02_0.3_0.5_T1</v>
      </c>
      <c r="BL3" s="1" t="str">
        <f>'Formulation Name Data'!A184&amp;"_T1"</f>
        <v>NRL_CB-1-123_G225_DGBE_0.2_0.3_0.5_T1</v>
      </c>
      <c r="BM3" s="1" t="str">
        <f>'Formulation Name Data'!A185&amp;"_T1"</f>
        <v>NRL_N10478-227_G225_DGBE_0.063_0.3_0.5_T1</v>
      </c>
      <c r="BN3" s="1" t="str">
        <f>'Formulation Name Data'!A186&amp;"_T1"</f>
        <v>NRL_N10478-233_G225_DGBE_0.03_0.3_0.5_T1</v>
      </c>
      <c r="BO3" s="1" t="str">
        <f>'Formulation Name Data'!A187&amp;"_T1"</f>
        <v>NRL_N10478-240_G225_DGBE_#_0.3_0.5_T1</v>
      </c>
      <c r="BP3" s="1" t="str">
        <f>'Formulation Name Data'!A188&amp;"_T1"</f>
        <v>CL_MD2102-90_G225_DGBE_0.2_0.3_0.5_T1</v>
      </c>
      <c r="BQ3" s="1" t="str">
        <f>'Formulation Name Data'!A189&amp;"_T1"</f>
        <v>CL_MD2102-112_G225_DGBE_0.05_0.3_0.5_T1</v>
      </c>
      <c r="BR3" s="1" t="str">
        <f>'Formulation Name Data'!A191&amp;"_T1"</f>
        <v>ComSor_EXP-21-CH1070-1_3_T1</v>
      </c>
      <c r="BS3" s="1" t="str">
        <f>'Formulation Name Data'!A192&amp;"_T1"</f>
        <v>ComSor_EXP-21-CH1070-2_3_T1</v>
      </c>
      <c r="BT3" s="1" t="str">
        <f>'Formulation Name Data'!A193&amp;"_T1"</f>
        <v>ComSor_EXP-21-CH1070-4_1_T1</v>
      </c>
      <c r="BU3" s="1" t="str">
        <f>'Formulation Name Data'!A37&amp;"_T7"</f>
        <v>D502W_G225_DGBE_0.2_0.3_0.5_T7</v>
      </c>
      <c r="BV3" s="1" t="str">
        <f>'Formulation Name Data'!A190&amp;"_T1"</f>
        <v>CL_MD2102-118_G225_DGBE_0.2_0.3_0.5_T1</v>
      </c>
      <c r="BW3" s="1" t="str">
        <f>'Formulation Name Data'!A197&amp;"_T1"</f>
        <v>NRL_CB-1-192_G225_DGBE_0.14_0.21_0.5_T1</v>
      </c>
    </row>
    <row r="4" spans="1:75" x14ac:dyDescent="0.35">
      <c r="A4">
        <v>1537.672988211174</v>
      </c>
      <c r="B4">
        <v>1485.8841010401188</v>
      </c>
      <c r="C4">
        <v>1401.5416958654519</v>
      </c>
      <c r="D4">
        <v>1846.1538461538501</v>
      </c>
      <c r="E4">
        <v>1485.884101040119</v>
      </c>
      <c r="F4">
        <v>1409.7744360902254</v>
      </c>
      <c r="G4">
        <v>1434.0344168260037</v>
      </c>
      <c r="H4">
        <v>1358.0805794477139</v>
      </c>
      <c r="I4">
        <v>1455.6040756914119</v>
      </c>
      <c r="J4">
        <v>1288.1064834693002</v>
      </c>
      <c r="K4">
        <v>1359.0033975084939</v>
      </c>
      <c r="L4">
        <v>1365.4984069185252</v>
      </c>
      <c r="M4">
        <v>1405.4813773717499</v>
      </c>
      <c r="N4">
        <v>1364.566750056857</v>
      </c>
      <c r="O4">
        <v>1501.5015015015015</v>
      </c>
      <c r="P4">
        <v>1462.3446258834999</v>
      </c>
      <c r="Q4">
        <v>1247.6606363069245</v>
      </c>
      <c r="R4">
        <v>1528.6624203821657</v>
      </c>
      <c r="S4">
        <v>1455.6040756914119</v>
      </c>
      <c r="T4">
        <v>1270.6480304955528</v>
      </c>
      <c r="U4">
        <v>1552.3932729624839</v>
      </c>
      <c r="V4">
        <v>1534.5268542199487</v>
      </c>
      <c r="W4">
        <v>1391.465677179963</v>
      </c>
      <c r="X4">
        <v>1459.1439688715955</v>
      </c>
      <c r="Y4">
        <v>1553.5991714137754</v>
      </c>
      <c r="Z4">
        <v>1589.8251192368839</v>
      </c>
      <c r="AA4">
        <v>1586.8817773075905</v>
      </c>
      <c r="AB4">
        <v>1449.2753623188407</v>
      </c>
      <c r="AC4">
        <v>1376.1467889908256</v>
      </c>
      <c r="AD4">
        <v>1409.7744360902254</v>
      </c>
      <c r="AE4">
        <v>1346.4991023339317</v>
      </c>
      <c r="AF4">
        <v>1492.9086837521772</v>
      </c>
      <c r="AG4">
        <v>1363.6363636363637</v>
      </c>
      <c r="AH4">
        <v>1250</v>
      </c>
      <c r="AI4">
        <v>1361.7793917385384</v>
      </c>
      <c r="AJ4">
        <v>1157.8541103820919</v>
      </c>
      <c r="AK4">
        <v>1963.3507853403141</v>
      </c>
      <c r="AL4">
        <v>1420.1183431952663</v>
      </c>
      <c r="AM4">
        <v>546.74685620557682</v>
      </c>
      <c r="AN4">
        <v>578.03468208092488</v>
      </c>
      <c r="AO4">
        <v>1431.2977099236641</v>
      </c>
      <c r="AP4">
        <v>2173.9130434782605</v>
      </c>
      <c r="AQ4">
        <v>1543.2098765432097</v>
      </c>
      <c r="AR4">
        <v>1238.6457473162677</v>
      </c>
      <c r="AS4">
        <v>626.69730520158771</v>
      </c>
      <c r="AT4">
        <v>501.46259924780605</v>
      </c>
      <c r="AU4">
        <v>547.64512595837891</v>
      </c>
      <c r="AV4">
        <v>1354.7076089410702</v>
      </c>
      <c r="AW4">
        <v>536.76865271068164</v>
      </c>
      <c r="AX4">
        <v>606.98027314112289</v>
      </c>
      <c r="AY4">
        <v>508.56077301237502</v>
      </c>
      <c r="AZ4">
        <v>530.73861123396716</v>
      </c>
      <c r="BA4">
        <v>524.24639580602877</v>
      </c>
      <c r="BB4">
        <v>1440.2304369999999</v>
      </c>
      <c r="BC4">
        <v>1404.165692</v>
      </c>
      <c r="BD4">
        <v>1821.4936250000001</v>
      </c>
      <c r="BE4">
        <v>1573.5641230000001</v>
      </c>
      <c r="BF4">
        <v>2006.018</v>
      </c>
      <c r="BG4">
        <v>1071.4290000000001</v>
      </c>
      <c r="BH4">
        <v>1471.309</v>
      </c>
      <c r="BI4">
        <v>484.45699999999999</v>
      </c>
      <c r="BJ4">
        <v>2008.0321285140562</v>
      </c>
      <c r="BK4">
        <v>1149.8658489842851</v>
      </c>
      <c r="BL4">
        <v>1363.6363636363637</v>
      </c>
      <c r="BM4">
        <v>550.76188727740043</v>
      </c>
      <c r="BN4">
        <v>1452.081316553727</v>
      </c>
      <c r="BO4">
        <v>1071.4285714285713</v>
      </c>
      <c r="BP4">
        <v>1397.2985561248254</v>
      </c>
      <c r="BQ4">
        <v>1381.2154696132598</v>
      </c>
      <c r="BR4" s="42">
        <v>1261.5643397813287</v>
      </c>
      <c r="BS4">
        <v>1536.0983102918585</v>
      </c>
      <c r="BT4">
        <v>1547.9876160990714</v>
      </c>
      <c r="BU4" s="42">
        <v>1504.5135406218656</v>
      </c>
      <c r="BV4">
        <v>1322.7513227513227</v>
      </c>
      <c r="BW4" s="42">
        <v>1533.7423312883436</v>
      </c>
    </row>
    <row r="5" spans="1:75" x14ac:dyDescent="0.35">
      <c r="A5">
        <v>878.99208907119828</v>
      </c>
      <c r="B5">
        <v>931.09869646182494</v>
      </c>
      <c r="C5">
        <v>1167.996885341639</v>
      </c>
      <c r="D5">
        <v>1201.4417300760913</v>
      </c>
      <c r="E5">
        <v>1220.5044751830758</v>
      </c>
      <c r="F5">
        <v>516.04025113958892</v>
      </c>
      <c r="G5">
        <v>534.61641272387055</v>
      </c>
      <c r="H5">
        <v>2094.2408376963353</v>
      </c>
      <c r="I5">
        <v>2116.4021164021165</v>
      </c>
      <c r="J5">
        <v>2105.2631578947367</v>
      </c>
      <c r="K5">
        <v>829.30200414651006</v>
      </c>
      <c r="L5">
        <v>2109.7046413502107</v>
      </c>
      <c r="M5">
        <v>805.36912751677858</v>
      </c>
      <c r="N5">
        <v>531.16147308781865</v>
      </c>
      <c r="O5">
        <v>1179.9410029498524</v>
      </c>
      <c r="P5">
        <v>1140.9013120365087</v>
      </c>
      <c r="Q5">
        <v>918.27364554637279</v>
      </c>
      <c r="R5">
        <v>1230.0123001230013</v>
      </c>
      <c r="S5">
        <v>1180.173092053501</v>
      </c>
      <c r="T5">
        <v>908.26521344232515</v>
      </c>
      <c r="U5">
        <v>1212.8562765312311</v>
      </c>
      <c r="V5">
        <v>1250</v>
      </c>
      <c r="W5">
        <v>1144.1647597254005</v>
      </c>
      <c r="X5">
        <v>1093.2944606413994</v>
      </c>
      <c r="Y5">
        <v>2588.4383088869718</v>
      </c>
      <c r="Z5">
        <v>2467.1052631578946</v>
      </c>
      <c r="AA5">
        <v>1352.265043948614</v>
      </c>
      <c r="AB5">
        <v>1259.9748005039899</v>
      </c>
      <c r="AC5">
        <v>1142.6394972386211</v>
      </c>
      <c r="AD5">
        <v>1684.4469399213926</v>
      </c>
      <c r="AE5">
        <v>1547.1892728210416</v>
      </c>
      <c r="AF5">
        <v>1173.0205278592375</v>
      </c>
      <c r="AG5">
        <v>1149.8658489842851</v>
      </c>
      <c r="AH5">
        <v>1526.3291783261257</v>
      </c>
      <c r="AI5">
        <v>1556.0165975103735</v>
      </c>
      <c r="AJ5">
        <v>853.97096498719043</v>
      </c>
      <c r="AK5">
        <v>1238.6457473162677</v>
      </c>
      <c r="AL5">
        <v>1628.2225237449118</v>
      </c>
      <c r="AM5">
        <v>528.77412531946766</v>
      </c>
      <c r="AN5">
        <v>749.71885542921405</v>
      </c>
      <c r="AO5">
        <v>2168.4134441633537</v>
      </c>
      <c r="AP5">
        <v>1699.235344095157</v>
      </c>
      <c r="AQ5">
        <v>1169.1348402182384</v>
      </c>
      <c r="AR5">
        <v>989.44591029023741</v>
      </c>
      <c r="AS5">
        <v>622.14848610535046</v>
      </c>
      <c r="AT5">
        <v>424.02826855123675</v>
      </c>
      <c r="AU5">
        <v>806.77692617991124</v>
      </c>
      <c r="AV5">
        <v>1125.4924029262802</v>
      </c>
      <c r="AW5">
        <v>402.38749916169269</v>
      </c>
      <c r="AX5">
        <v>464.5401052957572</v>
      </c>
      <c r="AY5">
        <v>377.28730428221093</v>
      </c>
      <c r="AZ5">
        <v>393.49422875131165</v>
      </c>
      <c r="BA5">
        <v>394.0886699507389</v>
      </c>
      <c r="BB5">
        <v>1192.6058439999999</v>
      </c>
      <c r="BC5">
        <v>1141.335362</v>
      </c>
      <c r="BD5">
        <v>907.4410163</v>
      </c>
      <c r="BE5">
        <v>592.18318199999999</v>
      </c>
      <c r="BG5">
        <v>2059.0250000000001</v>
      </c>
      <c r="BH5">
        <v>1128.6679999999999</v>
      </c>
      <c r="BI5">
        <v>348.45229999999998</v>
      </c>
      <c r="BJ5">
        <v>1566.579634464752</v>
      </c>
      <c r="BK5">
        <v>1528.2730514518594</v>
      </c>
      <c r="BL5">
        <v>1745.2006980802792</v>
      </c>
      <c r="BM5">
        <v>849.61767204757848</v>
      </c>
      <c r="BN5">
        <v>1885.6065367693275</v>
      </c>
      <c r="BO5">
        <v>1386.9625520110958</v>
      </c>
      <c r="BP5">
        <v>1643.8356164383561</v>
      </c>
      <c r="BQ5">
        <v>842.22346996069632</v>
      </c>
      <c r="BR5" s="42">
        <v>967.74193548387098</v>
      </c>
      <c r="BS5">
        <v>1153.8461538461538</v>
      </c>
      <c r="BT5">
        <v>1220.008133387556</v>
      </c>
      <c r="BU5" s="42">
        <v>1201.4417300760913</v>
      </c>
      <c r="BV5">
        <v>1176.4705882352941</v>
      </c>
      <c r="BW5" s="42">
        <v>1839.3623543838137</v>
      </c>
    </row>
    <row r="6" spans="1:75" x14ac:dyDescent="0.35">
      <c r="A6">
        <v>585.02340093603743</v>
      </c>
      <c r="B6">
        <v>437.95620437956205</v>
      </c>
      <c r="C6">
        <v>617.41098991562046</v>
      </c>
      <c r="D6">
        <v>607.65647154142198</v>
      </c>
      <c r="E6">
        <v>916.59028414298803</v>
      </c>
      <c r="F6">
        <v>1102.1307861866276</v>
      </c>
      <c r="G6">
        <v>2100.1050052502624</v>
      </c>
      <c r="H6">
        <v>1113.7924633376647</v>
      </c>
      <c r="I6">
        <v>1149.2051331162613</v>
      </c>
      <c r="J6">
        <v>804.07397480568204</v>
      </c>
      <c r="K6">
        <v>381.09756097560978</v>
      </c>
      <c r="L6">
        <v>861.07921928817439</v>
      </c>
      <c r="M6">
        <v>365.92059523083492</v>
      </c>
      <c r="N6">
        <v>369.1626161324063</v>
      </c>
      <c r="O6">
        <v>864.42875666330508</v>
      </c>
      <c r="P6">
        <v>889.6797153024911</v>
      </c>
      <c r="Q6">
        <v>607.28744939271246</v>
      </c>
      <c r="R6">
        <v>905.93386682772177</v>
      </c>
      <c r="S6">
        <v>866.17583369423983</v>
      </c>
      <c r="T6">
        <v>616.39613725087315</v>
      </c>
      <c r="U6">
        <v>884.69478030079631</v>
      </c>
      <c r="V6">
        <v>952.98602287166443</v>
      </c>
      <c r="W6">
        <v>842.69662921348311</v>
      </c>
      <c r="X6">
        <v>815.66068515497545</v>
      </c>
      <c r="Y6">
        <v>1461.2761811982464</v>
      </c>
      <c r="AA6">
        <v>994.3652635067948</v>
      </c>
      <c r="AB6">
        <v>981.99672667757773</v>
      </c>
      <c r="AC6">
        <v>790.51383399209476</v>
      </c>
      <c r="AD6">
        <v>2035.9687818120124</v>
      </c>
      <c r="AE6">
        <v>1935.483870967742</v>
      </c>
      <c r="AF6">
        <v>864.92720196050163</v>
      </c>
      <c r="AG6">
        <v>841.27874369040956</v>
      </c>
      <c r="AI6">
        <v>2038.0434782608695</v>
      </c>
      <c r="AJ6">
        <v>1959.5035924232527</v>
      </c>
      <c r="AK6">
        <v>916.87041564792185</v>
      </c>
      <c r="AL6">
        <v>2057.6131687242796</v>
      </c>
      <c r="AM6">
        <v>333.62989323843414</v>
      </c>
      <c r="AN6">
        <v>1324.7957606535658</v>
      </c>
      <c r="AO6">
        <v>2481.3895781637716</v>
      </c>
      <c r="AP6">
        <v>1372.9977116704804</v>
      </c>
      <c r="AQ6">
        <v>858.61476817401262</v>
      </c>
      <c r="AR6">
        <v>616.90314620604556</v>
      </c>
      <c r="AS6">
        <v>616.90314620604556</v>
      </c>
      <c r="AT6">
        <v>651.67807103290977</v>
      </c>
      <c r="AU6">
        <v>672.79659116393805</v>
      </c>
      <c r="AV6">
        <v>854.09252669039142</v>
      </c>
      <c r="AW6">
        <v>252.96176061385387</v>
      </c>
      <c r="AX6">
        <v>336.60589060308553</v>
      </c>
      <c r="AY6">
        <v>316.78986272439283</v>
      </c>
      <c r="AZ6">
        <v>330.92493519386687</v>
      </c>
      <c r="BA6">
        <v>241.44869215291752</v>
      </c>
      <c r="BB6">
        <v>878.73462210000002</v>
      </c>
      <c r="BC6">
        <v>849.97875050000005</v>
      </c>
      <c r="BD6">
        <v>449.43820219999998</v>
      </c>
      <c r="BE6">
        <v>272.26936519999998</v>
      </c>
      <c r="BH6">
        <v>828.04309999999998</v>
      </c>
      <c r="BI6">
        <v>762.29200000000003</v>
      </c>
      <c r="BJ6">
        <v>1153.8461538461538</v>
      </c>
      <c r="BK6">
        <v>969.61861667744017</v>
      </c>
      <c r="BM6">
        <v>634.92063492063494</v>
      </c>
      <c r="BN6">
        <v>1000</v>
      </c>
      <c r="BO6">
        <v>831.94675540765388</v>
      </c>
      <c r="BP6">
        <v>1963.3507853403141</v>
      </c>
      <c r="BQ6">
        <v>515.90713671539129</v>
      </c>
      <c r="BR6" s="42">
        <v>1564.1293013555787</v>
      </c>
      <c r="BS6">
        <v>998.00399201596815</v>
      </c>
      <c r="BT6">
        <v>948.76660341555976</v>
      </c>
      <c r="BU6" s="42">
        <v>907.16661626852135</v>
      </c>
      <c r="BV6">
        <v>878.99208907119828</v>
      </c>
      <c r="BW6" s="42">
        <v>2259.0361445783133</v>
      </c>
    </row>
    <row r="7" spans="1:75" x14ac:dyDescent="0.35">
      <c r="A7">
        <v>435.72984749455344</v>
      </c>
      <c r="B7">
        <v>2281.3688212927755</v>
      </c>
      <c r="C7">
        <v>876.68030391583875</v>
      </c>
      <c r="D7">
        <v>410.79008626591809</v>
      </c>
      <c r="E7">
        <v>562.69342586514119</v>
      </c>
      <c r="F7">
        <v>2061.8556701030925</v>
      </c>
      <c r="G7">
        <v>1104.5655375552283</v>
      </c>
      <c r="H7">
        <v>807.75444264943451</v>
      </c>
      <c r="I7">
        <v>896.7269466447467</v>
      </c>
      <c r="J7">
        <v>407.77490825064569</v>
      </c>
      <c r="K7">
        <v>226.12497173437851</v>
      </c>
      <c r="L7">
        <v>385.40596094552927</v>
      </c>
      <c r="M7">
        <v>284.61647929415113</v>
      </c>
      <c r="N7">
        <v>816.99346405228766</v>
      </c>
      <c r="O7">
        <v>558.60720603295783</v>
      </c>
      <c r="P7">
        <v>588.63926223879128</v>
      </c>
      <c r="Q7">
        <v>480.80775703181348</v>
      </c>
      <c r="R7">
        <v>582.0157144242894</v>
      </c>
      <c r="S7">
        <v>570.07125890736347</v>
      </c>
      <c r="T7">
        <v>439.65706748735977</v>
      </c>
      <c r="U7">
        <v>573.28492260653547</v>
      </c>
      <c r="V7">
        <v>628.86489885756214</v>
      </c>
      <c r="W7">
        <v>556.17352614015579</v>
      </c>
      <c r="X7">
        <v>567.96667928814838</v>
      </c>
      <c r="AA7">
        <v>604.35132957292501</v>
      </c>
      <c r="AB7">
        <v>642.60469101424439</v>
      </c>
      <c r="AC7">
        <v>508.60388234296857</v>
      </c>
      <c r="AD7">
        <v>1118.7768040275967</v>
      </c>
      <c r="AE7">
        <v>1071.4285714285713</v>
      </c>
      <c r="AF7">
        <v>570.77625570776252</v>
      </c>
      <c r="AG7">
        <v>547.94520547945206</v>
      </c>
      <c r="AI7">
        <v>1129.5180722891566</v>
      </c>
      <c r="AJ7">
        <v>2177.0682148040642</v>
      </c>
      <c r="AK7">
        <v>622.66500622665012</v>
      </c>
      <c r="AM7">
        <v>342.99434059338017</v>
      </c>
      <c r="AN7">
        <v>1341.0818059901655</v>
      </c>
      <c r="AP7">
        <v>1140.2508551881413</v>
      </c>
      <c r="AQ7">
        <v>2087.6826722338205</v>
      </c>
      <c r="AR7">
        <v>445.89774078478001</v>
      </c>
      <c r="AT7">
        <v>790.51383399209476</v>
      </c>
      <c r="AU7">
        <v>1053.1858873091101</v>
      </c>
      <c r="AV7">
        <v>571.42857142857144</v>
      </c>
      <c r="AW7">
        <v>177.99400753507965</v>
      </c>
      <c r="AX7">
        <v>197.47235387045811</v>
      </c>
      <c r="AY7">
        <v>250.85709507483904</v>
      </c>
      <c r="AZ7">
        <v>257.88704547408236</v>
      </c>
      <c r="BA7">
        <v>307.83438510081578</v>
      </c>
      <c r="BB7">
        <v>588.81256129999997</v>
      </c>
      <c r="BC7">
        <v>568.72037909999995</v>
      </c>
      <c r="BD7">
        <v>1574.80315</v>
      </c>
      <c r="BE7">
        <v>2362.2047240000002</v>
      </c>
      <c r="BH7">
        <v>546.84649999999999</v>
      </c>
      <c r="BI7">
        <v>1044.0229999999999</v>
      </c>
      <c r="BJ7">
        <v>670.39106145251401</v>
      </c>
      <c r="BK7">
        <v>614.25061425061426</v>
      </c>
      <c r="BN7">
        <v>1197.1268954509178</v>
      </c>
      <c r="BO7">
        <v>1107.4197120708748</v>
      </c>
      <c r="BQ7">
        <v>398.88312724371764</v>
      </c>
      <c r="BR7" s="42">
        <v>669.94193836534168</v>
      </c>
      <c r="BS7">
        <v>672.79659116393805</v>
      </c>
      <c r="BT7">
        <v>615.00615006150065</v>
      </c>
      <c r="BU7" s="42">
        <v>608.76623376623377</v>
      </c>
      <c r="BV7">
        <v>589.97050147492621</v>
      </c>
    </row>
    <row r="8" spans="1:75" x14ac:dyDescent="0.35">
      <c r="A8">
        <v>399.14848323576371</v>
      </c>
      <c r="B8">
        <v>504.20168067226894</v>
      </c>
      <c r="C8">
        <v>473.41013097680292</v>
      </c>
      <c r="D8">
        <v>296.82398337785696</v>
      </c>
      <c r="E8">
        <v>435.50845612252311</v>
      </c>
      <c r="F8">
        <v>793.33597778659271</v>
      </c>
      <c r="G8">
        <v>812.45768449559921</v>
      </c>
      <c r="H8">
        <v>512.29508196721315</v>
      </c>
      <c r="I8">
        <v>520.20114444251772</v>
      </c>
      <c r="J8">
        <v>318.84366032522053</v>
      </c>
      <c r="K8">
        <v>305.96634370219277</v>
      </c>
      <c r="L8">
        <v>312.10986267166044</v>
      </c>
      <c r="M8">
        <v>506.1582588155897</v>
      </c>
      <c r="N8">
        <v>1100.7154650522839</v>
      </c>
      <c r="O8">
        <v>416.63773349072983</v>
      </c>
      <c r="P8">
        <v>417.13014460511681</v>
      </c>
      <c r="Q8">
        <v>276.89325764917623</v>
      </c>
      <c r="R8">
        <v>446.69446098868377</v>
      </c>
      <c r="S8">
        <v>434.78260869565219</v>
      </c>
      <c r="T8">
        <v>291.3894419892186</v>
      </c>
      <c r="U8">
        <v>430.66322136089582</v>
      </c>
      <c r="V8">
        <v>451.26353790613717</v>
      </c>
      <c r="W8">
        <v>476.87172150691464</v>
      </c>
      <c r="X8">
        <v>393.59748097612174</v>
      </c>
      <c r="AA8">
        <v>774.59333849728887</v>
      </c>
      <c r="AB8">
        <v>469.48356807511732</v>
      </c>
      <c r="AC8">
        <v>654.37888537463198</v>
      </c>
      <c r="AD8">
        <v>831.94675540765388</v>
      </c>
      <c r="AE8">
        <v>796.38970002654628</v>
      </c>
      <c r="AF8">
        <v>444.83985765124555</v>
      </c>
      <c r="AG8">
        <v>421.40750105351879</v>
      </c>
      <c r="AI8">
        <v>821.91780821917803</v>
      </c>
      <c r="AJ8">
        <v>1424.5014245014245</v>
      </c>
      <c r="AK8">
        <v>464.90004649000463</v>
      </c>
      <c r="AM8">
        <v>213.5459301704808</v>
      </c>
      <c r="AN8">
        <v>1359.9274705349048</v>
      </c>
      <c r="AP8">
        <v>835.53822587383365</v>
      </c>
      <c r="AQ8">
        <v>1794.2583732057417</v>
      </c>
      <c r="AR8">
        <v>303.61299463617041</v>
      </c>
      <c r="AT8">
        <v>1073.9216037229282</v>
      </c>
      <c r="AU8">
        <v>1287.5536480686694</v>
      </c>
      <c r="AV8">
        <v>418.49759363883658</v>
      </c>
      <c r="AW8">
        <v>107.71412670771772</v>
      </c>
      <c r="AX8">
        <v>284.81913984619769</v>
      </c>
      <c r="AY8">
        <v>787.29825482220178</v>
      </c>
      <c r="AZ8">
        <v>192.50513347022587</v>
      </c>
      <c r="BA8">
        <v>819.44823818628788</v>
      </c>
      <c r="BB8">
        <v>421.11173500000001</v>
      </c>
      <c r="BC8">
        <v>1753.360608</v>
      </c>
      <c r="BD8">
        <v>1253.132832</v>
      </c>
      <c r="BE8">
        <v>1873.2438340000001</v>
      </c>
      <c r="BH8">
        <v>393.05599999999998</v>
      </c>
      <c r="BI8">
        <v>1297.297</v>
      </c>
      <c r="BJ8">
        <v>575.59478127398313</v>
      </c>
      <c r="BK8">
        <v>465.11627906976742</v>
      </c>
      <c r="BO8">
        <v>766.87116564417181</v>
      </c>
      <c r="BQ8">
        <v>272.10884353741494</v>
      </c>
      <c r="BR8" s="42">
        <v>555.55555555555554</v>
      </c>
      <c r="BS8">
        <v>475.96382674916708</v>
      </c>
      <c r="BT8">
        <v>444.64206313917299</v>
      </c>
      <c r="BU8" s="42">
        <v>461.11281893636641</v>
      </c>
      <c r="BV8">
        <v>405.73437922639982</v>
      </c>
    </row>
    <row r="9" spans="1:75" x14ac:dyDescent="0.35">
      <c r="A9">
        <v>529.75454705986226</v>
      </c>
      <c r="B9">
        <v>529.75454705986226</v>
      </c>
      <c r="C9">
        <v>2133.7126600284496</v>
      </c>
      <c r="D9">
        <v>2645.5026455026455</v>
      </c>
      <c r="E9">
        <v>496.60652209899024</v>
      </c>
      <c r="F9">
        <v>1314.3483023001095</v>
      </c>
      <c r="G9">
        <v>2118.6440677966102</v>
      </c>
      <c r="H9">
        <v>378.85963250615646</v>
      </c>
      <c r="I9">
        <v>704.06007979347567</v>
      </c>
      <c r="J9">
        <v>515.02145922746786</v>
      </c>
      <c r="K9">
        <v>506.79956077371401</v>
      </c>
      <c r="L9">
        <v>549.14881933003846</v>
      </c>
      <c r="M9">
        <v>1115.6563778356267</v>
      </c>
      <c r="N9">
        <v>1645.1878256100906</v>
      </c>
      <c r="O9">
        <v>339.65468440418908</v>
      </c>
      <c r="P9">
        <v>363.57025995273585</v>
      </c>
      <c r="Q9">
        <v>235.47880690737833</v>
      </c>
      <c r="R9">
        <v>286.45087367516476</v>
      </c>
      <c r="S9">
        <v>289.01734104046244</v>
      </c>
      <c r="T9">
        <v>364.65297192172119</v>
      </c>
      <c r="U9">
        <v>274.19797093501506</v>
      </c>
      <c r="V9">
        <v>297.53049687592977</v>
      </c>
      <c r="W9">
        <v>435.2241404323226</v>
      </c>
      <c r="X9">
        <v>359.15240033520888</v>
      </c>
      <c r="AA9">
        <v>704.30801737293109</v>
      </c>
      <c r="AB9">
        <v>305.04855356144185</v>
      </c>
      <c r="AC9">
        <v>1638.4489350081919</v>
      </c>
      <c r="AD9">
        <v>548.44606946983549</v>
      </c>
      <c r="AE9">
        <v>507.70011846336092</v>
      </c>
      <c r="AF9">
        <v>361.62005785920928</v>
      </c>
      <c r="AG9">
        <v>277.95793569906419</v>
      </c>
      <c r="AI9">
        <v>543.57673491574565</v>
      </c>
      <c r="AJ9">
        <v>572.19149341979778</v>
      </c>
      <c r="AK9">
        <v>294.66653570376189</v>
      </c>
      <c r="AM9">
        <v>220.50716648291066</v>
      </c>
      <c r="AN9">
        <v>1538.4615384615386</v>
      </c>
      <c r="AP9">
        <v>546.24908958485071</v>
      </c>
      <c r="AQ9">
        <v>677.96610169491521</v>
      </c>
      <c r="AR9">
        <v>217.13954834973944</v>
      </c>
      <c r="AT9">
        <v>1583.1134564643801</v>
      </c>
      <c r="AU9">
        <v>1558.0368735393401</v>
      </c>
      <c r="AV9">
        <v>484.84848484848487</v>
      </c>
      <c r="AW9">
        <v>136.95503309746633</v>
      </c>
      <c r="AX9">
        <v>251.09855618330195</v>
      </c>
      <c r="AY9">
        <v>1033.4137099552188</v>
      </c>
      <c r="AZ9">
        <v>788.22911192853383</v>
      </c>
      <c r="BA9">
        <v>1085.972850678733</v>
      </c>
      <c r="BB9">
        <v>282.89876939999999</v>
      </c>
      <c r="BC9">
        <v>2172.3388850000001</v>
      </c>
      <c r="BD9">
        <v>912.13134690000004</v>
      </c>
      <c r="BE9">
        <v>1229.2563</v>
      </c>
      <c r="BH9">
        <v>331.19889999999998</v>
      </c>
      <c r="BI9">
        <v>1580.1949999999999</v>
      </c>
      <c r="BJ9">
        <v>437.95620437956205</v>
      </c>
      <c r="BK9">
        <v>409.89206175707068</v>
      </c>
      <c r="BO9">
        <v>694.76609541454377</v>
      </c>
      <c r="BQ9">
        <v>330.79722130334108</v>
      </c>
      <c r="BR9" s="42">
        <v>309.98140111593307</v>
      </c>
      <c r="BS9">
        <v>310.88082901554407</v>
      </c>
      <c r="BT9">
        <v>302.7550711474417</v>
      </c>
      <c r="BU9" s="42">
        <v>1800.7202881152461</v>
      </c>
      <c r="BV9">
        <v>1573.1515469323544</v>
      </c>
    </row>
    <row r="10" spans="1:75" x14ac:dyDescent="0.35">
      <c r="A10">
        <v>1829.268292682927</v>
      </c>
      <c r="C10">
        <v>407.33197556008145</v>
      </c>
      <c r="D10">
        <v>2462.0434961017645</v>
      </c>
      <c r="E10">
        <v>1832.0610687022902</v>
      </c>
      <c r="F10">
        <v>537.97184614005198</v>
      </c>
      <c r="G10">
        <v>513.17139924734863</v>
      </c>
      <c r="H10">
        <v>305.91954316014886</v>
      </c>
      <c r="J10">
        <v>1083.4236186348862</v>
      </c>
      <c r="K10">
        <v>1159.4202898550725</v>
      </c>
      <c r="L10">
        <v>1194.2675159235669</v>
      </c>
      <c r="M10">
        <v>1764.7058823529412</v>
      </c>
      <c r="N10">
        <v>2143.6227224008571</v>
      </c>
      <c r="O10">
        <v>278.25441728887449</v>
      </c>
      <c r="P10">
        <v>272.50431465164866</v>
      </c>
      <c r="Q10">
        <v>1583.9493136219639</v>
      </c>
      <c r="R10">
        <v>237.14477688628909</v>
      </c>
      <c r="S10">
        <v>225.43678376855158</v>
      </c>
      <c r="T10">
        <v>1635.322976287817</v>
      </c>
      <c r="U10">
        <v>341.68564920273349</v>
      </c>
      <c r="V10">
        <v>381.09756097560978</v>
      </c>
      <c r="W10">
        <v>351.12359550561797</v>
      </c>
      <c r="X10">
        <v>472.44094488188978</v>
      </c>
      <c r="AA10">
        <v>1832.0610687022902</v>
      </c>
      <c r="AB10">
        <v>231.1337108517277</v>
      </c>
      <c r="AC10">
        <v>2008.0321285140562</v>
      </c>
      <c r="AD10">
        <v>558.08761975630171</v>
      </c>
      <c r="AE10">
        <v>382.04393505253103</v>
      </c>
      <c r="AF10">
        <v>319.04711262363077</v>
      </c>
      <c r="AG10">
        <v>237.54849948531157</v>
      </c>
      <c r="AI10">
        <v>412.20115416323165</v>
      </c>
      <c r="AJ10">
        <v>443.26241134751768</v>
      </c>
      <c r="AK10">
        <v>215.87392962509895</v>
      </c>
      <c r="AM10">
        <v>162.68098259313487</v>
      </c>
      <c r="AN10">
        <v>1507.1590052750564</v>
      </c>
      <c r="AP10">
        <v>707.54716981132083</v>
      </c>
      <c r="AR10">
        <v>143.96775122372588</v>
      </c>
      <c r="AT10">
        <v>1960.7843137254902</v>
      </c>
      <c r="AU10">
        <v>1895.7345971563982</v>
      </c>
      <c r="AV10">
        <v>1613.3369185264858</v>
      </c>
      <c r="AW10">
        <v>560.27640302549253</v>
      </c>
      <c r="AX10">
        <v>720.20165646380985</v>
      </c>
      <c r="AY10">
        <v>1277.6831345826236</v>
      </c>
      <c r="AZ10">
        <v>1077.9734099892203</v>
      </c>
      <c r="BA10">
        <v>1462.3446258834999</v>
      </c>
      <c r="BB10">
        <v>230.07899380000001</v>
      </c>
      <c r="BD10">
        <v>597.96691250000003</v>
      </c>
      <c r="BE10">
        <v>881.83421520000002</v>
      </c>
      <c r="BH10">
        <v>2114.165</v>
      </c>
      <c r="BI10">
        <v>1990.05</v>
      </c>
      <c r="BJ10">
        <v>369.77690126956736</v>
      </c>
      <c r="BK10">
        <v>1901.1406844106464</v>
      </c>
      <c r="BO10">
        <v>1761.5971814445095</v>
      </c>
      <c r="BQ10">
        <v>1133.7868480725624</v>
      </c>
      <c r="BR10" s="42">
        <v>218.78646441073511</v>
      </c>
      <c r="BS10">
        <v>152.14524799675422</v>
      </c>
      <c r="BT10">
        <v>148.33127317676144</v>
      </c>
      <c r="BU10" s="42">
        <v>2123.1422505307855</v>
      </c>
      <c r="BV10">
        <v>2222.2222222222222</v>
      </c>
    </row>
    <row r="11" spans="1:75" x14ac:dyDescent="0.35">
      <c r="A11">
        <v>2291.8258212375858</v>
      </c>
      <c r="C11">
        <v>1717.2295363480252</v>
      </c>
      <c r="D11">
        <v>1465.5593551538839</v>
      </c>
      <c r="E11">
        <v>2332.8149300155524</v>
      </c>
      <c r="G11">
        <v>1400.2333722287046</v>
      </c>
      <c r="H11">
        <v>304.36767615279257</v>
      </c>
      <c r="K11">
        <v>1667.1297582661853</v>
      </c>
      <c r="L11">
        <v>1571.5034049240439</v>
      </c>
      <c r="M11">
        <v>2275.3128555176336</v>
      </c>
      <c r="O11">
        <v>224.29906542056074</v>
      </c>
      <c r="P11">
        <v>229.85863693828298</v>
      </c>
      <c r="Q11">
        <v>1895.1358180669615</v>
      </c>
      <c r="R11">
        <v>1886.1993083935868</v>
      </c>
      <c r="S11">
        <v>1820.3883495145635</v>
      </c>
      <c r="T11">
        <v>1818.1818181818182</v>
      </c>
      <c r="U11">
        <v>1791.044776119403</v>
      </c>
      <c r="V11">
        <v>1855.8614290133005</v>
      </c>
      <c r="W11">
        <v>1822.6002430133656</v>
      </c>
      <c r="X11">
        <v>1748.2517482517483</v>
      </c>
      <c r="AA11">
        <v>2266.7170381564038</v>
      </c>
      <c r="AB11">
        <v>155.82796592561814</v>
      </c>
      <c r="AE11">
        <v>246.79170779861795</v>
      </c>
      <c r="AF11">
        <v>1781.4726840855108</v>
      </c>
      <c r="AG11">
        <v>1791.044776119403</v>
      </c>
      <c r="AI11">
        <v>467.1441918405481</v>
      </c>
      <c r="AK11">
        <v>250.92004014720641</v>
      </c>
      <c r="AM11">
        <v>573.83320581484315</v>
      </c>
      <c r="AN11">
        <v>1880.2883108743342</v>
      </c>
      <c r="AR11">
        <v>97.005755674836706</v>
      </c>
      <c r="AT11">
        <v>1292.5463162429987</v>
      </c>
      <c r="AV11">
        <v>2004.6775810223855</v>
      </c>
      <c r="AW11">
        <v>696.70227589410126</v>
      </c>
      <c r="AX11">
        <v>869.94345367551114</v>
      </c>
      <c r="AY11">
        <v>1585.2047556142668</v>
      </c>
      <c r="AZ11">
        <v>1374.2556115437471</v>
      </c>
      <c r="BA11">
        <v>1714.2857142857142</v>
      </c>
      <c r="BB11">
        <v>1806.6847339999999</v>
      </c>
      <c r="BD11">
        <v>431.46843089999999</v>
      </c>
      <c r="BE11">
        <v>403.79567939999998</v>
      </c>
      <c r="BH11">
        <v>1694.4369999999999</v>
      </c>
      <c r="BJ11">
        <v>294.40628066732091</v>
      </c>
      <c r="BK11">
        <v>2207.5055187637968</v>
      </c>
      <c r="BO11">
        <v>2090.5923344947737</v>
      </c>
      <c r="BQ11">
        <v>1545.595054095827</v>
      </c>
      <c r="BR11" s="42">
        <v>150.7537688442211</v>
      </c>
      <c r="BS11">
        <v>102.98307644777042</v>
      </c>
      <c r="BT11">
        <v>105.36667603259342</v>
      </c>
    </row>
    <row r="12" spans="1:75" x14ac:dyDescent="0.35">
      <c r="A12">
        <v>1547.9876160990714</v>
      </c>
      <c r="D12">
        <v>750.56292219164379</v>
      </c>
      <c r="H12">
        <v>250.48008683309678</v>
      </c>
      <c r="K12">
        <v>2059.7322348094744</v>
      </c>
      <c r="M12">
        <v>1408.1201595869513</v>
      </c>
      <c r="O12">
        <v>197.65449993411517</v>
      </c>
      <c r="P12">
        <v>1917.5455417066155</v>
      </c>
      <c r="Q12">
        <v>2330.0970873786409</v>
      </c>
      <c r="R12">
        <v>2350.1762632197415</v>
      </c>
      <c r="S12">
        <v>2196.9974368363237</v>
      </c>
      <c r="T12">
        <v>2402.8834601521826</v>
      </c>
      <c r="U12">
        <v>2111.9324181626189</v>
      </c>
      <c r="V12">
        <v>2361.2750885478163</v>
      </c>
      <c r="W12">
        <v>2167.6300578034684</v>
      </c>
      <c r="X12">
        <v>2054.7945205479455</v>
      </c>
      <c r="AA12">
        <v>1931.7450096587249</v>
      </c>
      <c r="AB12">
        <v>157.37704918032787</v>
      </c>
      <c r="AE12">
        <v>126.39029322548028</v>
      </c>
      <c r="AF12">
        <v>2145.1555237754737</v>
      </c>
      <c r="AG12">
        <v>2358.4905660377358</v>
      </c>
      <c r="AI12">
        <v>1346.4991023339317</v>
      </c>
      <c r="AK12">
        <v>1924.3104554201411</v>
      </c>
      <c r="AM12">
        <v>608.58099198701689</v>
      </c>
      <c r="AN12">
        <v>1933.6126329358685</v>
      </c>
      <c r="AR12">
        <v>1485.8841010401188</v>
      </c>
      <c r="AW12">
        <v>839.74807557732674</v>
      </c>
      <c r="AX12">
        <v>1195.9338249950169</v>
      </c>
      <c r="AY12">
        <v>2022.9265003371545</v>
      </c>
      <c r="AZ12">
        <v>1675.0418760469011</v>
      </c>
      <c r="BA12">
        <v>2188.9821233126595</v>
      </c>
      <c r="BB12">
        <v>2158.273381</v>
      </c>
      <c r="BD12">
        <v>347.34282739999998</v>
      </c>
      <c r="BQ12">
        <v>2064.6937370956643</v>
      </c>
      <c r="BR12" s="42">
        <v>109.78956999085086</v>
      </c>
      <c r="BS12">
        <v>76.401976264452699</v>
      </c>
      <c r="BT12">
        <v>72.315294684825844</v>
      </c>
    </row>
    <row r="13" spans="1:75" x14ac:dyDescent="0.35">
      <c r="H13">
        <v>1690.1408450704225</v>
      </c>
      <c r="O13">
        <v>1798.0221756068322</v>
      </c>
      <c r="P13">
        <v>2188.9821233126595</v>
      </c>
      <c r="U13">
        <v>352.21602582917524</v>
      </c>
      <c r="AB13">
        <v>70.221431580918491</v>
      </c>
      <c r="AE13">
        <v>191.40587616039809</v>
      </c>
      <c r="AK13">
        <v>2291.8258212375858</v>
      </c>
      <c r="AM13">
        <v>1228.5012285012285</v>
      </c>
      <c r="AN13">
        <v>2449.9795835034706</v>
      </c>
      <c r="AR13">
        <v>2237.136465324385</v>
      </c>
      <c r="AW13">
        <v>1103.5497517013057</v>
      </c>
      <c r="AX13">
        <v>1401.2143858010274</v>
      </c>
      <c r="AZ13">
        <v>2126.1516654854713</v>
      </c>
      <c r="BB13">
        <v>1520.1418799999999</v>
      </c>
      <c r="BD13">
        <v>1921.844971</v>
      </c>
      <c r="BR13" s="42">
        <v>73.507791825933552</v>
      </c>
      <c r="BS13">
        <v>1859.8884066955984</v>
      </c>
      <c r="BT13">
        <v>1787.8426698450535</v>
      </c>
    </row>
    <row r="14" spans="1:75" x14ac:dyDescent="0.35">
      <c r="H14">
        <v>365.92059523083492</v>
      </c>
      <c r="O14">
        <v>2237.970906378217</v>
      </c>
      <c r="P14">
        <v>1455.6040756914119</v>
      </c>
      <c r="AB14">
        <v>1837.1096142069812</v>
      </c>
      <c r="AE14">
        <v>148.22500555843772</v>
      </c>
      <c r="AM14">
        <v>1838.7986515476555</v>
      </c>
      <c r="AN14">
        <v>2439.0243902439024</v>
      </c>
      <c r="AW14">
        <v>1391.1430558775794</v>
      </c>
      <c r="AX14">
        <v>1760.0469345849222</v>
      </c>
      <c r="BD14">
        <v>2344.6658849999999</v>
      </c>
      <c r="BR14" s="42">
        <v>1871.4909544603865</v>
      </c>
      <c r="BS14">
        <v>2307.6923076923076</v>
      </c>
      <c r="BT14">
        <v>2232.1428571428573</v>
      </c>
    </row>
    <row r="15" spans="1:75" x14ac:dyDescent="0.35">
      <c r="H15">
        <v>286.13667795316894</v>
      </c>
      <c r="AB15">
        <v>2296.211251435132</v>
      </c>
      <c r="AE15">
        <v>542.54453386382136</v>
      </c>
      <c r="AM15">
        <v>1846.1538461538462</v>
      </c>
      <c r="AN15">
        <v>2409.6385542168678</v>
      </c>
      <c r="AW15">
        <v>1649.2578339747115</v>
      </c>
      <c r="AX15">
        <v>2162.1621621621621</v>
      </c>
      <c r="BR15">
        <v>2274.4503411675514</v>
      </c>
    </row>
    <row r="16" spans="1:75" x14ac:dyDescent="0.35">
      <c r="H16">
        <v>510.55139550714773</v>
      </c>
      <c r="AM16">
        <v>1257.3344509639564</v>
      </c>
      <c r="AN16">
        <v>3031.8342597271348</v>
      </c>
      <c r="AW16">
        <v>2053.3880903490763</v>
      </c>
    </row>
    <row r="17" spans="2:75" x14ac:dyDescent="0.35">
      <c r="AM17">
        <v>939.84962406015029</v>
      </c>
      <c r="AN17">
        <v>3081.6640986132516</v>
      </c>
    </row>
    <row r="18" spans="2:75" x14ac:dyDescent="0.35">
      <c r="AM18">
        <v>920.38656235618964</v>
      </c>
      <c r="AN18">
        <v>3018.1086519114683</v>
      </c>
    </row>
    <row r="19" spans="2:75" x14ac:dyDescent="0.35">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W24"/>
  <sheetViews>
    <sheetView topLeftCell="BN3" zoomScale="130" zoomScaleNormal="130" workbookViewId="0">
      <selection activeCell="A19" sqref="A19:XFD19"/>
    </sheetView>
  </sheetViews>
  <sheetFormatPr defaultRowHeight="14.5" x14ac:dyDescent="0.35"/>
  <cols>
    <col min="1" max="1" width="8.6328125" style="11"/>
    <col min="6" max="6" width="8.6328125" style="11"/>
    <col min="30" max="30" width="35.453125" customWidth="1"/>
    <col min="35" max="35" width="11.90625" customWidth="1"/>
    <col min="36" max="36" width="11.36328125" customWidth="1"/>
    <col min="38" max="38" width="14.6328125" customWidth="1"/>
    <col min="40" max="40" width="32.54296875" customWidth="1"/>
    <col min="41" max="41" width="19.90625" customWidth="1"/>
    <col min="42" max="42" width="20.453125" customWidth="1"/>
    <col min="48" max="48" width="37.453125" customWidth="1"/>
  </cols>
  <sheetData>
    <row r="1" spans="1:75" x14ac:dyDescent="0.35">
      <c r="A1" s="60" t="s">
        <v>519</v>
      </c>
    </row>
    <row r="3" spans="1:75" ht="87" x14ac:dyDescent="0.35">
      <c r="A3" s="1" t="str">
        <f>'Formulation Name Data'!A64&amp;"_AgedConc_T1"</f>
        <v>Avio®F3 Green KHC_AgedConc_T1</v>
      </c>
      <c r="B3" s="1" t="str">
        <f>'Formulation Name Data'!A65&amp;"_AgedConc_T1"</f>
        <v>JetFoam 3%_AgedConc_T1</v>
      </c>
      <c r="C3" s="1" t="str">
        <f>'Formulation Name Data'!A67&amp;"_T1"</f>
        <v>FomtecEnviroUSP 3%_T1</v>
      </c>
      <c r="D3" s="1" t="str">
        <f>'Formulation Name Data'!A66&amp;"_T1"</f>
        <v>Solberg® Rehealing RF3 3%_T1</v>
      </c>
      <c r="E3" s="1" t="str">
        <f>'Formulation Name Data'!A109&amp;"_T1"</f>
        <v>G225_DGBE_0.3_0.5_T1</v>
      </c>
      <c r="F3" s="1" t="str">
        <f>'Formulation Name Data'!A98&amp;"_T1"</f>
        <v>ComSor1830503_T1</v>
      </c>
      <c r="G3" s="1" t="str">
        <f>'Formulation Name Data'!A99&amp;"_T1"</f>
        <v>ComSor_26990-95B_T1</v>
      </c>
      <c r="H3" s="1" t="str">
        <f>'Formulation Name Data'!A100&amp;"_T1"</f>
        <v>ComSor_26990-95C_T1</v>
      </c>
      <c r="I3" s="1" t="str">
        <f>'Formulation Name Data'!A101&amp;"_T1"</f>
        <v>ComSor_26990-95D_T1</v>
      </c>
      <c r="J3" s="1" t="str">
        <f>'Formulation Name Data'!A57&amp;"_T1"</f>
        <v>ComSor_EXP-20-C10628-A_T1</v>
      </c>
      <c r="K3" s="1" t="str">
        <f>'Formulation Name Data'!A58&amp;"_T1"</f>
        <v>ComSor_EXP-20-C10628-B_T1</v>
      </c>
      <c r="L3" s="1" t="str">
        <f>'Formulation Name Data'!A59&amp;"_T1"</f>
        <v>ComSor_EXP-20-C10628-C_T1</v>
      </c>
      <c r="M3" s="1" t="str">
        <f>'Formulation Name Data'!A60&amp;"_T1"</f>
        <v>ComSor_EXP-20-C10628-D_T1</v>
      </c>
      <c r="N3" s="1" t="str">
        <f>'Formulation Name Data'!A61&amp;"_T1"</f>
        <v>ComSor_EXP-20-C10628-E_T1</v>
      </c>
      <c r="O3" s="12" t="str">
        <f>'Formulation Name Data'!A140&amp;"_T1"</f>
        <v>ComSor_EXP-20-CH1024-A_T1</v>
      </c>
      <c r="P3" s="1" t="str">
        <f>'Formulation Name Data'!A141&amp;"_T1"</f>
        <v>ComSor_EXP-20-CH1024-B_T1</v>
      </c>
      <c r="Q3" s="1" t="str">
        <f>'Formulation Name Data'!A142&amp;"_T1"</f>
        <v>ComSor_EXP-20-CH1024-C_T1</v>
      </c>
      <c r="R3" s="1" t="str">
        <f>'Formulation Name Data'!A143&amp;"_T1"</f>
        <v>ComSor_EXP-20-CH1024-D_T1</v>
      </c>
      <c r="S3" s="1" t="str">
        <f>'Formulation Name Data'!A144&amp;"_T1"</f>
        <v>ComSor_EXP-20-CH1024-E_T1</v>
      </c>
      <c r="T3" s="1" t="str">
        <f>'Formulation Name Data'!A145&amp;"_T1"</f>
        <v>ComSor_EXP-20-CH1024-F_T1</v>
      </c>
      <c r="U3" s="1" t="str">
        <f>'Formulation Name Data'!A146&amp;"_T1"</f>
        <v>ComSor_EXP-20-CH1024-G_T1</v>
      </c>
      <c r="V3" s="1" t="str">
        <f>'Formulation Name Data'!A147&amp;"_T1"</f>
        <v>ComSor_EXP-20-CH1024-H_T1</v>
      </c>
      <c r="W3" s="1" t="str">
        <f>'Formulation Name Data'!A117&amp;"_T1"</f>
        <v>ComSor_EXP-21-CH1035-A_T1</v>
      </c>
      <c r="X3" s="1" t="str">
        <f>'Formulation Name Data'!A150&amp;"_T1"</f>
        <v>ComSor_EXP-21-CH1035-A-Saltwater_T1</v>
      </c>
      <c r="Y3" s="1" t="str">
        <f>'Formulation Name Data'!A110&amp;"_T1"</f>
        <v>ComSor_EXP-21-CH1035-B_T1</v>
      </c>
      <c r="Z3" s="1" t="str">
        <f>'Formulation Name Data'!A118&amp;"_T1"</f>
        <v>ComSor_EXP-21-CH1035-C_T1</v>
      </c>
      <c r="AA3" s="1" t="str">
        <f>'Formulation Name Data'!A148&amp;"_T1"</f>
        <v>ComSor_EXP-21-CM7837-5_T1</v>
      </c>
      <c r="AB3" s="1" t="str">
        <f>'Formulation Name Data'!A149&amp;"_T1"</f>
        <v>ComSor_EXP-21-CM7837-4_T1</v>
      </c>
      <c r="AC3" s="1" t="str">
        <f>'Formulation Name Data'!A151&amp;"_T1"</f>
        <v>ComSor_EXP-21-CH1042-1-Saltwater_T1</v>
      </c>
      <c r="AD3" s="1" t="str">
        <f>'Formulation Name Data'!A37&amp;"_T1"</f>
        <v>D502W_G225_DGBE_0.2_0.3_0.5_T1</v>
      </c>
      <c r="AE3" s="1" t="str">
        <f>'Formulation Name Data'!A8&amp;"_T1"</f>
        <v>Cap_G215_DGBE_0.3_0.2_0.5_T1</v>
      </c>
      <c r="AF3" t="str">
        <f>'Formulation Name Data'!A156&amp;"_T1"</f>
        <v>NRL_N10477-189_G225_DGBE_0.05_0.3_0.5_T1</v>
      </c>
      <c r="AG3" t="str">
        <f>'Formulation Name Data'!A155&amp;"_T1"</f>
        <v>NRL_N10478-198_G225_DGBE_0.065_0.3_0.5_T1</v>
      </c>
      <c r="AH3" t="str">
        <f>'Formulation Name Data'!A157&amp;"_T1"</f>
        <v>NRL_N10478-81_G225_DGBE_0.116_0.3_0.5_T1</v>
      </c>
      <c r="AI3" t="str">
        <f>'Formulation Name Data'!A138&amp;"_T1"</f>
        <v>CL_MD2086-97_G225_DGBE_0.34_0.56_0.5_T1</v>
      </c>
      <c r="AJ3" t="str">
        <f>'Formulation Name Data'!A154&amp;"_T1"</f>
        <v>CL_MD2012-16_G225_DGBE_0.52_0.78_0.5_T1</v>
      </c>
      <c r="AK3" t="str">
        <f>'Formulation Name Data'!A158&amp;"_T1"</f>
        <v>CL_MD2102-54_G225_DGBE_0.2_0.3_0.5_T1</v>
      </c>
      <c r="AL3" t="str">
        <f>'Formulation Name Data'!A159&amp;"_T1"</f>
        <v>CL_MD2062-148_G225_DGBE_0.043_0.3_0.5_T1</v>
      </c>
      <c r="AM3" t="str">
        <f>'Formulation Name Data'!A8&amp;"_T1"</f>
        <v>Cap_G215_DGBE_0.3_0.2_0.5_T1</v>
      </c>
      <c r="AN3" t="str">
        <f>'Formulation Name Data'!A37&amp;"_T2"</f>
        <v>D502W_G225_DGBE_0.2_0.3_0.5_T2</v>
      </c>
      <c r="AO3" t="str">
        <f>'Formulation Name Data'!A163&amp;"_T1"</f>
        <v>D502W_G225_SDS_DGBE_0.2_0.3_0.2_0.5_T1</v>
      </c>
      <c r="AP3" t="str">
        <f>'Formulation Name Data'!A164&amp;"_T1"</f>
        <v>D502W_G225_SDS_DGBE_0.2_0.3_0.02_0.5_T1</v>
      </c>
      <c r="AQ3" t="str">
        <f>'Formulation Name Data'!A165&amp;"_T1"</f>
        <v>NRL_N10478-40_G225_DGBE_0.2_0.3_0.5_T1</v>
      </c>
      <c r="AR3" t="str">
        <f>'Formulation Name Data'!A166&amp;"_T1"</f>
        <v>ComSor_EXP-22-CH1050_T1</v>
      </c>
      <c r="AS3" t="str">
        <f>'Formulation Name Data'!A166&amp;"_T2"</f>
        <v>ComSor_EXP-22-CH1050_T2</v>
      </c>
      <c r="AT3" t="str">
        <f>'Formulation Name Data'!A167&amp;"_T1"</f>
        <v>Ecoguard CF3F_T1</v>
      </c>
      <c r="AU3" t="str">
        <f>'Formulation Name Data'!A67&amp;"_T1"</f>
        <v>FomtecEnviroUSP 3%_T1</v>
      </c>
      <c r="AV3" t="str">
        <f>'Formulation Name Data'!A37&amp;"_T3"</f>
        <v>D502W_G225_DGBE_0.2_0.3_0.5_T3</v>
      </c>
      <c r="AW3" t="str">
        <f>'Formulation Name Data'!A10&amp;"_T1"</f>
        <v>Buckeye 3%_3_T1</v>
      </c>
      <c r="AX3" t="str">
        <f>'Formulation Name Data'!A169&amp;"_T1"</f>
        <v>Universal®F3 Green_3_T1</v>
      </c>
      <c r="AY3" t="str">
        <f>'Formulation Name Data'!A174&amp;"_T1"</f>
        <v>ComSor_EXP-20-CIO632-A3_T1</v>
      </c>
      <c r="AZ3" t="str">
        <f>'Formulation Name Data'!A175&amp;"_T1"</f>
        <v>ComSor_EXP-20-CIO632-B3_T1</v>
      </c>
      <c r="BA3" t="str">
        <f>'Formulation Name Data'!A176&amp;"_T1"</f>
        <v>ComSor_EXP-20-CIO632-C3_T1</v>
      </c>
      <c r="BB3" t="str">
        <f>'Formulation Name Data'!A178&amp;"_T1"</f>
        <v>CL_MD2062-121_G225_DGBE_0.1_0.3_0.5_T1</v>
      </c>
      <c r="BC3" t="str">
        <f>'Formulation Name Data'!A177&amp;"_T1"</f>
        <v>CL_MD2062-57_G225_DGBE_0.2_0.3_0.5_T1</v>
      </c>
      <c r="BD3" t="str">
        <f>'Formulation Name Data'!A179&amp;"_T1"</f>
        <v>CL_MD2062-124_G225_DGBE_0.065_0.3_0.5_T1</v>
      </c>
      <c r="BE3" t="str">
        <f>'Formulation Name Data'!A180&amp;"_T1"</f>
        <v>CL_MD2062-124_G225_DGBE_0.05_0.3_0.5_T1</v>
      </c>
      <c r="BF3" t="str">
        <f>'Formulation Name Data'!A39&amp;"_T1"</f>
        <v>NRL_N10358-176_G225_DGBE_0.2_0.3_0.5_T1</v>
      </c>
      <c r="BG3" t="str">
        <f>'Formulation Name Data'!A92&amp;"_T1"</f>
        <v>NRL_N10477-09_G225_DGBE_0.2_0.3_0.5_T1</v>
      </c>
      <c r="BH3" t="str">
        <f>'Formulation Name Data'!A37&amp;"_T4"</f>
        <v>D502W_G225_DGBE_0.2_0.3_0.5_T4</v>
      </c>
      <c r="BI3" t="str">
        <f>'Formulation Name Data'!A181&amp;"_T1"</f>
        <v>Collab_26990-95C_G225_5_0.3_T1</v>
      </c>
      <c r="BJ3" s="42" t="str">
        <f>'Formulation Name Data'!A37&amp;"_T5"</f>
        <v>D502W_G225_DGBE_0.2_0.3_0.5_T5</v>
      </c>
      <c r="BK3" t="str">
        <f>'Formulation Name Data'!A183&amp;"_T1"</f>
        <v>NRL_CB_DTBTS_SB_G225_DGBE_0.02_0.3_0.5_T1</v>
      </c>
      <c r="BL3" t="str">
        <f>'Formulation Name Data'!A184&amp;"_T1"</f>
        <v>NRL_CB-1-123_G225_DGBE_0.2_0.3_0.5_T1</v>
      </c>
      <c r="BM3" s="1" t="str">
        <f>'Formulation Name Data'!A185&amp;"_T1"</f>
        <v>NRL_N10478-227_G225_DGBE_0.063_0.3_0.5_T1</v>
      </c>
      <c r="BN3" s="1" t="str">
        <f>'Formulation Name Data'!A186&amp;"_T1"</f>
        <v>NRL_N10478-233_G225_DGBE_0.03_0.3_0.5_T1</v>
      </c>
      <c r="BO3" s="1" t="str">
        <f>'Formulation Name Data'!A187&amp;"_T1"</f>
        <v>NRL_N10478-240_G225_DGBE_#_0.3_0.5_T1</v>
      </c>
      <c r="BP3" s="1" t="str">
        <f>'Formulation Name Data'!A188&amp;"_T1"</f>
        <v>CL_MD2102-90_G225_DGBE_0.2_0.3_0.5_T1</v>
      </c>
      <c r="BQ3" s="1" t="str">
        <f>'Formulation Name Data'!A189&amp;"_T1"</f>
        <v>CL_MD2102-112_G225_DGBE_0.05_0.3_0.5_T1</v>
      </c>
      <c r="BR3" s="1" t="str">
        <f>'Formulation Name Data'!A191&amp;"_T1"</f>
        <v>ComSor_EXP-21-CH1070-1_3_T1</v>
      </c>
      <c r="BS3" s="1" t="str">
        <f>'Formulation Name Data'!A192&amp;"_T1"</f>
        <v>ComSor_EXP-21-CH1070-2_3_T1</v>
      </c>
      <c r="BT3" s="1" t="str">
        <f>'Formulation Name Data'!A193&amp;"_T1"</f>
        <v>ComSor_EXP-21-CH1070-4_1_T1</v>
      </c>
      <c r="BU3" s="1" t="str">
        <f>'Formulation Name Data'!A37&amp;"_T7"</f>
        <v>D502W_G225_DGBE_0.2_0.3_0.5_T7</v>
      </c>
      <c r="BV3" s="1" t="str">
        <f>'Formulation Name Data'!A190&amp;"_T1"</f>
        <v>CL_MD2102-118_G225_DGBE_0.2_0.3_0.5_T1</v>
      </c>
      <c r="BW3" s="1" t="str">
        <f>'Formulation Name Data'!A197&amp;"_T1"</f>
        <v>NRL_CB-1-192_G225_DGBE_0.14_0.21_0.5_T1</v>
      </c>
    </row>
    <row r="4" spans="1:75" s="15" customFormat="1" x14ac:dyDescent="0.35">
      <c r="A4" s="66">
        <v>10.028290236163624</v>
      </c>
      <c r="B4" s="15">
        <v>9.293680297397767</v>
      </c>
      <c r="C4" s="15">
        <v>6.7908246516882134</v>
      </c>
      <c r="D4" s="15">
        <v>4.7214353163361658</v>
      </c>
      <c r="E4" s="15">
        <v>7.0326965989839714</v>
      </c>
      <c r="F4" s="66">
        <v>9.0415913200723317</v>
      </c>
      <c r="G4" s="15">
        <v>8.5910652920962214</v>
      </c>
      <c r="H4" s="15">
        <v>8.4073747513112682</v>
      </c>
      <c r="I4" s="15">
        <v>7.5309574523587539</v>
      </c>
      <c r="J4" s="15">
        <v>9.4876660341556001</v>
      </c>
      <c r="K4" s="15">
        <v>7.7201861422658737</v>
      </c>
      <c r="L4" s="15">
        <v>7.9113924050632924</v>
      </c>
      <c r="M4" s="15">
        <v>7.8710533350494547</v>
      </c>
      <c r="N4" s="15">
        <v>8.2094618256657821</v>
      </c>
      <c r="O4" s="15">
        <v>8.013005724676205</v>
      </c>
      <c r="P4" s="15">
        <v>8.091970879379879</v>
      </c>
      <c r="Q4" s="15">
        <v>8.1701309623933653</v>
      </c>
      <c r="R4" s="15">
        <v>8.6062599060865921</v>
      </c>
      <c r="S4" s="15">
        <v>9.7080979284369118</v>
      </c>
      <c r="T4" s="15">
        <v>8.0451824696574299</v>
      </c>
      <c r="U4" s="15">
        <v>8.878757729556817</v>
      </c>
      <c r="V4" s="15">
        <v>8.5113842480717192</v>
      </c>
      <c r="W4" s="15">
        <v>9.8231827111984273</v>
      </c>
      <c r="X4" s="15">
        <v>10.75268817204301</v>
      </c>
      <c r="Y4" s="15">
        <v>5.4945054945054927</v>
      </c>
      <c r="Z4" s="15">
        <v>6.1500615006150072</v>
      </c>
      <c r="AA4" s="15">
        <v>7.0075783490262697</v>
      </c>
      <c r="AB4" s="15">
        <v>8.4756205902413573</v>
      </c>
      <c r="AC4" s="15">
        <v>12.990167961184699</v>
      </c>
      <c r="AD4" s="15">
        <v>8.8613010649285879</v>
      </c>
      <c r="AE4" s="15">
        <v>9.7373433583959912</v>
      </c>
      <c r="AF4" s="15">
        <v>9.4508978921989062</v>
      </c>
      <c r="AG4" s="15">
        <v>10.438413361169101</v>
      </c>
      <c r="AH4" s="15">
        <v>11.792452830188678</v>
      </c>
      <c r="AI4" s="15">
        <v>12.037616465025724</v>
      </c>
      <c r="AJ4" s="15">
        <v>9.9206349206349191</v>
      </c>
      <c r="AK4" s="15">
        <v>8.3892617449664435</v>
      </c>
      <c r="AL4" s="15">
        <v>10.426702774956816</v>
      </c>
      <c r="AM4" s="15">
        <v>10.142468880556512</v>
      </c>
      <c r="AN4" s="15">
        <v>7.9650473726203943</v>
      </c>
      <c r="AO4" s="15">
        <v>7.3586978619224945</v>
      </c>
      <c r="AP4" s="15">
        <v>7.8595383802312542</v>
      </c>
      <c r="AQ4" s="15">
        <v>11.682242990654203</v>
      </c>
      <c r="AR4" s="15">
        <v>7.0358095034813433</v>
      </c>
      <c r="AS4" s="15">
        <v>5.8139534883720909</v>
      </c>
      <c r="AT4" s="15">
        <v>7.2230016449115908</v>
      </c>
      <c r="AU4" s="15">
        <v>6.1795113833459645</v>
      </c>
      <c r="AV4" s="15">
        <v>9.4503807003807001</v>
      </c>
      <c r="AW4" s="15">
        <v>7.7537359900373595</v>
      </c>
      <c r="AX4" s="15">
        <v>4.4423360991947378</v>
      </c>
      <c r="AY4" s="15">
        <v>8.4250841798638376</v>
      </c>
      <c r="AZ4" s="15">
        <v>7.4762469910620322</v>
      </c>
      <c r="BA4" s="15">
        <v>7.794274883359253</v>
      </c>
      <c r="BB4" s="15">
        <v>10.03955</v>
      </c>
      <c r="BC4" s="15">
        <v>11.56108</v>
      </c>
      <c r="BD4" s="15">
        <v>8.291874</v>
      </c>
      <c r="BE4" s="15">
        <v>9.5785440000000008</v>
      </c>
      <c r="BF4" s="66">
        <v>8.9931830099632926</v>
      </c>
      <c r="BG4" s="15">
        <v>8.0563760000000002</v>
      </c>
      <c r="BH4" s="15">
        <v>8.1019690000000004</v>
      </c>
      <c r="BI4" s="15">
        <v>9.970288</v>
      </c>
      <c r="BJ4" s="15">
        <v>11.160714285714283</v>
      </c>
      <c r="BK4" s="15">
        <v>8.6655112651646462</v>
      </c>
      <c r="BL4" s="15">
        <v>10.869565217391305</v>
      </c>
      <c r="BM4" s="15">
        <v>20.080321285140556</v>
      </c>
      <c r="BN4" s="15">
        <v>11.337868480725625</v>
      </c>
      <c r="BO4" s="15">
        <v>9.5419847328244263</v>
      </c>
      <c r="BP4" s="15">
        <v>10.040160642570278</v>
      </c>
      <c r="BQ4" s="15">
        <v>10.460251046025101</v>
      </c>
      <c r="BR4" s="15">
        <v>6.7385444743935299</v>
      </c>
      <c r="BS4" s="15">
        <v>5.7937427578215521</v>
      </c>
      <c r="BT4" s="15">
        <v>6.8306010928961758</v>
      </c>
      <c r="BU4" s="15">
        <v>10.395010395010397</v>
      </c>
      <c r="BV4" s="15">
        <v>10.330578512396693</v>
      </c>
      <c r="BW4" s="15">
        <f>500/(251.3-199.3)</f>
        <v>9.615384615384615</v>
      </c>
    </row>
    <row r="5" spans="1:75" s="15" customFormat="1" x14ac:dyDescent="0.35">
      <c r="A5" s="66">
        <v>9.1575091575091587</v>
      </c>
      <c r="B5" s="15">
        <v>9.6711798839458378</v>
      </c>
      <c r="C5" s="15">
        <v>7.0380078636959365</v>
      </c>
      <c r="D5" s="15">
        <v>4.8262548262548268</v>
      </c>
      <c r="E5" s="15">
        <v>7.1288911652561344</v>
      </c>
      <c r="F5" s="66">
        <v>10.020040080160324</v>
      </c>
      <c r="G5" s="15">
        <v>8.8183421516754876</v>
      </c>
      <c r="H5" s="15">
        <v>8.700810158914619</v>
      </c>
      <c r="I5" s="15">
        <v>7.1800866764806539</v>
      </c>
      <c r="J5" s="15">
        <v>7.6452599388379232</v>
      </c>
      <c r="K5" s="15">
        <v>8.1115005683971226</v>
      </c>
      <c r="L5" s="15">
        <v>8.1967213114754092</v>
      </c>
      <c r="M5" s="15">
        <v>7.8710533350494547</v>
      </c>
      <c r="N5" s="15">
        <v>8.3718939364267655</v>
      </c>
      <c r="O5" s="15">
        <v>7.9429370318777393</v>
      </c>
      <c r="P5" s="15">
        <v>8.2380372028131497</v>
      </c>
      <c r="Q5" s="15">
        <v>7.8601207235509705</v>
      </c>
      <c r="R5" s="15">
        <v>8.7492345376607439</v>
      </c>
      <c r="S5" s="15">
        <v>9.068874111201005</v>
      </c>
      <c r="T5" s="15">
        <v>7.9306180976579199</v>
      </c>
      <c r="U5" s="15">
        <v>8.264666025528939</v>
      </c>
      <c r="V5" s="15">
        <v>7.0717552557746233</v>
      </c>
      <c r="W5" s="15">
        <v>9.6711798839458378</v>
      </c>
      <c r="X5" s="15">
        <v>10.1010101010101</v>
      </c>
      <c r="Y5" s="15">
        <v>4.2808219178082201</v>
      </c>
      <c r="Z5" s="15">
        <v>6.1652281134401976</v>
      </c>
      <c r="AA5" s="15">
        <v>6.3868880896560931</v>
      </c>
      <c r="AB5" s="15">
        <v>8.3344677469988966</v>
      </c>
      <c r="AC5" s="15">
        <v>12.903762903762903</v>
      </c>
      <c r="AD5" s="15">
        <v>9.0621866701070601</v>
      </c>
      <c r="AE5" s="15">
        <v>9.4380759358479391</v>
      </c>
      <c r="AF5" s="15">
        <v>9.2518602394047242</v>
      </c>
      <c r="AG5" s="15">
        <v>9.9206349206349191</v>
      </c>
      <c r="AH5" s="15">
        <v>12.468827930174566</v>
      </c>
      <c r="AI5" s="15">
        <v>12.690355329949236</v>
      </c>
      <c r="AJ5" s="15">
        <v>9.5785440613026793</v>
      </c>
      <c r="AK5" s="15">
        <v>8.7873462214411244</v>
      </c>
      <c r="AL5" s="15">
        <v>9.643425731672842</v>
      </c>
      <c r="AM5" s="15">
        <v>9.6652294086617019</v>
      </c>
      <c r="AN5" s="15">
        <v>7.860945035619805</v>
      </c>
      <c r="AO5" s="15">
        <v>7.2102588415344151</v>
      </c>
      <c r="AP5" s="15">
        <v>8.0885199250912798</v>
      </c>
      <c r="AQ5" s="15">
        <v>11.286681715575618</v>
      </c>
      <c r="AR5" s="15">
        <v>6.4850843060959793</v>
      </c>
      <c r="AS5" s="15">
        <v>6.7204301075268811</v>
      </c>
      <c r="AT5" s="15">
        <v>7.0981028712490444</v>
      </c>
      <c r="AU5" s="15">
        <v>6.1554810024132802</v>
      </c>
      <c r="AV5" s="15">
        <v>8.6882002320604244</v>
      </c>
      <c r="AW5" s="15">
        <v>7.8314761747522992</v>
      </c>
      <c r="AX5" s="15">
        <v>4.4183020787518981</v>
      </c>
      <c r="AY5" s="15">
        <v>7.9491456879991906</v>
      </c>
      <c r="AZ5" s="15">
        <v>7.5539732530010513</v>
      </c>
      <c r="BA5" s="15">
        <v>8.1141909500118459</v>
      </c>
      <c r="BB5" s="15">
        <v>8.7565670000000004</v>
      </c>
      <c r="BC5" s="15">
        <v>12.106540000000001</v>
      </c>
      <c r="BD5" s="15">
        <v>8.0775439999999996</v>
      </c>
      <c r="BE5" s="15">
        <v>10.162599999999999</v>
      </c>
      <c r="BG5" s="15">
        <v>3.8344450000000001</v>
      </c>
      <c r="BH5" s="15">
        <v>8.1075339999999994</v>
      </c>
      <c r="BI5" s="15">
        <v>9.8039590000000008</v>
      </c>
      <c r="BJ5" s="15">
        <v>10.162601626016256</v>
      </c>
      <c r="BK5" s="15">
        <v>8.4889643463497411</v>
      </c>
      <c r="BL5" s="15">
        <v>10</v>
      </c>
      <c r="BM5" s="15">
        <v>20.242914979757071</v>
      </c>
      <c r="BN5" s="15">
        <v>15.151515151515152</v>
      </c>
      <c r="BO5" s="15">
        <v>10.775862068965516</v>
      </c>
      <c r="BP5" s="15">
        <v>10.330578512396693</v>
      </c>
      <c r="BQ5" s="15">
        <v>9.9800399201596814</v>
      </c>
      <c r="BR5" s="15">
        <v>6.435006435006434</v>
      </c>
      <c r="BS5" s="15">
        <v>6.1274509803921555</v>
      </c>
      <c r="BT5" s="15">
        <v>6.9637883008356534</v>
      </c>
      <c r="BU5" s="15">
        <v>9.7465886939571131</v>
      </c>
      <c r="BV5" s="15">
        <v>10.351966873706001</v>
      </c>
      <c r="BW5" s="15">
        <f>500/(253-199.3)</f>
        <v>9.3109869646182517</v>
      </c>
    </row>
    <row r="6" spans="1:75" s="15" customFormat="1" x14ac:dyDescent="0.35">
      <c r="A6" s="66">
        <v>8.6058519793459567</v>
      </c>
      <c r="B6" s="15">
        <v>8.7108013937282216</v>
      </c>
      <c r="C6" s="15">
        <v>6.3613231552162857</v>
      </c>
      <c r="D6" s="15">
        <v>4.4208664898320071</v>
      </c>
      <c r="E6" s="15">
        <v>6.8682485022878446</v>
      </c>
      <c r="F6" s="66">
        <v>8.5034013605442169</v>
      </c>
      <c r="G6" s="15">
        <v>8.4317032040472153</v>
      </c>
      <c r="H6" s="15">
        <v>8.5986112096907696</v>
      </c>
      <c r="I6" s="15">
        <v>7.3049176129087314</v>
      </c>
      <c r="J6" s="15">
        <v>9.2764378478664238</v>
      </c>
      <c r="K6" s="15">
        <v>9.4699684633027523</v>
      </c>
      <c r="L6" s="15">
        <v>8.5034013605442169</v>
      </c>
      <c r="M6" s="15">
        <v>7.4820475627663807</v>
      </c>
      <c r="N6" s="15">
        <v>8.3472686733556287</v>
      </c>
      <c r="O6" s="15">
        <v>7.6982339694204081</v>
      </c>
      <c r="P6" s="15">
        <v>7.6756142847717719</v>
      </c>
      <c r="Q6" s="15">
        <v>7.4946779365663936</v>
      </c>
      <c r="R6" s="15">
        <v>8.3752328791721862</v>
      </c>
      <c r="S6" s="15">
        <v>8.5779445302729336</v>
      </c>
      <c r="T6" s="15">
        <v>7.7524038461538431</v>
      </c>
      <c r="U6" s="15">
        <v>9.3137916826801543</v>
      </c>
      <c r="V6" s="15">
        <v>8.0591951455201034</v>
      </c>
      <c r="W6" s="15">
        <v>9.7656249999999964</v>
      </c>
      <c r="X6" s="15">
        <v>9.9601593625497973</v>
      </c>
      <c r="Y6" s="15">
        <v>4.8402710551790911</v>
      </c>
      <c r="AA6" s="15">
        <v>6.2409480946225839</v>
      </c>
      <c r="AB6" s="15">
        <v>7.8256652427793227</v>
      </c>
      <c r="AC6" s="15">
        <v>12.546775258639663</v>
      </c>
      <c r="AD6" s="15">
        <v>8.6453074433656951</v>
      </c>
      <c r="AE6" s="15">
        <v>9.4161958568738289</v>
      </c>
      <c r="AF6" s="15">
        <v>9.7187237316388604</v>
      </c>
      <c r="AG6" s="15">
        <v>9.1407678244972548</v>
      </c>
      <c r="AI6" s="15">
        <v>12.077294685990337</v>
      </c>
      <c r="AJ6" s="15">
        <v>9.9601593625497973</v>
      </c>
      <c r="AK6" s="15">
        <v>8.4317032040472206</v>
      </c>
      <c r="AL6" s="15">
        <v>9.2081343607553698</v>
      </c>
      <c r="AM6" s="15">
        <v>10.885156059112884</v>
      </c>
      <c r="AN6" s="15">
        <v>8.8020721477056032</v>
      </c>
      <c r="AO6" s="15">
        <v>6.8127984079956629</v>
      </c>
      <c r="AP6" s="15">
        <v>7.9736406054629878</v>
      </c>
      <c r="AQ6" s="15">
        <v>11.5473441108545</v>
      </c>
      <c r="AR6" s="15">
        <v>6.5445026178010464</v>
      </c>
      <c r="AS6" s="15">
        <v>6.5445026178010464</v>
      </c>
      <c r="AT6" s="15">
        <v>7.86605908732888</v>
      </c>
      <c r="AU6" s="15">
        <v>6.2311812075365083</v>
      </c>
      <c r="AV6" s="15">
        <v>8.9160471577682685</v>
      </c>
      <c r="AW6" s="15">
        <v>8.7548934844924808</v>
      </c>
      <c r="AX6" s="15">
        <v>3.7883136374116946</v>
      </c>
      <c r="AY6" s="15">
        <v>7.9121055214478169</v>
      </c>
      <c r="AZ6" s="15">
        <v>7.0721923796376887</v>
      </c>
      <c r="BA6" s="15">
        <v>9.2421441774491733</v>
      </c>
      <c r="BB6" s="15">
        <v>9.2081029999999995</v>
      </c>
      <c r="BC6" s="15">
        <v>11.876480000000001</v>
      </c>
      <c r="BD6" s="15">
        <v>8.5616439999999994</v>
      </c>
      <c r="BE6" s="15">
        <v>10.08065</v>
      </c>
      <c r="BH6" s="15">
        <v>8.1213709999999999</v>
      </c>
      <c r="BI6" s="15">
        <v>8.5151339999999998</v>
      </c>
      <c r="BJ6" s="15">
        <v>10.330578512396693</v>
      </c>
      <c r="BK6" s="15">
        <v>8.4459459459459474</v>
      </c>
      <c r="BM6" s="15">
        <v>9.9206349206349191</v>
      </c>
      <c r="BN6" s="15">
        <v>19.3050193050193</v>
      </c>
      <c r="BO6" s="15">
        <v>10.351966873706001</v>
      </c>
      <c r="BP6" s="15">
        <v>9.9206349206349191</v>
      </c>
      <c r="BQ6" s="15">
        <v>8.8809946714031955</v>
      </c>
      <c r="BR6" s="15">
        <v>6.6401062416998684</v>
      </c>
      <c r="BS6" s="15">
        <v>6.4683053040103484</v>
      </c>
      <c r="BT6" s="15">
        <v>6.8027210884353737</v>
      </c>
      <c r="BU6" s="15">
        <v>9.6899224806201563</v>
      </c>
      <c r="BV6" s="15">
        <v>10.060362173038225</v>
      </c>
      <c r="BW6" s="15">
        <f>500/(252.5-199.3)</f>
        <v>9.3984962406015065</v>
      </c>
    </row>
    <row r="7" spans="1:75" s="15" customFormat="1" x14ac:dyDescent="0.35">
      <c r="A7" s="66">
        <v>8.7260034904013981</v>
      </c>
      <c r="B7" s="15">
        <v>9.1911764705882337</v>
      </c>
      <c r="C7" s="15">
        <v>6.9735006973500679</v>
      </c>
      <c r="D7" s="15">
        <v>4.1017227235438884</v>
      </c>
      <c r="E7" s="15">
        <v>7.0727382591554315</v>
      </c>
      <c r="F7" s="66">
        <v>9.4876660341556001</v>
      </c>
      <c r="G7" s="15">
        <v>8.4033613445378155</v>
      </c>
      <c r="H7" s="15">
        <v>8.5185056190210844</v>
      </c>
      <c r="I7" s="15">
        <v>7.9834605597964341</v>
      </c>
      <c r="J7" s="15">
        <v>9.6339113680154185</v>
      </c>
      <c r="K7" s="15">
        <v>11.006974716652138</v>
      </c>
      <c r="L7" s="15">
        <v>9.615384615384615</v>
      </c>
      <c r="M7" s="15">
        <v>8.9897696580543265</v>
      </c>
      <c r="N7" s="15">
        <v>8.4378287696550949</v>
      </c>
      <c r="O7" s="15">
        <v>7.5753405175775415</v>
      </c>
      <c r="P7" s="15">
        <v>7.4263098512093668</v>
      </c>
      <c r="Q7" s="15">
        <v>7.8710533350494547</v>
      </c>
      <c r="R7" s="15">
        <v>7.9152764836133755</v>
      </c>
      <c r="S7" s="15">
        <v>8.896825321441348</v>
      </c>
      <c r="T7" s="15">
        <v>8.0160886104847862</v>
      </c>
      <c r="U7" s="15">
        <v>9.7495894909687983</v>
      </c>
      <c r="V7" s="15">
        <v>7.5302741972432843</v>
      </c>
      <c r="W7" s="15">
        <v>9.6711798839458378</v>
      </c>
      <c r="X7" s="15">
        <v>10.615711252653922</v>
      </c>
      <c r="AA7" s="15">
        <v>7.0530841575195424</v>
      </c>
      <c r="AB7" s="15">
        <v>7.5769385958476967</v>
      </c>
      <c r="AC7" s="15">
        <v>12.827343950427245</v>
      </c>
      <c r="AD7" s="15">
        <v>8.7482750540266121</v>
      </c>
      <c r="AE7" s="15">
        <v>8.7784776199410359</v>
      </c>
      <c r="AF7" s="15">
        <v>9.6525096525096501</v>
      </c>
      <c r="AG7" s="15">
        <v>9.0090090090090094</v>
      </c>
      <c r="AI7" s="15">
        <v>12.01923076923077</v>
      </c>
      <c r="AJ7" s="15">
        <v>10.526315789473685</v>
      </c>
      <c r="AK7" s="15">
        <v>8.0256821829855554</v>
      </c>
      <c r="AM7" s="15">
        <v>10.9730629004283</v>
      </c>
      <c r="AN7" s="15">
        <v>8.6085271148116433</v>
      </c>
      <c r="AP7" s="15">
        <v>7.975829740502725</v>
      </c>
      <c r="AQ7" s="15">
        <v>11.235955056179776</v>
      </c>
      <c r="AR7" s="15">
        <v>6.6577896138482027</v>
      </c>
      <c r="AT7" s="15">
        <v>8.0306446744885598</v>
      </c>
      <c r="AU7" s="15">
        <v>6.5839316260350476</v>
      </c>
      <c r="AV7" s="15">
        <v>8.5759008433427049</v>
      </c>
      <c r="AW7" s="15">
        <v>9.3899262701092141</v>
      </c>
      <c r="AX7" s="15">
        <v>2.935427152262355</v>
      </c>
      <c r="AY7" s="15">
        <v>8.1900136835609487</v>
      </c>
      <c r="AZ7" s="15">
        <v>7.1271929824561422</v>
      </c>
      <c r="BA7" s="15">
        <v>9.515169951256258</v>
      </c>
      <c r="BB7" s="15">
        <v>9.0094770000000004</v>
      </c>
      <c r="BC7" s="15">
        <v>11.373559999999999</v>
      </c>
      <c r="BD7" s="15">
        <v>9.0415910000000004</v>
      </c>
      <c r="BE7" s="15">
        <v>8.8809950000000004</v>
      </c>
      <c r="BH7" s="15">
        <v>7.9048930000000004</v>
      </c>
      <c r="BI7" s="15">
        <v>8.7419270000000004</v>
      </c>
      <c r="BJ7" s="15">
        <v>9.7656249999999964</v>
      </c>
      <c r="BK7" s="15">
        <v>8.1967213114754092</v>
      </c>
      <c r="BN7" s="15">
        <v>21.551724137931018</v>
      </c>
      <c r="BO7" s="15">
        <v>10.548523206751053</v>
      </c>
      <c r="BQ7" s="15">
        <v>9.3632958801498116</v>
      </c>
      <c r="BR7" s="15">
        <v>6.2421972534332086</v>
      </c>
      <c r="BS7" s="15">
        <v>5.9382422802850368</v>
      </c>
      <c r="BT7" s="15">
        <v>6.6137566137566122</v>
      </c>
      <c r="BU7" s="15">
        <v>8.9445438282647576</v>
      </c>
      <c r="BV7" s="15">
        <v>10.162601626016256</v>
      </c>
    </row>
    <row r="8" spans="1:75" s="15" customFormat="1" x14ac:dyDescent="0.35">
      <c r="A8" s="66">
        <v>8.8967971530249077</v>
      </c>
      <c r="B8" s="15">
        <v>8.6505190311418705</v>
      </c>
      <c r="C8" s="15">
        <v>6.1124694376528126</v>
      </c>
      <c r="D8" s="15">
        <v>3.9999999999999991</v>
      </c>
      <c r="E8" s="15">
        <v>6.6290274966261826</v>
      </c>
      <c r="F8" s="66">
        <v>9.7087378640776691</v>
      </c>
      <c r="G8" s="15">
        <v>8.6505190311418669</v>
      </c>
      <c r="H8" s="15">
        <v>9.4637958327065874</v>
      </c>
      <c r="I8" s="15">
        <v>7.7059897744246619</v>
      </c>
      <c r="J8" s="15">
        <v>9.5057034220532373</v>
      </c>
      <c r="K8" s="15">
        <v>10.163692195935354</v>
      </c>
      <c r="L8" s="15">
        <v>10.245901639344259</v>
      </c>
      <c r="M8" s="15">
        <v>7.812519073532898</v>
      </c>
      <c r="N8" s="15">
        <v>8.4800574919151988</v>
      </c>
      <c r="O8" s="15">
        <v>7.2728234422934523</v>
      </c>
      <c r="P8" s="15">
        <v>8.5763545638563308</v>
      </c>
      <c r="Q8" s="15">
        <v>10.22612372460704</v>
      </c>
      <c r="R8" s="15">
        <v>8.0435917447551901</v>
      </c>
      <c r="S8" s="15">
        <v>8.7269603677202969</v>
      </c>
      <c r="T8" s="15">
        <v>9.3727950236426096</v>
      </c>
      <c r="U8" s="15">
        <v>10.35201124789959</v>
      </c>
      <c r="V8" s="15">
        <v>7.4139161952880412</v>
      </c>
      <c r="W8" s="15">
        <v>9.9601593625497973</v>
      </c>
      <c r="X8" s="15">
        <v>10.570824524312894</v>
      </c>
      <c r="AA8" s="15">
        <v>7.4589507408890654</v>
      </c>
      <c r="AB8" s="15">
        <v>7.1179126721089032</v>
      </c>
      <c r="AC8" s="15">
        <v>13.065015057983448</v>
      </c>
      <c r="AD8" s="15">
        <v>7.9491255961844223</v>
      </c>
      <c r="AE8" s="15">
        <v>8.5763293310463098</v>
      </c>
      <c r="AF8" s="15">
        <v>10.162601626016263</v>
      </c>
      <c r="AG8" s="15">
        <v>8.5616438356164384</v>
      </c>
      <c r="AI8" s="15">
        <v>10.917030567685586</v>
      </c>
      <c r="AJ8" s="15">
        <v>9.8619329388560129</v>
      </c>
      <c r="AK8" s="15">
        <v>7.7519379844961209</v>
      </c>
      <c r="AM8" s="15">
        <v>12.72051559972803</v>
      </c>
      <c r="AN8" s="15">
        <v>8.7446253740093649</v>
      </c>
      <c r="AP8" s="15">
        <v>7.8376837801713961</v>
      </c>
      <c r="AQ8" s="15">
        <v>13.262599469496015</v>
      </c>
      <c r="AR8" s="15">
        <v>6.7658998646820026</v>
      </c>
      <c r="AT8" s="15">
        <v>8.9171115185364229</v>
      </c>
      <c r="AU8" s="15">
        <v>7.0288176525632187</v>
      </c>
      <c r="AV8" s="15">
        <v>8.3892617449664471</v>
      </c>
      <c r="AW8" s="15">
        <v>10.947812150474434</v>
      </c>
      <c r="AX8" s="15">
        <v>3.2783052286494829</v>
      </c>
      <c r="AY8" s="15">
        <v>8.306770984255774</v>
      </c>
      <c r="AZ8" s="15">
        <v>7.3121921182266032</v>
      </c>
      <c r="BA8" s="15">
        <v>7.6554160750851654</v>
      </c>
      <c r="BB8" s="15">
        <v>8.9634520000000002</v>
      </c>
      <c r="BC8" s="15">
        <v>12.07906</v>
      </c>
      <c r="BD8" s="15">
        <v>11.337870000000001</v>
      </c>
      <c r="BE8" s="15">
        <v>9.469697</v>
      </c>
      <c r="BH8" s="15">
        <v>7.8369910000000003</v>
      </c>
      <c r="BI8" s="15">
        <v>8.7448370000000004</v>
      </c>
      <c r="BJ8" s="15">
        <v>9.0252707581227423</v>
      </c>
      <c r="BK8" s="15">
        <v>8.0256821829855518</v>
      </c>
      <c r="BO8" s="15">
        <v>10.141987829614601</v>
      </c>
      <c r="BQ8" s="15">
        <v>9.9800399201596814</v>
      </c>
      <c r="BR8" s="15">
        <v>5.9101654846335698</v>
      </c>
      <c r="BS8" s="15">
        <v>6.2034739454094279</v>
      </c>
      <c r="BT8" s="15">
        <v>6.7658998646819999</v>
      </c>
      <c r="BU8" s="15">
        <v>8.9445438282647576</v>
      </c>
      <c r="BV8" s="15">
        <v>10.416666666666666</v>
      </c>
    </row>
    <row r="9" spans="1:75" s="15" customFormat="1" x14ac:dyDescent="0.35">
      <c r="A9" s="66">
        <v>8.5763293310463151</v>
      </c>
      <c r="B9" s="15">
        <v>8.5763293310463151</v>
      </c>
      <c r="C9" s="15">
        <v>7.0028011204481784</v>
      </c>
      <c r="D9" s="15">
        <v>4.6904315196998123</v>
      </c>
      <c r="E9" s="15">
        <v>6.2972292191435786</v>
      </c>
      <c r="F9" s="67">
        <v>9.5785440613026847</v>
      </c>
      <c r="G9" s="15">
        <v>8.4175084175084205</v>
      </c>
      <c r="H9" s="15">
        <v>10.060728744939269</v>
      </c>
      <c r="I9" s="15">
        <v>7.5990650147361798</v>
      </c>
      <c r="J9" s="15">
        <v>9.3808630393996228</v>
      </c>
      <c r="K9" s="15">
        <v>9.0827195691771632</v>
      </c>
      <c r="L9" s="15">
        <v>9.2421441774491733</v>
      </c>
      <c r="M9" s="15">
        <v>7.624094929279547</v>
      </c>
      <c r="N9" s="15">
        <v>8.8798330875029947</v>
      </c>
      <c r="O9" s="15">
        <v>7.3911808408355899</v>
      </c>
      <c r="P9" s="15">
        <v>7.7481318260203125</v>
      </c>
      <c r="Q9" s="15">
        <v>10.471984156194679</v>
      </c>
      <c r="R9" s="15">
        <v>8.1806020066889626</v>
      </c>
      <c r="S9" s="15">
        <v>9.1006565710049756</v>
      </c>
      <c r="T9" s="15">
        <v>8.1508742094914144</v>
      </c>
      <c r="U9" s="15">
        <v>11.49449585405425</v>
      </c>
      <c r="V9" s="15">
        <v>8.2337435997358721</v>
      </c>
      <c r="W9" s="15">
        <v>10.121457489878541</v>
      </c>
      <c r="X9" s="15">
        <v>11.520737327188938</v>
      </c>
      <c r="AA9" s="15">
        <v>7.4781189568638844</v>
      </c>
      <c r="AB9" s="15">
        <v>7.5002678667095264</v>
      </c>
      <c r="AC9" s="15">
        <v>14.338419569272229</v>
      </c>
      <c r="AD9" s="15">
        <v>8.1787368059206571</v>
      </c>
      <c r="AE9" s="15">
        <v>9.2440099457504523</v>
      </c>
      <c r="AF9" s="15">
        <v>10.245901639344259</v>
      </c>
      <c r="AG9" s="15">
        <v>8.9445438282647576</v>
      </c>
      <c r="AI9" s="15">
        <v>10.706638115631687</v>
      </c>
      <c r="AJ9" s="15">
        <v>8.9126559714795022</v>
      </c>
      <c r="AK9" s="15">
        <v>7.9617834394904481</v>
      </c>
      <c r="AM9" s="15">
        <v>13.192530407033669</v>
      </c>
      <c r="AN9" s="15">
        <v>8.5073295986438495</v>
      </c>
      <c r="AP9" s="15">
        <v>7.5996442719702468</v>
      </c>
      <c r="AQ9" s="15">
        <v>11.709601873536295</v>
      </c>
      <c r="AR9" s="15">
        <v>6.9252077562326857</v>
      </c>
      <c r="AT9" s="15">
        <v>9.4089062285118423</v>
      </c>
      <c r="AU9" s="15">
        <v>7.1272932185029187</v>
      </c>
      <c r="AV9" s="15">
        <v>8.512840441369649</v>
      </c>
      <c r="AW9" s="15">
        <v>10.372153384235716</v>
      </c>
      <c r="AX9" s="15">
        <v>3.3967342967277565</v>
      </c>
      <c r="AY9" s="15">
        <v>8.6511664107238531</v>
      </c>
      <c r="AZ9" s="15">
        <v>7.2942252278116264</v>
      </c>
      <c r="BA9" s="15">
        <v>7.7010818271068615</v>
      </c>
      <c r="BB9" s="15">
        <v>9.9601590000000009</v>
      </c>
      <c r="BC9" s="15">
        <v>11.764709999999999</v>
      </c>
      <c r="BD9" s="15">
        <v>10.245900000000001</v>
      </c>
      <c r="BE9" s="15">
        <v>10.060359999999999</v>
      </c>
      <c r="BH9" s="15">
        <v>8.5066939999999995</v>
      </c>
      <c r="BI9" s="15">
        <v>8.4532720000000001</v>
      </c>
      <c r="BJ9" s="15">
        <v>8.9445438282647576</v>
      </c>
      <c r="BK9" s="15">
        <v>8</v>
      </c>
      <c r="BO9" s="15">
        <v>12.048192771084338</v>
      </c>
      <c r="BQ9" s="15">
        <v>9.5419847328244263</v>
      </c>
      <c r="BR9" s="15">
        <v>6.5530799475753616</v>
      </c>
      <c r="BS9" s="15">
        <v>6.4850843060959775</v>
      </c>
      <c r="BT9" s="15">
        <v>7.2463768115942031</v>
      </c>
      <c r="BU9" s="15">
        <v>10.438413361169101</v>
      </c>
      <c r="BV9" s="15">
        <v>10.660980810234541</v>
      </c>
    </row>
    <row r="10" spans="1:75" s="15" customFormat="1" x14ac:dyDescent="0.35">
      <c r="A10" s="66">
        <v>9.8039215686274517</v>
      </c>
      <c r="C10" s="15">
        <v>6.2578222778473087</v>
      </c>
      <c r="D10" s="15">
        <v>5.1446520958716073</v>
      </c>
      <c r="E10" s="15">
        <v>6.8600013927026176</v>
      </c>
      <c r="F10" s="66">
        <v>10.080645161290329</v>
      </c>
      <c r="G10" s="15">
        <v>8.6206896551724146</v>
      </c>
      <c r="H10" s="15">
        <v>10.559768064228368</v>
      </c>
      <c r="J10" s="15">
        <v>9.293680297397767</v>
      </c>
      <c r="K10" s="15">
        <v>8.148855974942931</v>
      </c>
      <c r="L10" s="15">
        <v>7.2568940493468821</v>
      </c>
      <c r="M10" s="15">
        <v>7.5747497637549674</v>
      </c>
      <c r="N10" s="15">
        <v>8.4178901422821824</v>
      </c>
      <c r="O10" s="15">
        <v>7.4460535361823865</v>
      </c>
      <c r="P10" s="15">
        <v>8.9126559714795057</v>
      </c>
      <c r="Q10" s="15">
        <v>8.9603722124177736</v>
      </c>
      <c r="R10" s="15">
        <v>8.6464592114309582</v>
      </c>
      <c r="S10" s="15">
        <v>9.574857980575409</v>
      </c>
      <c r="T10" s="15">
        <v>8.6432037674507569</v>
      </c>
      <c r="U10" s="15">
        <v>10.639068470328317</v>
      </c>
      <c r="V10" s="15">
        <v>8.2855042085971711</v>
      </c>
      <c r="W10" s="15">
        <v>10.020040080160319</v>
      </c>
      <c r="X10" s="15">
        <v>10.964912280701748</v>
      </c>
      <c r="AA10" s="15">
        <v>8.269472452074945</v>
      </c>
      <c r="AB10" s="15">
        <v>8.0662717109048216</v>
      </c>
      <c r="AC10" s="15">
        <v>14.928698752228165</v>
      </c>
      <c r="AD10" s="15">
        <v>8.2024769248744036</v>
      </c>
      <c r="AE10" s="15">
        <v>9.2116440817164573</v>
      </c>
      <c r="AF10" s="15">
        <v>9.5602294455066907</v>
      </c>
      <c r="AG10" s="15">
        <v>9.293680297397767</v>
      </c>
      <c r="AI10" s="15">
        <v>10.526315789473685</v>
      </c>
      <c r="AJ10" s="15">
        <v>8.3612040133779288</v>
      </c>
      <c r="AK10" s="15">
        <v>8.5470085470085433</v>
      </c>
      <c r="AM10" s="15">
        <v>8.3076010256871484</v>
      </c>
      <c r="AN10" s="15">
        <v>8.6785549991278508</v>
      </c>
      <c r="AP10" s="15">
        <v>7.7850478613837399</v>
      </c>
      <c r="AR10" s="15">
        <v>7.5187969924811995</v>
      </c>
      <c r="AT10" s="15">
        <v>9.5605641644498753</v>
      </c>
      <c r="AU10" s="15">
        <v>7.1500660357783747</v>
      </c>
      <c r="AV10" s="15">
        <v>8.7987275238808778</v>
      </c>
      <c r="AW10" s="15">
        <v>7.764515720043649</v>
      </c>
      <c r="AX10" s="15">
        <v>4.6767508101415567</v>
      </c>
      <c r="AY10" s="15">
        <v>9.0754863044158594</v>
      </c>
      <c r="AZ10" s="15">
        <v>7.7048187764890237</v>
      </c>
      <c r="BA10" s="15">
        <v>8.2481096665397367</v>
      </c>
      <c r="BB10" s="15">
        <v>9.6711799999999997</v>
      </c>
      <c r="BD10" s="15">
        <v>10.683759999999999</v>
      </c>
      <c r="BE10" s="15">
        <v>10.14199</v>
      </c>
      <c r="BH10" s="15">
        <v>8.2373460000000005</v>
      </c>
      <c r="BI10" s="15">
        <v>9.2304019999999998</v>
      </c>
      <c r="BJ10" s="15">
        <v>8.8339222614840995</v>
      </c>
      <c r="BK10" s="15">
        <v>9.0744101633393797</v>
      </c>
      <c r="BO10" s="15">
        <v>12.165450121654503</v>
      </c>
      <c r="BQ10" s="15">
        <v>9.8231827111984273</v>
      </c>
      <c r="BR10" s="15">
        <v>7.0126227208976175</v>
      </c>
      <c r="BS10" s="15">
        <v>7.2992700729927007</v>
      </c>
      <c r="BT10" s="15">
        <v>8.3194675540765353</v>
      </c>
      <c r="BU10" s="15">
        <v>10.548523206751053</v>
      </c>
      <c r="BV10" s="15">
        <v>11.037527593818982</v>
      </c>
    </row>
    <row r="11" spans="1:75" s="15" customFormat="1" x14ac:dyDescent="0.35">
      <c r="A11" s="66">
        <v>9.6339113680154131</v>
      </c>
      <c r="C11" s="15">
        <v>6.6401062416998684</v>
      </c>
      <c r="D11" s="15">
        <v>5.1020408163265287</v>
      </c>
      <c r="E11" s="15">
        <v>6.1698791145214837</v>
      </c>
      <c r="F11" s="66"/>
      <c r="G11" s="15">
        <v>8.4175084175084205</v>
      </c>
      <c r="H11" s="15">
        <v>11.205641720624403</v>
      </c>
      <c r="K11" s="15">
        <v>8.1459369817578775</v>
      </c>
      <c r="L11" s="15">
        <v>8.1168831168831215</v>
      </c>
      <c r="M11" s="15">
        <v>7.6777824024757049</v>
      </c>
      <c r="O11" s="15">
        <v>7.8066343594293892</v>
      </c>
      <c r="P11" s="15">
        <v>8.1816049803854707</v>
      </c>
      <c r="Q11" s="15">
        <v>8.324653162537123</v>
      </c>
      <c r="R11" s="15">
        <v>8.8599052013686155</v>
      </c>
      <c r="S11" s="15">
        <v>9.0362427481911194</v>
      </c>
      <c r="T11" s="15">
        <v>8.9126559714795022</v>
      </c>
      <c r="U11" s="15">
        <v>10.29654036243822</v>
      </c>
      <c r="V11" s="15">
        <v>8.6655112651646427</v>
      </c>
      <c r="W11" s="15">
        <v>10.309278350515465</v>
      </c>
      <c r="X11" s="15">
        <v>11.286681715575618</v>
      </c>
      <c r="AA11" s="15">
        <v>7.5608640987541431</v>
      </c>
      <c r="AB11" s="15">
        <v>8.3350669163026154</v>
      </c>
      <c r="AE11" s="15">
        <v>10.406197346681719</v>
      </c>
      <c r="AF11" s="15">
        <v>10.869565217391305</v>
      </c>
      <c r="AG11" s="15">
        <v>9.7465886939571131</v>
      </c>
      <c r="AI11" s="15">
        <v>10.593220338983047</v>
      </c>
      <c r="AK11" s="15">
        <v>8.156606851549757</v>
      </c>
      <c r="AM11" s="15">
        <v>7.922947023944749</v>
      </c>
      <c r="AN11" s="15">
        <v>8.8248669486989861</v>
      </c>
      <c r="AR11" s="15">
        <v>7.299270072992698</v>
      </c>
      <c r="AT11" s="15">
        <v>9.6399620767210195</v>
      </c>
      <c r="AV11" s="15">
        <v>8.5396333057623384</v>
      </c>
      <c r="AW11" s="15">
        <v>7.572293594545334</v>
      </c>
      <c r="AX11" s="15">
        <v>4.6653178852862016</v>
      </c>
      <c r="AY11" s="15">
        <v>9.2341766760371442</v>
      </c>
      <c r="AZ11" s="15">
        <v>8.0016592240567039</v>
      </c>
      <c r="BA11" s="15">
        <v>8.4626597667112513</v>
      </c>
      <c r="BB11" s="15">
        <v>9.4161959999999993</v>
      </c>
      <c r="BD11" s="15">
        <v>10.48218</v>
      </c>
      <c r="BE11" s="15">
        <v>10.121460000000001</v>
      </c>
      <c r="BH11" s="15">
        <v>8.9050750000000001</v>
      </c>
      <c r="BJ11" s="15">
        <v>8.9445438282647576</v>
      </c>
      <c r="BK11" s="15">
        <v>8.9126559714794968</v>
      </c>
      <c r="BO11" s="15">
        <v>12.224938875305622</v>
      </c>
      <c r="BQ11" s="15">
        <v>8.9928057553956844</v>
      </c>
      <c r="BR11" s="15">
        <v>7.6219512195121961</v>
      </c>
      <c r="BS11" s="15">
        <v>7.7160493827160481</v>
      </c>
      <c r="BT11" s="15">
        <v>8.9928057553956791</v>
      </c>
    </row>
    <row r="12" spans="1:75" s="15" customFormat="1" x14ac:dyDescent="0.35">
      <c r="A12" s="66">
        <v>9.8425196850393686</v>
      </c>
      <c r="D12" s="15">
        <v>4.8262548262548268</v>
      </c>
      <c r="F12" s="66"/>
      <c r="H12" s="15">
        <v>11.364575584759063</v>
      </c>
      <c r="K12" s="15">
        <v>7.9303387971543842</v>
      </c>
      <c r="M12" s="15">
        <v>7.9303387971543842</v>
      </c>
      <c r="O12" s="15">
        <v>8.0796531100790698</v>
      </c>
      <c r="P12" s="15">
        <v>7.564880779296308</v>
      </c>
      <c r="Q12" s="15">
        <v>8.389356215443172</v>
      </c>
      <c r="R12" s="15">
        <v>8.836156428069625</v>
      </c>
      <c r="S12" s="15">
        <v>9.1205070902173624</v>
      </c>
      <c r="T12" s="15">
        <v>8.9274337410805309</v>
      </c>
      <c r="U12" s="15">
        <v>9.6266455170777956</v>
      </c>
      <c r="V12" s="15">
        <v>8.6970845498673128</v>
      </c>
      <c r="W12" s="15">
        <v>9.2592592592592595</v>
      </c>
      <c r="X12" s="15">
        <v>10.75268817204301</v>
      </c>
      <c r="AA12" s="15">
        <v>7.3855243722304298</v>
      </c>
      <c r="AB12" s="15">
        <v>8.2038646927181951</v>
      </c>
      <c r="AE12" s="15">
        <v>19.429854167993376</v>
      </c>
      <c r="AF12" s="15">
        <v>10.181180149536813</v>
      </c>
      <c r="AG12" s="15">
        <v>10.121457489878541</v>
      </c>
      <c r="AI12" s="15">
        <v>11.737089201877936</v>
      </c>
      <c r="AK12" s="15">
        <v>9.2421441774491697</v>
      </c>
      <c r="AM12" s="15">
        <v>9.3339919452376989</v>
      </c>
      <c r="AN12" s="15">
        <v>8.618619181381451</v>
      </c>
      <c r="AR12" s="15">
        <v>6.5616797900262451</v>
      </c>
      <c r="AW12" s="15">
        <v>7.4411083759428633</v>
      </c>
      <c r="AX12" s="15">
        <v>4.6187788030787562</v>
      </c>
      <c r="AY12" s="15">
        <v>9.2790249276959091</v>
      </c>
      <c r="AZ12" s="15">
        <v>7.7860118182698841</v>
      </c>
      <c r="BA12" s="15">
        <v>8.0068208626083397</v>
      </c>
      <c r="BB12" s="15">
        <v>9.6153849999999998</v>
      </c>
      <c r="BD12" s="15">
        <v>11.337870000000001</v>
      </c>
      <c r="BQ12" s="15">
        <v>9.4517958412098295</v>
      </c>
      <c r="BR12" s="15">
        <v>8.2644628099173509</v>
      </c>
      <c r="BS12" s="15">
        <v>8.5763293310463098</v>
      </c>
      <c r="BT12" s="15">
        <v>10.183299389002032</v>
      </c>
    </row>
    <row r="13" spans="1:75" s="15" customFormat="1" x14ac:dyDescent="0.35">
      <c r="A13" s="66"/>
      <c r="F13" s="66"/>
      <c r="H13" s="15">
        <v>8.8714899074033351</v>
      </c>
      <c r="O13" s="15">
        <v>7.7614379084967329</v>
      </c>
      <c r="P13" s="15">
        <v>8.0296828467987904</v>
      </c>
      <c r="U13" s="15">
        <v>10.71626899441469</v>
      </c>
      <c r="AB13" s="15">
        <v>9.5245848257896437</v>
      </c>
      <c r="AE13" s="15">
        <v>10.825217418189368</v>
      </c>
      <c r="AK13" s="15">
        <v>8.5470085470085433</v>
      </c>
      <c r="AM13" s="15">
        <v>8.9443727546471301</v>
      </c>
      <c r="AN13" s="15">
        <v>8.6704885161874916</v>
      </c>
      <c r="AR13" s="15">
        <v>6.2344139650872803</v>
      </c>
      <c r="AW13" s="15">
        <v>7.3075993763238136</v>
      </c>
      <c r="AX13" s="15">
        <v>4.8904240109611816</v>
      </c>
      <c r="AZ13" s="15">
        <v>7.9378068739770899</v>
      </c>
      <c r="BB13" s="15">
        <v>9.7087380000000003</v>
      </c>
      <c r="BD13" s="15">
        <v>11.990410000000001</v>
      </c>
      <c r="BR13" s="15">
        <v>9.0090090090090094</v>
      </c>
      <c r="BS13" s="15">
        <v>6.1124694376528108</v>
      </c>
      <c r="BT13" s="15">
        <v>7.6923076923076925</v>
      </c>
    </row>
    <row r="14" spans="1:75" s="15" customFormat="1" x14ac:dyDescent="0.35">
      <c r="A14" s="66"/>
      <c r="F14" s="66"/>
      <c r="H14" s="15">
        <v>6.8602725287962052</v>
      </c>
      <c r="O14" s="15">
        <v>8.1396698750422125</v>
      </c>
      <c r="P14" s="15">
        <v>8.5661031034018613</v>
      </c>
      <c r="AB14" s="15">
        <v>8.9403275084050229</v>
      </c>
      <c r="AE14" s="15">
        <v>13.98299822590184</v>
      </c>
      <c r="AM14" s="15">
        <v>9.0457521419428435</v>
      </c>
      <c r="AN14" s="15">
        <v>8.4072645542385018</v>
      </c>
      <c r="AW14" s="15">
        <v>7.3442278755157435</v>
      </c>
      <c r="AX14" s="15">
        <v>4.3277662877286698</v>
      </c>
      <c r="BD14" s="15">
        <v>12.106540000000001</v>
      </c>
      <c r="BR14" s="15">
        <v>6.7385444743935299</v>
      </c>
      <c r="BS14" s="15">
        <v>6.1124694376528108</v>
      </c>
      <c r="BT14" s="15">
        <v>7.3746312684365769</v>
      </c>
    </row>
    <row r="15" spans="1:75" s="15" customFormat="1" x14ac:dyDescent="0.35">
      <c r="A15" s="66"/>
      <c r="F15" s="66"/>
      <c r="H15" s="15">
        <v>14.066698277224589</v>
      </c>
      <c r="AB15" s="15">
        <v>8.803799273376562</v>
      </c>
      <c r="AE15" s="15">
        <v>9.2691288764220037</v>
      </c>
      <c r="AM15" s="15">
        <v>8.7612922042536177</v>
      </c>
      <c r="AN15" s="15">
        <v>8.7124176164373601</v>
      </c>
      <c r="AW15" s="15">
        <v>7.3455831432088257</v>
      </c>
      <c r="AX15" s="15">
        <v>4.3643316666695462</v>
      </c>
      <c r="BR15" s="15">
        <v>6.3938618925831188</v>
      </c>
    </row>
    <row r="16" spans="1:75" s="15" customFormat="1" x14ac:dyDescent="0.35">
      <c r="A16" s="66"/>
      <c r="F16" s="66"/>
      <c r="H16" s="15">
        <v>9.7680097680097653</v>
      </c>
      <c r="AM16" s="15">
        <v>9.2894171357073088</v>
      </c>
      <c r="AN16" s="15">
        <v>8.5443472315455153</v>
      </c>
      <c r="AW16" s="15">
        <v>7.0401796205271179</v>
      </c>
    </row>
    <row r="17" spans="1:75" s="15" customFormat="1" x14ac:dyDescent="0.35">
      <c r="A17" s="66"/>
      <c r="F17" s="66"/>
      <c r="AM17" s="15">
        <v>9.8888065163920107</v>
      </c>
      <c r="AN17" s="15">
        <v>8.0218720388637834</v>
      </c>
    </row>
    <row r="18" spans="1:75" s="15" customFormat="1" x14ac:dyDescent="0.35">
      <c r="A18" s="66"/>
      <c r="F18" s="66"/>
      <c r="AM18" s="15">
        <v>9.7762994593397678</v>
      </c>
      <c r="AN18" s="15">
        <v>7.9003468349487882</v>
      </c>
    </row>
    <row r="20" spans="1:75" s="15" customFormat="1" x14ac:dyDescent="0.35">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row>
    <row r="21" spans="1:75" s="15" customFormat="1" x14ac:dyDescent="0.35">
      <c r="A21" s="66"/>
      <c r="F21" s="66"/>
    </row>
    <row r="22" spans="1:75" s="15" customFormat="1" x14ac:dyDescent="0.35">
      <c r="A22" s="66"/>
      <c r="F22" s="66"/>
    </row>
    <row r="23" spans="1:75" s="15" customFormat="1" x14ac:dyDescent="0.35">
      <c r="A23" s="66"/>
      <c r="F23" s="66"/>
    </row>
    <row r="24" spans="1:75" s="15" customFormat="1" x14ac:dyDescent="0.35">
      <c r="A24" s="66"/>
      <c r="F24" s="66"/>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W23"/>
  <sheetViews>
    <sheetView topLeftCell="BP1" zoomScale="130" zoomScaleNormal="130" workbookViewId="0">
      <selection activeCell="A22" sqref="A22:XFD22"/>
    </sheetView>
  </sheetViews>
  <sheetFormatPr defaultRowHeight="14.5" x14ac:dyDescent="0.35"/>
  <cols>
    <col min="6" max="6" width="8.6328125" style="11"/>
    <col min="40" max="40" width="35.36328125" customWidth="1"/>
    <col min="45" max="45" width="24.36328125" customWidth="1"/>
  </cols>
  <sheetData>
    <row r="1" spans="1:75" s="60" customFormat="1" x14ac:dyDescent="0.35">
      <c r="A1" s="60" t="s">
        <v>520</v>
      </c>
    </row>
    <row r="3" spans="1:75" ht="87" x14ac:dyDescent="0.35">
      <c r="A3" s="1" t="str">
        <f>'Formulation Name Data'!A64&amp;"_AgedConc_T1"</f>
        <v>Avio®F3 Green KHC_AgedConc_T1</v>
      </c>
      <c r="B3" s="1" t="str">
        <f>'Formulation Name Data'!A65&amp;"_AgedConc_T1"</f>
        <v>JetFoam 3%_AgedConc_T1</v>
      </c>
      <c r="C3" s="1" t="str">
        <f>'Formulation Name Data'!A67&amp;"_T1"</f>
        <v>FomtecEnviroUSP 3%_T1</v>
      </c>
      <c r="D3" s="1" t="str">
        <f>'Formulation Name Data'!A66&amp;"_T1"</f>
        <v>Solberg® Rehealing RF3 3%_T1</v>
      </c>
      <c r="E3" s="1" t="str">
        <f>'Formulation Name Data'!A109&amp;"_T1"</f>
        <v>G225_DGBE_0.3_0.5_T1</v>
      </c>
      <c r="F3" s="1" t="str">
        <f>'Formulation Name Data'!A98&amp;"_T1"</f>
        <v>ComSor1830503_T1</v>
      </c>
      <c r="G3" s="1" t="str">
        <f>'Formulation Name Data'!A99&amp;"_T1"</f>
        <v>ComSor_26990-95B_T1</v>
      </c>
      <c r="H3" s="1" t="str">
        <f>'Formulation Name Data'!A100&amp;"_T1"</f>
        <v>ComSor_26990-95C_T1</v>
      </c>
      <c r="I3" s="1" t="str">
        <f>'Formulation Name Data'!A101&amp;"_T1"</f>
        <v>ComSor_26990-95D_T1</v>
      </c>
      <c r="J3" s="1" t="str">
        <f>'Formulation Name Data'!A57&amp;"_T1"</f>
        <v>ComSor_EXP-20-C10628-A_T1</v>
      </c>
      <c r="K3" s="1" t="str">
        <f>'Formulation Name Data'!A58&amp;"_T1"</f>
        <v>ComSor_EXP-20-C10628-B_T1</v>
      </c>
      <c r="L3" s="1" t="str">
        <f>'Formulation Name Data'!A59&amp;"_T1"</f>
        <v>ComSor_EXP-20-C10628-C_T1</v>
      </c>
      <c r="M3" s="1" t="str">
        <f>'Formulation Name Data'!A60&amp;"_T1"</f>
        <v>ComSor_EXP-20-C10628-D_T1</v>
      </c>
      <c r="N3" s="1" t="str">
        <f>'Formulation Name Data'!A61&amp;"_T1"</f>
        <v>ComSor_EXP-20-C10628-E_T1</v>
      </c>
      <c r="O3" s="12" t="str">
        <f>'Formulation Name Data'!A140&amp;"_T1"</f>
        <v>ComSor_EXP-20-CH1024-A_T1</v>
      </c>
      <c r="P3" s="1" t="str">
        <f>'Formulation Name Data'!A141&amp;"_T1"</f>
        <v>ComSor_EXP-20-CH1024-B_T1</v>
      </c>
      <c r="Q3" s="1" t="str">
        <f>'Formulation Name Data'!A142&amp;"_T1"</f>
        <v>ComSor_EXP-20-CH1024-C_T1</v>
      </c>
      <c r="R3" s="1" t="str">
        <f>'Formulation Name Data'!A143&amp;"_T1"</f>
        <v>ComSor_EXP-20-CH1024-D_T1</v>
      </c>
      <c r="S3" s="1" t="str">
        <f>'Formulation Name Data'!A144&amp;"_T1"</f>
        <v>ComSor_EXP-20-CH1024-E_T1</v>
      </c>
      <c r="T3" s="1" t="str">
        <f>'Formulation Name Data'!A145&amp;"_T1"</f>
        <v>ComSor_EXP-20-CH1024-F_T1</v>
      </c>
      <c r="U3" s="1" t="str">
        <f>'Formulation Name Data'!A146&amp;"_T1"</f>
        <v>ComSor_EXP-20-CH1024-G_T1</v>
      </c>
      <c r="V3" s="1" t="str">
        <f>'Formulation Name Data'!A147&amp;"_T1"</f>
        <v>ComSor_EXP-20-CH1024-H_T1</v>
      </c>
      <c r="W3" s="1" t="str">
        <f>'Formulation Name Data'!A117&amp;"_T1"</f>
        <v>ComSor_EXP-21-CH1035-A_T1</v>
      </c>
      <c r="X3" s="1" t="str">
        <f>'Formulation Name Data'!A150&amp;"_T1"</f>
        <v>ComSor_EXP-21-CH1035-A-Saltwater_T1</v>
      </c>
      <c r="Y3" s="1" t="str">
        <f>'Formulation Name Data'!A110&amp;"_T1"</f>
        <v>ComSor_EXP-21-CH1035-B_T1</v>
      </c>
      <c r="Z3" s="1" t="str">
        <f>'Formulation Name Data'!A118&amp;"_T1"</f>
        <v>ComSor_EXP-21-CH1035-C_T1</v>
      </c>
      <c r="AA3" s="1" t="str">
        <f>'Formulation Name Data'!A148&amp;"_T1"</f>
        <v>ComSor_EXP-21-CM7837-5_T1</v>
      </c>
      <c r="AB3" s="1" t="str">
        <f>'Formulation Name Data'!A149&amp;"_T1"</f>
        <v>ComSor_EXP-21-CM7837-4_T1</v>
      </c>
      <c r="AC3" s="1" t="str">
        <f>'Formulation Name Data'!A151&amp;"_T1"</f>
        <v>ComSor_EXP-21-CH1042-1-Saltwater_T1</v>
      </c>
      <c r="AD3" s="1" t="str">
        <f>'Formulation Name Data'!A37&amp;"_T1"</f>
        <v>D502W_G225_DGBE_0.2_0.3_0.5_T1</v>
      </c>
      <c r="AE3" s="1" t="str">
        <f>'Formulation Name Data'!A8&amp;"_T1"</f>
        <v>Cap_G215_DGBE_0.3_0.2_0.5_T1</v>
      </c>
      <c r="AF3" t="str">
        <f>'Formulation Name Data'!A156&amp;"_T1"</f>
        <v>NRL_N10477-189_G225_DGBE_0.05_0.3_0.5_T1</v>
      </c>
      <c r="AG3" t="str">
        <f>'Formulation Name Data'!A155&amp;"_T1"</f>
        <v>NRL_N10478-198_G225_DGBE_0.065_0.3_0.5_T1</v>
      </c>
      <c r="AH3" t="str">
        <f>'Formulation Name Data'!A157&amp;"_T1"</f>
        <v>NRL_N10478-81_G225_DGBE_0.116_0.3_0.5_T1</v>
      </c>
      <c r="AI3" t="str">
        <f>'Formulation Name Data'!A138&amp;"_T1"</f>
        <v>CL_MD2086-97_G225_DGBE_0.34_0.56_0.5_T1</v>
      </c>
      <c r="AJ3" t="str">
        <f>'Formulation Name Data'!A154&amp;"_T1"</f>
        <v>CL_MD2012-16_G225_DGBE_0.52_0.78_0.5_T1</v>
      </c>
      <c r="AK3" t="str">
        <f>'Formulation Name Data'!A158&amp;"_T1"</f>
        <v>CL_MD2102-54_G225_DGBE_0.2_0.3_0.5_T1</v>
      </c>
      <c r="AL3" t="str">
        <f>'Formulation Name Data'!A159&amp;"_T1"</f>
        <v>CL_MD2062-148_G225_DGBE_0.043_0.3_0.5_T1</v>
      </c>
      <c r="AM3" t="str">
        <f>'Formulation Name Data'!A8&amp;"_T1"</f>
        <v>Cap_G215_DGBE_0.3_0.2_0.5_T1</v>
      </c>
      <c r="AN3" t="str">
        <f>'Formulation Name Data'!A37&amp;"_T2"</f>
        <v>D502W_G225_DGBE_0.2_0.3_0.5_T2</v>
      </c>
      <c r="AO3" t="str">
        <f>'Formulation Name Data'!A163&amp;"_T1"</f>
        <v>D502W_G225_SDS_DGBE_0.2_0.3_0.2_0.5_T1</v>
      </c>
      <c r="AP3" t="str">
        <f>'Formulation Name Data'!A164&amp;"_T1"</f>
        <v>D502W_G225_SDS_DGBE_0.2_0.3_0.02_0.5_T1</v>
      </c>
      <c r="AQ3" t="str">
        <f>'Formulation Name Data'!A165&amp;"_T1"</f>
        <v>NRL_N10478-40_G225_DGBE_0.2_0.3_0.5_T1</v>
      </c>
      <c r="AR3" t="str">
        <f>'Formulation Name Data'!A166&amp;"_T1"</f>
        <v>ComSor_EXP-22-CH1050_T1</v>
      </c>
      <c r="AS3" t="str">
        <f>'Formulation Name Data'!A166&amp;"_T2"</f>
        <v>ComSor_EXP-22-CH1050_T2</v>
      </c>
      <c r="AT3" t="str">
        <f>'Formulation Name Data'!A167&amp;"_T1"</f>
        <v>Ecoguard CF3F_T1</v>
      </c>
      <c r="AU3" t="str">
        <f>'Formulation Name Data'!A67&amp;"_T1"</f>
        <v>FomtecEnviroUSP 3%_T1</v>
      </c>
      <c r="AV3" t="str">
        <f>'Formulation Name Data'!A37&amp;"_T3"</f>
        <v>D502W_G225_DGBE_0.2_0.3_0.5_T3</v>
      </c>
      <c r="AW3" t="str">
        <f>'Formulation Name Data'!A10&amp;"_T1"</f>
        <v>Buckeye 3%_3_T1</v>
      </c>
      <c r="AX3" t="str">
        <f>'Formulation Name Data'!A169&amp;"_T1"</f>
        <v>Universal®F3 Green_3_T1</v>
      </c>
      <c r="AY3" t="str">
        <f>'Formulation Name Data'!A174&amp;"_T1"</f>
        <v>ComSor_EXP-20-CIO632-A3_T1</v>
      </c>
      <c r="AZ3" t="str">
        <f>'Formulation Name Data'!A175&amp;"_T1"</f>
        <v>ComSor_EXP-20-CIO632-B3_T1</v>
      </c>
      <c r="BA3" t="str">
        <f>'Formulation Name Data'!A176&amp;"_T1"</f>
        <v>ComSor_EXP-20-CIO632-C3_T1</v>
      </c>
      <c r="BB3" t="str">
        <f>'Formulation Name Data'!A178&amp;"_T1"</f>
        <v>CL_MD2062-121_G225_DGBE_0.1_0.3_0.5_T1</v>
      </c>
      <c r="BC3" t="str">
        <f>'Formulation Name Data'!A177&amp;"_T1"</f>
        <v>CL_MD2062-57_G225_DGBE_0.2_0.3_0.5_T1</v>
      </c>
      <c r="BD3" t="str">
        <f>'Formulation Name Data'!A179&amp;"_T1"</f>
        <v>CL_MD2062-124_G225_DGBE_0.065_0.3_0.5_T1</v>
      </c>
      <c r="BE3" t="str">
        <f>'Formulation Name Data'!A180&amp;"_T1"</f>
        <v>CL_MD2062-124_G225_DGBE_0.05_0.3_0.5_T1</v>
      </c>
      <c r="BF3" t="str">
        <f>'Formulation Name Data'!A39&amp;"_T1"</f>
        <v>NRL_N10358-176_G225_DGBE_0.2_0.3_0.5_T1</v>
      </c>
      <c r="BG3" t="str">
        <f>'Formulation Name Data'!A92&amp;"_T1"</f>
        <v>NRL_N10477-09_G225_DGBE_0.2_0.3_0.5_T1</v>
      </c>
      <c r="BH3" t="str">
        <f>'Formulation Name Data'!A37&amp;"_T4"</f>
        <v>D502W_G225_DGBE_0.2_0.3_0.5_T4</v>
      </c>
      <c r="BI3" t="str">
        <f>'Formulation Name Data'!A181&amp;"_T1"</f>
        <v>Collab_26990-95C_G225_5_0.3_T1</v>
      </c>
      <c r="BJ3" t="str">
        <f>'Formulation Name Data'!A37&amp;"_T5"</f>
        <v>D502W_G225_DGBE_0.2_0.3_0.5_T5</v>
      </c>
      <c r="BK3" t="str">
        <f>'Formulation Name Data'!A183&amp;"_T1"</f>
        <v>NRL_CB_DTBTS_SB_G225_DGBE_0.02_0.3_0.5_T1</v>
      </c>
      <c r="BL3" t="str">
        <f>'Formulation Name Data'!A184&amp;"_T1"</f>
        <v>NRL_CB-1-123_G225_DGBE_0.2_0.3_0.5_T1</v>
      </c>
      <c r="BM3" s="1" t="str">
        <f>'Formulation Name Data'!A185&amp;"_T1"</f>
        <v>NRL_N10478-227_G225_DGBE_0.063_0.3_0.5_T1</v>
      </c>
      <c r="BN3" s="1" t="str">
        <f>'Formulation Name Data'!A186&amp;"_T1"</f>
        <v>NRL_N10478-233_G225_DGBE_0.03_0.3_0.5_T1</v>
      </c>
      <c r="BO3" s="1" t="str">
        <f>'Formulation Name Data'!A187&amp;"_T1"</f>
        <v>NRL_N10478-240_G225_DGBE_#_0.3_0.5_T1</v>
      </c>
      <c r="BP3" s="1" t="str">
        <f>'Formulation Name Data'!A188&amp;"_T1"</f>
        <v>CL_MD2102-90_G225_DGBE_0.2_0.3_0.5_T1</v>
      </c>
      <c r="BQ3" s="1" t="str">
        <f>'Formulation Name Data'!A189&amp;"_T1"</f>
        <v>CL_MD2102-112_G225_DGBE_0.05_0.3_0.5_T1</v>
      </c>
      <c r="BR3" s="1" t="str">
        <f>'Formulation Name Data'!A191&amp;"_T1"</f>
        <v>ComSor_EXP-21-CH1070-1_3_T1</v>
      </c>
      <c r="BS3" s="1" t="str">
        <f>'Formulation Name Data'!A192&amp;"_T1"</f>
        <v>ComSor_EXP-21-CH1070-2_3_T1</v>
      </c>
      <c r="BT3" s="1" t="str">
        <f>'Formulation Name Data'!A193&amp;"_T1"</f>
        <v>ComSor_EXP-21-CH1070-4_1_T1</v>
      </c>
      <c r="BU3" s="1" t="str">
        <f>'Formulation Name Data'!A37&amp;"_T7"</f>
        <v>D502W_G225_DGBE_0.2_0.3_0.5_T7</v>
      </c>
      <c r="BV3" s="1" t="str">
        <f>'Formulation Name Data'!A190&amp;"_T1"</f>
        <v>CL_MD2102-118_G225_DGBE_0.2_0.3_0.5_T1</v>
      </c>
      <c r="BW3" s="1" t="str">
        <f>'Formulation Name Data'!A197&amp;"_T1"</f>
        <v>NRL_CB-1-192_G225_DGBE_0.14_0.21_0.5_T1</v>
      </c>
    </row>
    <row r="4" spans="1:75" x14ac:dyDescent="0.35">
      <c r="A4">
        <v>5</v>
      </c>
      <c r="B4">
        <v>4</v>
      </c>
      <c r="C4">
        <v>6</v>
      </c>
      <c r="D4">
        <v>6</v>
      </c>
      <c r="E4" s="11">
        <v>6</v>
      </c>
      <c r="F4" s="11">
        <v>5</v>
      </c>
      <c r="G4">
        <v>5</v>
      </c>
      <c r="H4">
        <v>4</v>
      </c>
      <c r="I4">
        <v>6</v>
      </c>
      <c r="J4">
        <v>3</v>
      </c>
      <c r="K4">
        <v>4</v>
      </c>
      <c r="L4">
        <v>3</v>
      </c>
      <c r="M4">
        <v>4</v>
      </c>
      <c r="N4">
        <v>6</v>
      </c>
      <c r="O4">
        <v>5</v>
      </c>
      <c r="P4">
        <v>3</v>
      </c>
      <c r="Q4">
        <v>4</v>
      </c>
      <c r="R4">
        <v>4</v>
      </c>
      <c r="S4">
        <v>7</v>
      </c>
      <c r="T4" s="11">
        <v>4</v>
      </c>
      <c r="U4" s="11">
        <v>4</v>
      </c>
      <c r="V4">
        <v>3</v>
      </c>
      <c r="W4">
        <v>4</v>
      </c>
      <c r="X4">
        <v>4</v>
      </c>
      <c r="Y4" s="11">
        <v>50</v>
      </c>
      <c r="Z4" t="s">
        <v>174</v>
      </c>
      <c r="AA4">
        <v>10</v>
      </c>
      <c r="AB4">
        <v>5</v>
      </c>
      <c r="AC4">
        <v>6</v>
      </c>
      <c r="AD4">
        <v>9</v>
      </c>
      <c r="AE4">
        <v>5</v>
      </c>
      <c r="AF4">
        <v>4</v>
      </c>
      <c r="AG4">
        <v>4</v>
      </c>
      <c r="AH4">
        <v>120</v>
      </c>
      <c r="AI4">
        <v>5</v>
      </c>
      <c r="AJ4">
        <v>6</v>
      </c>
      <c r="AK4">
        <v>4</v>
      </c>
      <c r="AL4">
        <v>10</v>
      </c>
      <c r="AM4">
        <v>12</v>
      </c>
      <c r="AN4">
        <v>48</v>
      </c>
      <c r="AO4">
        <v>10</v>
      </c>
      <c r="AP4">
        <v>5</v>
      </c>
      <c r="AQ4">
        <v>4</v>
      </c>
      <c r="AR4">
        <v>7</v>
      </c>
      <c r="AS4">
        <v>9</v>
      </c>
      <c r="AT4">
        <v>8</v>
      </c>
      <c r="AU4">
        <v>12</v>
      </c>
      <c r="AV4">
        <v>9</v>
      </c>
      <c r="AW4">
        <v>9</v>
      </c>
      <c r="AX4">
        <v>14</v>
      </c>
      <c r="AY4">
        <v>6</v>
      </c>
      <c r="AZ4">
        <v>6</v>
      </c>
      <c r="BA4">
        <v>7</v>
      </c>
      <c r="BB4">
        <v>4</v>
      </c>
      <c r="BC4">
        <v>5</v>
      </c>
      <c r="BD4">
        <v>4</v>
      </c>
      <c r="BE4">
        <v>3</v>
      </c>
      <c r="BF4">
        <v>17</v>
      </c>
      <c r="BG4">
        <v>18</v>
      </c>
      <c r="BH4">
        <v>7</v>
      </c>
      <c r="BI4">
        <v>9</v>
      </c>
      <c r="BJ4" s="42">
        <v>7.11</v>
      </c>
      <c r="BK4" s="42">
        <v>6</v>
      </c>
      <c r="BL4" s="42">
        <v>7</v>
      </c>
      <c r="BM4" s="42" t="s">
        <v>174</v>
      </c>
      <c r="BN4" s="60" t="s">
        <v>174</v>
      </c>
      <c r="BO4" s="42">
        <v>8</v>
      </c>
      <c r="BP4">
        <v>9</v>
      </c>
      <c r="BQ4">
        <v>7</v>
      </c>
      <c r="BR4">
        <v>6</v>
      </c>
      <c r="BS4">
        <v>6</v>
      </c>
      <c r="BT4">
        <v>6</v>
      </c>
      <c r="BU4" s="42">
        <v>9</v>
      </c>
      <c r="BV4">
        <v>7</v>
      </c>
      <c r="BW4" s="42">
        <v>12</v>
      </c>
    </row>
    <row r="5" spans="1:75" x14ac:dyDescent="0.35">
      <c r="A5">
        <v>5</v>
      </c>
      <c r="B5">
        <v>5</v>
      </c>
      <c r="C5">
        <v>7</v>
      </c>
      <c r="D5">
        <v>8</v>
      </c>
      <c r="E5" s="18">
        <v>7</v>
      </c>
      <c r="F5" s="11">
        <v>10</v>
      </c>
      <c r="G5">
        <v>6</v>
      </c>
      <c r="H5">
        <v>3</v>
      </c>
      <c r="I5">
        <v>5</v>
      </c>
      <c r="J5">
        <v>3</v>
      </c>
      <c r="K5">
        <v>4</v>
      </c>
      <c r="L5">
        <v>3</v>
      </c>
      <c r="M5">
        <v>5</v>
      </c>
      <c r="N5">
        <v>8</v>
      </c>
      <c r="O5">
        <v>5</v>
      </c>
      <c r="P5">
        <v>4</v>
      </c>
      <c r="Q5">
        <v>4</v>
      </c>
      <c r="R5">
        <v>5</v>
      </c>
      <c r="S5">
        <v>7</v>
      </c>
      <c r="T5" s="18">
        <v>4</v>
      </c>
      <c r="U5" s="18">
        <v>4</v>
      </c>
      <c r="V5">
        <v>4</v>
      </c>
      <c r="W5">
        <v>4</v>
      </c>
      <c r="X5">
        <v>5</v>
      </c>
      <c r="Y5" s="18">
        <v>12</v>
      </c>
      <c r="Z5">
        <v>179</v>
      </c>
      <c r="AA5">
        <v>16</v>
      </c>
      <c r="AB5">
        <v>7</v>
      </c>
      <c r="AC5">
        <v>7</v>
      </c>
      <c r="AD5">
        <v>8</v>
      </c>
      <c r="AE5">
        <v>5</v>
      </c>
      <c r="AF5">
        <v>4</v>
      </c>
      <c r="AG5">
        <v>4</v>
      </c>
      <c r="AH5">
        <v>9</v>
      </c>
      <c r="AI5">
        <v>4</v>
      </c>
      <c r="AJ5">
        <v>6</v>
      </c>
      <c r="AK5">
        <v>4</v>
      </c>
      <c r="AL5">
        <v>8</v>
      </c>
      <c r="AM5">
        <v>12</v>
      </c>
      <c r="AN5">
        <v>27</v>
      </c>
      <c r="AO5">
        <v>5</v>
      </c>
      <c r="AP5">
        <v>6</v>
      </c>
      <c r="AQ5">
        <v>5</v>
      </c>
      <c r="AR5">
        <v>8</v>
      </c>
      <c r="AS5">
        <v>9</v>
      </c>
      <c r="AT5">
        <v>7</v>
      </c>
      <c r="AU5">
        <v>9</v>
      </c>
      <c r="AV5">
        <v>9</v>
      </c>
      <c r="AW5">
        <v>11</v>
      </c>
      <c r="AX5">
        <v>12</v>
      </c>
      <c r="AY5">
        <v>7</v>
      </c>
      <c r="AZ5">
        <v>6</v>
      </c>
      <c r="BA5">
        <v>7</v>
      </c>
      <c r="BB5">
        <v>5</v>
      </c>
      <c r="BC5">
        <v>7</v>
      </c>
      <c r="BD5">
        <v>5</v>
      </c>
      <c r="BE5">
        <v>7</v>
      </c>
      <c r="BG5">
        <v>10</v>
      </c>
      <c r="BH5">
        <v>9</v>
      </c>
      <c r="BI5">
        <v>12</v>
      </c>
      <c r="BJ5" s="42">
        <v>11</v>
      </c>
      <c r="BK5" s="42">
        <v>6</v>
      </c>
      <c r="BL5" s="42">
        <v>5</v>
      </c>
      <c r="BM5" s="60" t="s">
        <v>174</v>
      </c>
      <c r="BN5" s="60" t="s">
        <v>174</v>
      </c>
      <c r="BO5" s="16">
        <v>7</v>
      </c>
      <c r="BP5">
        <v>9</v>
      </c>
      <c r="BQ5">
        <v>9</v>
      </c>
      <c r="BR5">
        <v>7</v>
      </c>
      <c r="BS5">
        <v>5</v>
      </c>
      <c r="BT5">
        <v>7</v>
      </c>
      <c r="BU5" s="42">
        <v>10</v>
      </c>
      <c r="BV5">
        <v>9</v>
      </c>
      <c r="BW5" s="42">
        <v>12</v>
      </c>
    </row>
    <row r="6" spans="1:75" x14ac:dyDescent="0.35">
      <c r="A6">
        <v>6</v>
      </c>
      <c r="B6">
        <v>6</v>
      </c>
      <c r="C6">
        <v>10</v>
      </c>
      <c r="D6">
        <v>11</v>
      </c>
      <c r="E6" s="18">
        <v>9</v>
      </c>
      <c r="F6" s="11">
        <v>5</v>
      </c>
      <c r="G6">
        <v>3</v>
      </c>
      <c r="H6">
        <v>5</v>
      </c>
      <c r="I6">
        <v>8</v>
      </c>
      <c r="J6">
        <v>4</v>
      </c>
      <c r="K6">
        <v>7</v>
      </c>
      <c r="L6">
        <v>4</v>
      </c>
      <c r="M6">
        <v>6</v>
      </c>
      <c r="N6">
        <v>8</v>
      </c>
      <c r="O6">
        <v>5</v>
      </c>
      <c r="P6">
        <v>5</v>
      </c>
      <c r="Q6">
        <v>5</v>
      </c>
      <c r="R6">
        <v>5</v>
      </c>
      <c r="S6">
        <v>7</v>
      </c>
      <c r="T6" s="18">
        <v>5</v>
      </c>
      <c r="U6" s="18">
        <v>5</v>
      </c>
      <c r="V6">
        <v>5</v>
      </c>
      <c r="W6">
        <v>4</v>
      </c>
      <c r="X6">
        <v>5</v>
      </c>
      <c r="Y6" s="18">
        <v>41</v>
      </c>
      <c r="AA6">
        <v>25</v>
      </c>
      <c r="AB6">
        <v>8</v>
      </c>
      <c r="AC6">
        <v>8</v>
      </c>
      <c r="AD6">
        <v>7</v>
      </c>
      <c r="AE6">
        <v>4</v>
      </c>
      <c r="AF6">
        <v>5</v>
      </c>
      <c r="AG6">
        <v>5</v>
      </c>
      <c r="AI6">
        <v>4</v>
      </c>
      <c r="AJ6">
        <v>5</v>
      </c>
      <c r="AK6">
        <v>6</v>
      </c>
      <c r="AL6">
        <v>7</v>
      </c>
      <c r="AM6">
        <v>24</v>
      </c>
      <c r="AN6">
        <v>19</v>
      </c>
      <c r="AO6">
        <v>5</v>
      </c>
      <c r="AP6">
        <v>8</v>
      </c>
      <c r="AQ6">
        <v>6</v>
      </c>
      <c r="AR6">
        <v>10</v>
      </c>
      <c r="AS6">
        <v>9</v>
      </c>
      <c r="AT6">
        <v>4</v>
      </c>
      <c r="AU6">
        <v>9</v>
      </c>
      <c r="AV6">
        <v>10</v>
      </c>
      <c r="AW6">
        <v>13</v>
      </c>
      <c r="AX6">
        <v>15</v>
      </c>
      <c r="AY6">
        <v>8</v>
      </c>
      <c r="AZ6">
        <v>7</v>
      </c>
      <c r="BA6">
        <v>8</v>
      </c>
      <c r="BB6">
        <v>5</v>
      </c>
      <c r="BC6">
        <v>8</v>
      </c>
      <c r="BD6">
        <v>6</v>
      </c>
      <c r="BE6">
        <v>7</v>
      </c>
      <c r="BH6">
        <v>12</v>
      </c>
      <c r="BI6">
        <v>6</v>
      </c>
      <c r="BJ6" s="42">
        <v>10</v>
      </c>
      <c r="BK6" s="42">
        <v>8</v>
      </c>
      <c r="BM6" s="60" t="s">
        <v>174</v>
      </c>
      <c r="BN6" s="60" t="s">
        <v>174</v>
      </c>
      <c r="BO6" s="16">
        <v>10</v>
      </c>
      <c r="BP6">
        <v>7</v>
      </c>
      <c r="BQ6">
        <v>13</v>
      </c>
      <c r="BR6">
        <v>6</v>
      </c>
      <c r="BS6">
        <v>7</v>
      </c>
      <c r="BT6">
        <v>8</v>
      </c>
      <c r="BU6" s="42">
        <v>12</v>
      </c>
      <c r="BV6">
        <v>13</v>
      </c>
      <c r="BW6" s="42">
        <v>9</v>
      </c>
    </row>
    <row r="7" spans="1:75" x14ac:dyDescent="0.35">
      <c r="A7">
        <v>6</v>
      </c>
      <c r="B7">
        <v>4</v>
      </c>
      <c r="C7">
        <v>8</v>
      </c>
      <c r="D7">
        <v>13</v>
      </c>
      <c r="E7" s="18">
        <v>13</v>
      </c>
      <c r="F7" s="11">
        <v>3</v>
      </c>
      <c r="G7">
        <v>4</v>
      </c>
      <c r="H7">
        <v>6</v>
      </c>
      <c r="I7">
        <v>11</v>
      </c>
      <c r="J7">
        <v>6</v>
      </c>
      <c r="K7">
        <v>11</v>
      </c>
      <c r="L7">
        <v>7</v>
      </c>
      <c r="M7">
        <v>7</v>
      </c>
      <c r="N7">
        <v>7</v>
      </c>
      <c r="O7">
        <v>6</v>
      </c>
      <c r="P7">
        <v>6</v>
      </c>
      <c r="Q7">
        <v>10</v>
      </c>
      <c r="R7">
        <v>6</v>
      </c>
      <c r="S7">
        <v>10</v>
      </c>
      <c r="T7" s="11">
        <v>5</v>
      </c>
      <c r="U7" s="11">
        <v>6</v>
      </c>
      <c r="V7">
        <v>5</v>
      </c>
      <c r="W7">
        <v>5</v>
      </c>
      <c r="X7">
        <v>6</v>
      </c>
      <c r="AA7" s="60" t="s">
        <v>174</v>
      </c>
      <c r="AB7">
        <v>8</v>
      </c>
      <c r="AC7">
        <v>11</v>
      </c>
      <c r="AD7">
        <v>11</v>
      </c>
      <c r="AE7">
        <v>7</v>
      </c>
      <c r="AF7">
        <v>6</v>
      </c>
      <c r="AG7">
        <v>6</v>
      </c>
      <c r="AI7">
        <v>6</v>
      </c>
      <c r="AJ7">
        <v>5</v>
      </c>
      <c r="AK7">
        <v>6</v>
      </c>
      <c r="AM7">
        <v>24</v>
      </c>
      <c r="AN7" t="s">
        <v>76</v>
      </c>
      <c r="AP7">
        <v>8</v>
      </c>
      <c r="AQ7">
        <v>3</v>
      </c>
      <c r="AR7">
        <v>12</v>
      </c>
      <c r="AT7">
        <v>4</v>
      </c>
      <c r="AU7">
        <v>8</v>
      </c>
      <c r="AV7">
        <v>14</v>
      </c>
      <c r="AW7">
        <v>20</v>
      </c>
      <c r="AX7">
        <v>19</v>
      </c>
      <c r="AY7">
        <v>7</v>
      </c>
      <c r="AZ7">
        <v>8</v>
      </c>
      <c r="BA7">
        <v>7</v>
      </c>
      <c r="BB7">
        <v>6</v>
      </c>
      <c r="BC7">
        <v>10</v>
      </c>
      <c r="BD7">
        <v>4</v>
      </c>
      <c r="BE7">
        <v>4</v>
      </c>
      <c r="BH7">
        <v>14</v>
      </c>
      <c r="BI7">
        <v>5</v>
      </c>
      <c r="BJ7" s="42">
        <v>11</v>
      </c>
      <c r="BK7" s="42">
        <v>10</v>
      </c>
      <c r="BN7" s="60" t="s">
        <v>174</v>
      </c>
      <c r="BO7" s="16">
        <v>8</v>
      </c>
      <c r="BQ7">
        <v>15</v>
      </c>
      <c r="BR7">
        <v>7</v>
      </c>
      <c r="BS7">
        <v>8</v>
      </c>
      <c r="BT7">
        <v>9</v>
      </c>
      <c r="BU7" s="42">
        <v>15</v>
      </c>
      <c r="BV7">
        <v>16</v>
      </c>
    </row>
    <row r="8" spans="1:75" x14ac:dyDescent="0.35">
      <c r="A8">
        <v>6</v>
      </c>
      <c r="B8">
        <v>5</v>
      </c>
      <c r="C8">
        <v>12</v>
      </c>
      <c r="D8">
        <v>15</v>
      </c>
      <c r="E8" s="18">
        <v>15</v>
      </c>
      <c r="F8" s="11">
        <v>8</v>
      </c>
      <c r="G8">
        <v>5</v>
      </c>
      <c r="H8">
        <v>8</v>
      </c>
      <c r="I8">
        <v>17</v>
      </c>
      <c r="J8">
        <v>6</v>
      </c>
      <c r="K8">
        <v>10</v>
      </c>
      <c r="L8">
        <v>7</v>
      </c>
      <c r="M8">
        <v>5</v>
      </c>
      <c r="N8">
        <v>6</v>
      </c>
      <c r="O8">
        <v>6</v>
      </c>
      <c r="P8">
        <v>9</v>
      </c>
      <c r="Q8">
        <v>10</v>
      </c>
      <c r="R8">
        <v>7</v>
      </c>
      <c r="S8">
        <v>11</v>
      </c>
      <c r="T8" s="11">
        <v>7</v>
      </c>
      <c r="U8" s="11">
        <v>8</v>
      </c>
      <c r="V8">
        <v>6</v>
      </c>
      <c r="W8">
        <v>5</v>
      </c>
      <c r="X8">
        <v>7</v>
      </c>
      <c r="AA8">
        <v>34</v>
      </c>
      <c r="AB8">
        <v>7</v>
      </c>
      <c r="AC8">
        <v>9</v>
      </c>
      <c r="AD8">
        <v>12</v>
      </c>
      <c r="AE8">
        <v>11</v>
      </c>
      <c r="AF8">
        <v>7</v>
      </c>
      <c r="AG8">
        <v>7</v>
      </c>
      <c r="AI8">
        <v>7</v>
      </c>
      <c r="AJ8">
        <v>5</v>
      </c>
      <c r="AK8">
        <v>9</v>
      </c>
      <c r="AM8">
        <v>94</v>
      </c>
      <c r="AN8">
        <v>27</v>
      </c>
      <c r="AP8">
        <v>10</v>
      </c>
      <c r="AQ8">
        <v>4</v>
      </c>
      <c r="AR8">
        <v>14</v>
      </c>
      <c r="AT8">
        <v>4</v>
      </c>
      <c r="AU8">
        <v>8</v>
      </c>
      <c r="AV8">
        <v>14</v>
      </c>
      <c r="AW8">
        <v>43</v>
      </c>
      <c r="AX8">
        <v>19</v>
      </c>
      <c r="AY8">
        <v>5</v>
      </c>
      <c r="AZ8">
        <v>10</v>
      </c>
      <c r="BA8">
        <v>5</v>
      </c>
      <c r="BB8">
        <v>6</v>
      </c>
      <c r="BC8">
        <v>5</v>
      </c>
      <c r="BD8">
        <v>5</v>
      </c>
      <c r="BE8">
        <v>3</v>
      </c>
      <c r="BH8">
        <v>17</v>
      </c>
      <c r="BI8">
        <v>4</v>
      </c>
      <c r="BJ8" s="42">
        <v>17</v>
      </c>
      <c r="BK8" s="42">
        <v>12</v>
      </c>
      <c r="BO8" s="16">
        <v>11</v>
      </c>
      <c r="BQ8">
        <v>20</v>
      </c>
      <c r="BR8">
        <v>8</v>
      </c>
      <c r="BS8">
        <v>10</v>
      </c>
      <c r="BT8">
        <v>10</v>
      </c>
      <c r="BU8" s="42">
        <v>18</v>
      </c>
      <c r="BV8">
        <v>24</v>
      </c>
    </row>
    <row r="9" spans="1:75" x14ac:dyDescent="0.35">
      <c r="A9">
        <v>6</v>
      </c>
      <c r="B9">
        <v>6</v>
      </c>
      <c r="C9">
        <v>5</v>
      </c>
      <c r="D9">
        <v>5</v>
      </c>
      <c r="E9" s="18">
        <v>15</v>
      </c>
      <c r="F9" s="25">
        <v>5</v>
      </c>
      <c r="G9">
        <v>3</v>
      </c>
      <c r="H9">
        <v>9</v>
      </c>
      <c r="I9">
        <v>14</v>
      </c>
      <c r="J9">
        <v>5</v>
      </c>
      <c r="K9">
        <v>6</v>
      </c>
      <c r="L9">
        <v>6</v>
      </c>
      <c r="M9">
        <v>4</v>
      </c>
      <c r="N9">
        <v>4</v>
      </c>
      <c r="O9">
        <v>6</v>
      </c>
      <c r="P9">
        <v>7</v>
      </c>
      <c r="Q9">
        <v>9</v>
      </c>
      <c r="R9">
        <v>7</v>
      </c>
      <c r="S9">
        <v>9</v>
      </c>
      <c r="T9" s="11">
        <v>6</v>
      </c>
      <c r="U9" s="11">
        <v>9</v>
      </c>
      <c r="V9">
        <v>7</v>
      </c>
      <c r="W9">
        <v>6</v>
      </c>
      <c r="X9">
        <v>7</v>
      </c>
      <c r="AA9" s="60" t="s">
        <v>174</v>
      </c>
      <c r="AB9">
        <v>9</v>
      </c>
      <c r="AC9">
        <v>6</v>
      </c>
      <c r="AD9">
        <v>14</v>
      </c>
      <c r="AE9">
        <v>15</v>
      </c>
      <c r="AF9">
        <v>8</v>
      </c>
      <c r="AG9">
        <v>8</v>
      </c>
      <c r="AI9">
        <v>8</v>
      </c>
      <c r="AJ9">
        <v>8</v>
      </c>
      <c r="AK9">
        <v>12</v>
      </c>
      <c r="AM9">
        <v>97</v>
      </c>
      <c r="AN9">
        <v>26</v>
      </c>
      <c r="AP9">
        <v>13</v>
      </c>
      <c r="AQ9">
        <v>7</v>
      </c>
      <c r="AR9">
        <v>19</v>
      </c>
      <c r="AT9">
        <v>4</v>
      </c>
      <c r="AU9">
        <v>7</v>
      </c>
      <c r="AV9">
        <v>14</v>
      </c>
      <c r="AW9">
        <v>37</v>
      </c>
      <c r="AX9">
        <v>16</v>
      </c>
      <c r="AY9">
        <v>5</v>
      </c>
      <c r="AZ9">
        <v>4</v>
      </c>
      <c r="BA9">
        <v>4</v>
      </c>
      <c r="BB9">
        <v>10</v>
      </c>
      <c r="BC9">
        <v>4</v>
      </c>
      <c r="BD9">
        <v>5</v>
      </c>
      <c r="BE9">
        <v>5</v>
      </c>
      <c r="BH9">
        <v>20</v>
      </c>
      <c r="BI9">
        <v>3</v>
      </c>
      <c r="BJ9" s="42">
        <v>18</v>
      </c>
      <c r="BK9" s="42">
        <v>13</v>
      </c>
      <c r="BO9" s="16">
        <v>10</v>
      </c>
      <c r="BQ9">
        <v>17</v>
      </c>
      <c r="BR9">
        <v>12</v>
      </c>
      <c r="BS9">
        <v>14</v>
      </c>
      <c r="BT9">
        <v>14</v>
      </c>
      <c r="BU9" s="42">
        <v>8</v>
      </c>
      <c r="BV9">
        <v>7</v>
      </c>
    </row>
    <row r="10" spans="1:75" x14ac:dyDescent="0.35">
      <c r="A10">
        <v>4</v>
      </c>
      <c r="C10">
        <v>11</v>
      </c>
      <c r="D10">
        <v>5</v>
      </c>
      <c r="E10" s="18">
        <v>6</v>
      </c>
      <c r="F10" s="11">
        <v>8</v>
      </c>
      <c r="G10">
        <v>6</v>
      </c>
      <c r="H10">
        <v>10</v>
      </c>
      <c r="J10">
        <v>4</v>
      </c>
      <c r="K10">
        <v>4</v>
      </c>
      <c r="L10">
        <v>4</v>
      </c>
      <c r="M10">
        <v>3</v>
      </c>
      <c r="N10">
        <v>4</v>
      </c>
      <c r="O10">
        <v>7</v>
      </c>
      <c r="P10">
        <v>13</v>
      </c>
      <c r="Q10">
        <v>3</v>
      </c>
      <c r="R10">
        <v>8</v>
      </c>
      <c r="S10">
        <v>15</v>
      </c>
      <c r="T10" s="11">
        <v>3</v>
      </c>
      <c r="U10" s="11">
        <v>8</v>
      </c>
      <c r="V10">
        <v>7</v>
      </c>
      <c r="W10">
        <v>6</v>
      </c>
      <c r="X10">
        <v>6</v>
      </c>
      <c r="AA10">
        <v>16</v>
      </c>
      <c r="AB10">
        <v>12</v>
      </c>
      <c r="AC10">
        <v>5</v>
      </c>
      <c r="AD10">
        <v>12</v>
      </c>
      <c r="AE10">
        <v>20</v>
      </c>
      <c r="AF10">
        <v>9</v>
      </c>
      <c r="AG10">
        <v>10</v>
      </c>
      <c r="AI10">
        <v>9</v>
      </c>
      <c r="AJ10">
        <v>10</v>
      </c>
      <c r="AK10">
        <v>18</v>
      </c>
      <c r="AM10">
        <v>120</v>
      </c>
      <c r="AN10">
        <v>25</v>
      </c>
      <c r="AP10">
        <v>10</v>
      </c>
      <c r="AR10">
        <v>31</v>
      </c>
      <c r="AT10">
        <v>3</v>
      </c>
      <c r="AU10">
        <v>6</v>
      </c>
      <c r="AV10">
        <v>6</v>
      </c>
      <c r="AW10">
        <v>9</v>
      </c>
      <c r="AX10">
        <v>10</v>
      </c>
      <c r="AY10">
        <v>5</v>
      </c>
      <c r="AZ10">
        <v>4</v>
      </c>
      <c r="BA10">
        <v>4</v>
      </c>
      <c r="BB10">
        <v>13</v>
      </c>
      <c r="BD10">
        <v>7</v>
      </c>
      <c r="BE10">
        <v>5</v>
      </c>
      <c r="BH10">
        <v>6</v>
      </c>
      <c r="BI10">
        <v>3</v>
      </c>
      <c r="BJ10" s="42">
        <v>21</v>
      </c>
      <c r="BK10" s="42">
        <v>6</v>
      </c>
      <c r="BO10" s="16">
        <v>6</v>
      </c>
      <c r="BQ10">
        <v>8</v>
      </c>
      <c r="BR10">
        <v>15</v>
      </c>
      <c r="BS10">
        <v>24</v>
      </c>
      <c r="BT10">
        <v>29</v>
      </c>
      <c r="BU10" s="42">
        <v>7</v>
      </c>
      <c r="BV10">
        <v>6</v>
      </c>
    </row>
    <row r="11" spans="1:75" x14ac:dyDescent="0.35">
      <c r="A11">
        <v>4</v>
      </c>
      <c r="C11">
        <v>6</v>
      </c>
      <c r="D11">
        <v>7</v>
      </c>
      <c r="E11" s="18">
        <v>5</v>
      </c>
      <c r="G11">
        <v>3</v>
      </c>
      <c r="H11">
        <v>11</v>
      </c>
      <c r="K11">
        <v>3</v>
      </c>
      <c r="L11">
        <v>3</v>
      </c>
      <c r="M11">
        <v>3</v>
      </c>
      <c r="O11">
        <v>11</v>
      </c>
      <c r="P11">
        <v>9</v>
      </c>
      <c r="Q11">
        <v>3</v>
      </c>
      <c r="R11">
        <v>3</v>
      </c>
      <c r="S11">
        <v>4</v>
      </c>
      <c r="T11" s="11">
        <v>3</v>
      </c>
      <c r="U11" s="11">
        <v>3</v>
      </c>
      <c r="V11">
        <v>3</v>
      </c>
      <c r="W11">
        <v>4</v>
      </c>
      <c r="X11">
        <v>5</v>
      </c>
      <c r="AA11">
        <v>12</v>
      </c>
      <c r="AB11">
        <v>16</v>
      </c>
      <c r="AE11">
        <v>35</v>
      </c>
      <c r="AF11">
        <v>4</v>
      </c>
      <c r="AG11">
        <v>4</v>
      </c>
      <c r="AI11">
        <v>10</v>
      </c>
      <c r="AK11">
        <v>14</v>
      </c>
      <c r="AM11" s="43" t="s">
        <v>174</v>
      </c>
      <c r="AN11">
        <v>15</v>
      </c>
      <c r="AR11">
        <v>36</v>
      </c>
      <c r="AT11">
        <v>5</v>
      </c>
      <c r="AV11">
        <v>6</v>
      </c>
      <c r="AW11">
        <v>9</v>
      </c>
      <c r="AX11">
        <v>9</v>
      </c>
      <c r="AY11">
        <v>4</v>
      </c>
      <c r="AZ11">
        <v>5</v>
      </c>
      <c r="BA11">
        <v>3</v>
      </c>
      <c r="BB11">
        <v>3</v>
      </c>
      <c r="BD11">
        <v>7</v>
      </c>
      <c r="BE11">
        <v>8</v>
      </c>
      <c r="BH11">
        <v>7</v>
      </c>
      <c r="BJ11" s="42">
        <v>26</v>
      </c>
      <c r="BK11" s="42">
        <v>5</v>
      </c>
      <c r="BO11" s="16">
        <v>7</v>
      </c>
      <c r="BQ11">
        <v>6</v>
      </c>
      <c r="BR11">
        <v>20</v>
      </c>
      <c r="BS11">
        <v>32</v>
      </c>
      <c r="BT11">
        <v>43</v>
      </c>
    </row>
    <row r="12" spans="1:75" x14ac:dyDescent="0.35">
      <c r="A12">
        <v>4</v>
      </c>
      <c r="D12">
        <v>9</v>
      </c>
      <c r="H12">
        <v>11</v>
      </c>
      <c r="K12">
        <v>3</v>
      </c>
      <c r="M12">
        <v>4</v>
      </c>
      <c r="O12">
        <v>9</v>
      </c>
      <c r="P12">
        <v>3</v>
      </c>
      <c r="Q12">
        <v>3</v>
      </c>
      <c r="R12">
        <v>3</v>
      </c>
      <c r="S12">
        <v>4</v>
      </c>
      <c r="T12" s="11">
        <v>3</v>
      </c>
      <c r="U12" s="11">
        <v>3</v>
      </c>
      <c r="V12">
        <v>3</v>
      </c>
      <c r="W12">
        <v>4</v>
      </c>
      <c r="X12">
        <v>4</v>
      </c>
      <c r="AA12">
        <v>14</v>
      </c>
      <c r="AB12">
        <v>14</v>
      </c>
      <c r="AE12">
        <v>73</v>
      </c>
      <c r="AF12">
        <v>3</v>
      </c>
      <c r="AG12">
        <v>3</v>
      </c>
      <c r="AI12">
        <v>5</v>
      </c>
      <c r="AK12">
        <v>5</v>
      </c>
      <c r="AM12">
        <v>12</v>
      </c>
      <c r="AN12">
        <v>22</v>
      </c>
      <c r="AR12">
        <v>6</v>
      </c>
      <c r="AW12">
        <v>8</v>
      </c>
      <c r="AX12">
        <v>8</v>
      </c>
      <c r="AY12">
        <v>4</v>
      </c>
      <c r="AZ12">
        <v>3</v>
      </c>
      <c r="BA12">
        <v>3</v>
      </c>
      <c r="BB12">
        <v>3</v>
      </c>
      <c r="BD12">
        <v>9</v>
      </c>
      <c r="BQ12">
        <v>6</v>
      </c>
      <c r="BR12">
        <v>25</v>
      </c>
      <c r="BS12">
        <v>44</v>
      </c>
      <c r="BT12">
        <v>57</v>
      </c>
    </row>
    <row r="13" spans="1:75" x14ac:dyDescent="0.35">
      <c r="H13">
        <v>4</v>
      </c>
      <c r="O13">
        <v>5</v>
      </c>
      <c r="P13">
        <v>4</v>
      </c>
      <c r="U13" s="11">
        <v>8</v>
      </c>
      <c r="AB13">
        <v>25</v>
      </c>
      <c r="AE13">
        <v>44</v>
      </c>
      <c r="AK13">
        <v>4</v>
      </c>
      <c r="AM13">
        <v>10</v>
      </c>
      <c r="AN13">
        <v>17</v>
      </c>
      <c r="AR13">
        <v>6</v>
      </c>
      <c r="AW13">
        <v>6</v>
      </c>
      <c r="AX13">
        <v>7</v>
      </c>
      <c r="AZ13">
        <v>3</v>
      </c>
      <c r="BB13">
        <v>4</v>
      </c>
      <c r="BD13">
        <v>4</v>
      </c>
      <c r="BR13">
        <v>33</v>
      </c>
      <c r="BS13">
        <v>6</v>
      </c>
      <c r="BT13">
        <v>6</v>
      </c>
    </row>
    <row r="14" spans="1:75" x14ac:dyDescent="0.35">
      <c r="H14">
        <v>10</v>
      </c>
      <c r="O14">
        <v>4</v>
      </c>
      <c r="P14">
        <v>4</v>
      </c>
      <c r="AB14">
        <v>3</v>
      </c>
      <c r="AE14">
        <v>347.72</v>
      </c>
      <c r="AM14">
        <v>7</v>
      </c>
      <c r="AN14">
        <v>13</v>
      </c>
      <c r="AW14">
        <v>6</v>
      </c>
      <c r="AX14">
        <v>6</v>
      </c>
      <c r="BD14">
        <v>3</v>
      </c>
      <c r="BR14">
        <v>5</v>
      </c>
      <c r="BS14">
        <v>6</v>
      </c>
      <c r="BT14">
        <v>5</v>
      </c>
    </row>
    <row r="15" spans="1:75" x14ac:dyDescent="0.35">
      <c r="H15">
        <v>12</v>
      </c>
      <c r="AB15">
        <v>4</v>
      </c>
      <c r="AE15">
        <v>11</v>
      </c>
      <c r="AM15">
        <v>6</v>
      </c>
      <c r="AN15">
        <v>14</v>
      </c>
      <c r="AW15">
        <v>5</v>
      </c>
      <c r="AX15">
        <v>5</v>
      </c>
      <c r="BR15">
        <v>4</v>
      </c>
    </row>
    <row r="16" spans="1:75" x14ac:dyDescent="0.35">
      <c r="H16">
        <v>8</v>
      </c>
      <c r="AM16">
        <v>8</v>
      </c>
      <c r="AN16">
        <v>8</v>
      </c>
      <c r="AW16">
        <v>4</v>
      </c>
    </row>
    <row r="17" spans="2:75" x14ac:dyDescent="0.35">
      <c r="AM17">
        <v>10</v>
      </c>
      <c r="AN17">
        <v>9</v>
      </c>
    </row>
    <row r="18" spans="2:75" x14ac:dyDescent="0.35">
      <c r="AM18">
        <v>12</v>
      </c>
      <c r="AN18">
        <v>11</v>
      </c>
    </row>
    <row r="23" spans="2:75" x14ac:dyDescent="0.35">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W22"/>
  <sheetViews>
    <sheetView zoomScaleNormal="100" workbookViewId="0">
      <selection activeCell="A16" sqref="A16"/>
    </sheetView>
  </sheetViews>
  <sheetFormatPr defaultRowHeight="14.5" x14ac:dyDescent="0.35"/>
  <cols>
    <col min="40" max="40" width="35.6328125" customWidth="1"/>
    <col min="63" max="63" width="15" customWidth="1"/>
  </cols>
  <sheetData>
    <row r="1" spans="1:75" x14ac:dyDescent="0.35">
      <c r="A1" s="60" t="s">
        <v>524</v>
      </c>
    </row>
    <row r="3" spans="1:75" ht="87" x14ac:dyDescent="0.35">
      <c r="A3" s="1" t="str">
        <f>'Formulation Name Data'!A64&amp;"_AgedConc_T1"</f>
        <v>Avio®F3 Green KHC_AgedConc_T1</v>
      </c>
      <c r="B3" s="1" t="str">
        <f>'Formulation Name Data'!A65&amp;"_AgedConc_T1"</f>
        <v>JetFoam 3%_AgedConc_T1</v>
      </c>
      <c r="C3" s="1" t="str">
        <f>'Formulation Name Data'!A67&amp;"_T1"</f>
        <v>FomtecEnviroUSP 3%_T1</v>
      </c>
      <c r="D3" s="1" t="str">
        <f>'Formulation Name Data'!A66&amp;"_T1"</f>
        <v>Solberg® Rehealing RF3 3%_T1</v>
      </c>
      <c r="E3" s="1" t="str">
        <f>'Formulation Name Data'!A109&amp;"_T1"</f>
        <v>G225_DGBE_0.3_0.5_T1</v>
      </c>
      <c r="F3" s="1" t="str">
        <f>'Formulation Name Data'!A98&amp;"_T1"</f>
        <v>ComSor1830503_T1</v>
      </c>
      <c r="G3" s="1" t="str">
        <f>'Formulation Name Data'!A99&amp;"_T1"</f>
        <v>ComSor_26990-95B_T1</v>
      </c>
      <c r="H3" s="1" t="str">
        <f>'Formulation Name Data'!A100&amp;"_T1"</f>
        <v>ComSor_26990-95C_T1</v>
      </c>
      <c r="I3" s="1" t="str">
        <f>'Formulation Name Data'!A101&amp;"_T1"</f>
        <v>ComSor_26990-95D_T1</v>
      </c>
      <c r="J3" s="1" t="str">
        <f>'Formulation Name Data'!A57&amp;"_T1"</f>
        <v>ComSor_EXP-20-C10628-A_T1</v>
      </c>
      <c r="K3" s="1" t="str">
        <f>'Formulation Name Data'!A58&amp;"_T1"</f>
        <v>ComSor_EXP-20-C10628-B_T1</v>
      </c>
      <c r="L3" s="1" t="str">
        <f>'Formulation Name Data'!A59&amp;"_T1"</f>
        <v>ComSor_EXP-20-C10628-C_T1</v>
      </c>
      <c r="M3" s="1" t="str">
        <f>'Formulation Name Data'!A60&amp;"_T1"</f>
        <v>ComSor_EXP-20-C10628-D_T1</v>
      </c>
      <c r="N3" s="1" t="str">
        <f>'Formulation Name Data'!A61&amp;"_T1"</f>
        <v>ComSor_EXP-20-C10628-E_T1</v>
      </c>
      <c r="O3" s="12" t="str">
        <f>'Formulation Name Data'!A140&amp;"_T1"</f>
        <v>ComSor_EXP-20-CH1024-A_T1</v>
      </c>
      <c r="P3" s="1" t="str">
        <f>'Formulation Name Data'!A141&amp;"_T1"</f>
        <v>ComSor_EXP-20-CH1024-B_T1</v>
      </c>
      <c r="Q3" s="1" t="str">
        <f>'Formulation Name Data'!A142&amp;"_T1"</f>
        <v>ComSor_EXP-20-CH1024-C_T1</v>
      </c>
      <c r="R3" s="1" t="str">
        <f>'Formulation Name Data'!A143&amp;"_T1"</f>
        <v>ComSor_EXP-20-CH1024-D_T1</v>
      </c>
      <c r="S3" s="1" t="str">
        <f>'Formulation Name Data'!A144&amp;"_T1"</f>
        <v>ComSor_EXP-20-CH1024-E_T1</v>
      </c>
      <c r="T3" s="1" t="str">
        <f>'Formulation Name Data'!A145&amp;"_T1"</f>
        <v>ComSor_EXP-20-CH1024-F_T1</v>
      </c>
      <c r="U3" s="1" t="str">
        <f>'Formulation Name Data'!A146&amp;"_T1"</f>
        <v>ComSor_EXP-20-CH1024-G_T1</v>
      </c>
      <c r="V3" s="1" t="str">
        <f>'Formulation Name Data'!A147&amp;"_T1"</f>
        <v>ComSor_EXP-20-CH1024-H_T1</v>
      </c>
      <c r="W3" s="1" t="str">
        <f>'Formulation Name Data'!A117&amp;"_T1"</f>
        <v>ComSor_EXP-21-CH1035-A_T1</v>
      </c>
      <c r="X3" s="1" t="str">
        <f>'Formulation Name Data'!A150&amp;"_T1"</f>
        <v>ComSor_EXP-21-CH1035-A-Saltwater_T1</v>
      </c>
      <c r="Y3" s="1" t="str">
        <f>'Formulation Name Data'!A110&amp;"_T1"</f>
        <v>ComSor_EXP-21-CH1035-B_T1</v>
      </c>
      <c r="Z3" s="1" t="str">
        <f>'Formulation Name Data'!A118&amp;"_T1"</f>
        <v>ComSor_EXP-21-CH1035-C_T1</v>
      </c>
      <c r="AA3" s="1" t="str">
        <f>'Formulation Name Data'!A148&amp;"_T1"</f>
        <v>ComSor_EXP-21-CM7837-5_T1</v>
      </c>
      <c r="AB3" s="1" t="str">
        <f>'Formulation Name Data'!A149&amp;"_T1"</f>
        <v>ComSor_EXP-21-CM7837-4_T1</v>
      </c>
      <c r="AC3" s="1" t="str">
        <f>'Formulation Name Data'!A151&amp;"_T1"</f>
        <v>ComSor_EXP-21-CH1042-1-Saltwater_T1</v>
      </c>
      <c r="AD3" s="1" t="str">
        <f>'Formulation Name Data'!A37&amp;"_T1"</f>
        <v>D502W_G225_DGBE_0.2_0.3_0.5_T1</v>
      </c>
      <c r="AE3" s="1" t="str">
        <f>'Formulation Name Data'!A8&amp;"_T1"</f>
        <v>Cap_G215_DGBE_0.3_0.2_0.5_T1</v>
      </c>
      <c r="AF3" t="str">
        <f>'Formulation Name Data'!A156&amp;"_T1"</f>
        <v>NRL_N10477-189_G225_DGBE_0.05_0.3_0.5_T1</v>
      </c>
      <c r="AG3" t="str">
        <f>'Formulation Name Data'!A155&amp;"_T1"</f>
        <v>NRL_N10478-198_G225_DGBE_0.065_0.3_0.5_T1</v>
      </c>
      <c r="AH3" t="str">
        <f>'Formulation Name Data'!A157&amp;"_T1"</f>
        <v>NRL_N10478-81_G225_DGBE_0.116_0.3_0.5_T1</v>
      </c>
      <c r="AI3" t="str">
        <f>'Formulation Name Data'!A138&amp;"_T1"</f>
        <v>CL_MD2086-97_G225_DGBE_0.34_0.56_0.5_T1</v>
      </c>
      <c r="AJ3" t="str">
        <f>'Formulation Name Data'!A154&amp;"_T1"</f>
        <v>CL_MD2012-16_G225_DGBE_0.52_0.78_0.5_T1</v>
      </c>
      <c r="AK3" t="str">
        <f>'Formulation Name Data'!A158&amp;"_T1"</f>
        <v>CL_MD2102-54_G225_DGBE_0.2_0.3_0.5_T1</v>
      </c>
      <c r="AL3" t="str">
        <f>'Formulation Name Data'!A159&amp;"_T1"</f>
        <v>CL_MD2062-148_G225_DGBE_0.043_0.3_0.5_T1</v>
      </c>
      <c r="AM3" t="str">
        <f>'Formulation Name Data'!A8&amp;"_T1"</f>
        <v>Cap_G215_DGBE_0.3_0.2_0.5_T1</v>
      </c>
      <c r="AN3" t="str">
        <f>'Formulation Name Data'!A37&amp;"_T2"</f>
        <v>D502W_G225_DGBE_0.2_0.3_0.5_T2</v>
      </c>
      <c r="AO3" t="str">
        <f>'Formulation Name Data'!A163&amp;"_T1"</f>
        <v>D502W_G225_SDS_DGBE_0.2_0.3_0.2_0.5_T1</v>
      </c>
      <c r="AP3" t="str">
        <f>'Formulation Name Data'!A164&amp;"_T1"</f>
        <v>D502W_G225_SDS_DGBE_0.2_0.3_0.02_0.5_T1</v>
      </c>
      <c r="AQ3" t="str">
        <f>'Formulation Name Data'!A165&amp;"_T1"</f>
        <v>NRL_N10478-40_G225_DGBE_0.2_0.3_0.5_T1</v>
      </c>
      <c r="AR3" t="str">
        <f>'Formulation Name Data'!A166&amp;"_T1"</f>
        <v>ComSor_EXP-22-CH1050_T1</v>
      </c>
      <c r="AS3" t="str">
        <f>'Formulation Name Data'!A166&amp;"_T2"</f>
        <v>ComSor_EXP-22-CH1050_T2</v>
      </c>
      <c r="AT3" t="str">
        <f>'Formulation Name Data'!A167&amp;"_T1"</f>
        <v>Ecoguard CF3F_T1</v>
      </c>
      <c r="AU3" t="str">
        <f>'Formulation Name Data'!A67&amp;"_T1"</f>
        <v>FomtecEnviroUSP 3%_T1</v>
      </c>
      <c r="AV3" t="str">
        <f>'Formulation Name Data'!A37&amp;"_T3"</f>
        <v>D502W_G225_DGBE_0.2_0.3_0.5_T3</v>
      </c>
      <c r="AW3" t="str">
        <f>'Formulation Name Data'!A10&amp;"_T1"</f>
        <v>Buckeye 3%_3_T1</v>
      </c>
      <c r="AX3" t="str">
        <f>'Formulation Name Data'!A169&amp;"_T1"</f>
        <v>Universal®F3 Green_3_T1</v>
      </c>
      <c r="AY3" t="str">
        <f>'Formulation Name Data'!A174&amp;"_T1"</f>
        <v>ComSor_EXP-20-CIO632-A3_T1</v>
      </c>
      <c r="AZ3" s="1" t="str">
        <f>'Formulation Name Data'!A175&amp;"_T1"</f>
        <v>ComSor_EXP-20-CIO632-B3_T1</v>
      </c>
      <c r="BA3" t="str">
        <f>'Formulation Name Data'!A176&amp;"_T1"</f>
        <v>ComSor_EXP-20-CIO632-C3_T1</v>
      </c>
      <c r="BB3" t="str">
        <f>'Formulation Name Data'!A178&amp;"_T1"</f>
        <v>CL_MD2062-121_G225_DGBE_0.1_0.3_0.5_T1</v>
      </c>
      <c r="BC3" t="str">
        <f>'Formulation Name Data'!A177&amp;"_T1"</f>
        <v>CL_MD2062-57_G225_DGBE_0.2_0.3_0.5_T1</v>
      </c>
      <c r="BD3" t="str">
        <f>'Formulation Name Data'!A179&amp;"_T1"</f>
        <v>CL_MD2062-124_G225_DGBE_0.065_0.3_0.5_T1</v>
      </c>
      <c r="BE3" t="str">
        <f>'Formulation Name Data'!A180&amp;"_T1"</f>
        <v>CL_MD2062-124_G225_DGBE_0.05_0.3_0.5_T1</v>
      </c>
      <c r="BF3" t="str">
        <f>'Formulation Name Data'!A39&amp;"_T1"</f>
        <v>NRL_N10358-176_G225_DGBE_0.2_0.3_0.5_T1</v>
      </c>
      <c r="BG3" t="str">
        <f>'Formulation Name Data'!A92&amp;"_T1"</f>
        <v>NRL_N10477-09_G225_DGBE_0.2_0.3_0.5_T1</v>
      </c>
      <c r="BH3" t="str">
        <f>'Formulation Name Data'!A37&amp;"_T4"</f>
        <v>D502W_G225_DGBE_0.2_0.3_0.5_T4</v>
      </c>
      <c r="BI3" t="str">
        <f>'Formulation Name Data'!A181&amp;"_T1"</f>
        <v>Collab_26990-95C_G225_5_0.3_T1</v>
      </c>
      <c r="BJ3" t="str">
        <f>'Formulation Name Data'!A37&amp;"_T5"</f>
        <v>D502W_G225_DGBE_0.2_0.3_0.5_T5</v>
      </c>
      <c r="BK3" t="str">
        <f>'Formulation Name Data'!A183&amp;"_T1"</f>
        <v>NRL_CB_DTBTS_SB_G225_DGBE_0.02_0.3_0.5_T1</v>
      </c>
      <c r="BL3" t="str">
        <f>'Formulation Name Data'!A184&amp;"_T1"</f>
        <v>NRL_CB-1-123_G225_DGBE_0.2_0.3_0.5_T1</v>
      </c>
      <c r="BM3" s="1" t="str">
        <f>'Formulation Name Data'!A185&amp;"_T1"</f>
        <v>NRL_N10478-227_G225_DGBE_0.063_0.3_0.5_T1</v>
      </c>
      <c r="BN3" s="1" t="str">
        <f>'Formulation Name Data'!A186&amp;"_T1"</f>
        <v>NRL_N10478-233_G225_DGBE_0.03_0.3_0.5_T1</v>
      </c>
      <c r="BO3" s="1" t="str">
        <f>'Formulation Name Data'!A187&amp;"_T1"</f>
        <v>NRL_N10478-240_G225_DGBE_#_0.3_0.5_T1</v>
      </c>
      <c r="BP3" s="1" t="str">
        <f>'Formulation Name Data'!A188&amp;"_T1"</f>
        <v>CL_MD2102-90_G225_DGBE_0.2_0.3_0.5_T1</v>
      </c>
      <c r="BQ3" s="1" t="str">
        <f>'Formulation Name Data'!A189&amp;"_T1"</f>
        <v>CL_MD2102-112_G225_DGBE_0.05_0.3_0.5_T1</v>
      </c>
      <c r="BR3" s="1" t="str">
        <f>'Formulation Name Data'!A191&amp;"_T1"</f>
        <v>ComSor_EXP-21-CH1070-1_3_T1</v>
      </c>
      <c r="BS3" s="1" t="str">
        <f>'Formulation Name Data'!A192&amp;"_T1"</f>
        <v>ComSor_EXP-21-CH1070-2_3_T1</v>
      </c>
      <c r="BT3" s="1" t="str">
        <f>'Formulation Name Data'!A193&amp;"_T1"</f>
        <v>ComSor_EXP-21-CH1070-4_1_T1</v>
      </c>
      <c r="BU3" s="1" t="str">
        <f>'Formulation Name Data'!A37&amp;"_T7"</f>
        <v>D502W_G225_DGBE_0.2_0.3_0.5_T7</v>
      </c>
      <c r="BV3" s="1" t="str">
        <f>'Formulation Name Data'!A190&amp;"_T1"</f>
        <v>CL_MD2102-118_G225_DGBE_0.2_0.3_0.5_T1</v>
      </c>
      <c r="BW3" s="1" t="str">
        <f>'Formulation Name Data'!A197&amp;"_T1"</f>
        <v>NRL_CB-1-192_G225_DGBE_0.14_0.21_0.5_T1</v>
      </c>
    </row>
    <row r="4" spans="1:75" x14ac:dyDescent="0.35">
      <c r="A4">
        <v>43.69</v>
      </c>
      <c r="B4">
        <v>46.97</v>
      </c>
      <c r="C4">
        <v>36.840000000000003</v>
      </c>
      <c r="D4">
        <v>30.41</v>
      </c>
      <c r="E4" s="11">
        <v>46.28</v>
      </c>
      <c r="F4" s="11">
        <v>45</v>
      </c>
      <c r="G4" s="11">
        <v>37.130000000000003</v>
      </c>
      <c r="H4">
        <v>34.130000000000003</v>
      </c>
      <c r="I4">
        <v>53.72</v>
      </c>
      <c r="J4">
        <v>44.34</v>
      </c>
      <c r="K4" s="11">
        <v>27.37</v>
      </c>
      <c r="L4">
        <v>38.81</v>
      </c>
      <c r="M4">
        <v>93.35</v>
      </c>
      <c r="N4" s="11">
        <v>78.680000000000007</v>
      </c>
      <c r="O4">
        <v>55.03</v>
      </c>
      <c r="P4">
        <v>39.53</v>
      </c>
      <c r="Q4">
        <v>46.75</v>
      </c>
      <c r="R4">
        <v>40.22</v>
      </c>
      <c r="S4">
        <v>42.56</v>
      </c>
      <c r="T4">
        <v>82.66</v>
      </c>
      <c r="U4">
        <v>38.94</v>
      </c>
      <c r="V4">
        <v>58.63</v>
      </c>
      <c r="W4">
        <v>42.1</v>
      </c>
      <c r="X4">
        <v>50.94</v>
      </c>
      <c r="Y4" s="11">
        <v>129.18</v>
      </c>
      <c r="Z4" s="18" t="s">
        <v>175</v>
      </c>
      <c r="AA4">
        <v>47.78</v>
      </c>
      <c r="AB4">
        <v>26.79</v>
      </c>
      <c r="AC4">
        <v>49.38</v>
      </c>
      <c r="AD4">
        <v>67.56</v>
      </c>
      <c r="AE4">
        <v>17.66</v>
      </c>
      <c r="AF4">
        <v>42.6</v>
      </c>
      <c r="AG4">
        <v>44.75</v>
      </c>
      <c r="AH4">
        <v>356.16</v>
      </c>
      <c r="AI4">
        <v>95</v>
      </c>
      <c r="AJ4">
        <v>186.87</v>
      </c>
      <c r="AK4">
        <v>32.81</v>
      </c>
      <c r="AL4" s="18" t="s">
        <v>175</v>
      </c>
      <c r="AM4">
        <v>36.57</v>
      </c>
      <c r="AN4" s="18" t="s">
        <v>175</v>
      </c>
      <c r="AO4" s="18" t="s">
        <v>175</v>
      </c>
      <c r="AP4">
        <v>46.44</v>
      </c>
      <c r="AQ4">
        <v>45.22</v>
      </c>
      <c r="AR4">
        <v>36.659999999999997</v>
      </c>
      <c r="AS4">
        <v>42.15</v>
      </c>
      <c r="AT4">
        <v>134.75</v>
      </c>
      <c r="AU4" t="s">
        <v>175</v>
      </c>
      <c r="AV4">
        <v>48.91</v>
      </c>
      <c r="AW4">
        <v>30.06</v>
      </c>
      <c r="AX4">
        <v>56.96</v>
      </c>
      <c r="AY4">
        <v>94.4</v>
      </c>
      <c r="AZ4">
        <v>93.9</v>
      </c>
      <c r="BA4">
        <v>103.5</v>
      </c>
      <c r="BB4">
        <v>42.62</v>
      </c>
      <c r="BC4">
        <v>61.69</v>
      </c>
      <c r="BD4">
        <v>29.38</v>
      </c>
      <c r="BE4">
        <v>29.09</v>
      </c>
      <c r="BF4" t="s">
        <v>175</v>
      </c>
      <c r="BG4" s="60" t="s">
        <v>175</v>
      </c>
      <c r="BH4">
        <v>67.87</v>
      </c>
      <c r="BI4">
        <v>143.97</v>
      </c>
      <c r="BJ4" s="42">
        <v>26.59</v>
      </c>
      <c r="BK4" s="42">
        <v>45.71</v>
      </c>
      <c r="BL4" s="60" t="s">
        <v>175</v>
      </c>
      <c r="BM4" s="60" t="s">
        <v>175</v>
      </c>
      <c r="BN4" s="60" t="s">
        <v>175</v>
      </c>
      <c r="BO4">
        <v>64.25</v>
      </c>
      <c r="BP4" s="42">
        <f>60*2+12.82</f>
        <v>132.82</v>
      </c>
      <c r="BQ4">
        <v>29.91</v>
      </c>
      <c r="BR4" s="42">
        <v>30.65</v>
      </c>
      <c r="BS4" s="42">
        <v>21.88</v>
      </c>
      <c r="BT4" s="42">
        <v>33.369999999999997</v>
      </c>
      <c r="BU4" s="42">
        <v>46.16</v>
      </c>
      <c r="BV4">
        <v>36</v>
      </c>
      <c r="BW4">
        <v>189.19</v>
      </c>
    </row>
    <row r="5" spans="1:75" x14ac:dyDescent="0.35">
      <c r="A5">
        <v>68.19</v>
      </c>
      <c r="B5">
        <v>70.37</v>
      </c>
      <c r="C5">
        <v>47.66</v>
      </c>
      <c r="D5">
        <v>44.54</v>
      </c>
      <c r="E5" s="18">
        <v>65.56</v>
      </c>
      <c r="F5" s="11">
        <v>142.16</v>
      </c>
      <c r="G5" s="18">
        <v>229.94</v>
      </c>
      <c r="H5">
        <v>25.65</v>
      </c>
      <c r="I5">
        <v>128.31</v>
      </c>
      <c r="J5">
        <v>31.29</v>
      </c>
      <c r="K5" s="18">
        <v>48.03</v>
      </c>
      <c r="L5">
        <v>38.81</v>
      </c>
      <c r="M5">
        <v>54.19</v>
      </c>
      <c r="N5" s="18">
        <v>116.19</v>
      </c>
      <c r="O5">
        <v>43</v>
      </c>
      <c r="P5">
        <v>43.22</v>
      </c>
      <c r="Q5">
        <v>60.97</v>
      </c>
      <c r="R5">
        <v>43.28</v>
      </c>
      <c r="S5">
        <v>41.53</v>
      </c>
      <c r="T5">
        <v>83.28</v>
      </c>
      <c r="U5">
        <v>48.87</v>
      </c>
      <c r="V5">
        <v>62.21</v>
      </c>
      <c r="W5">
        <v>49.78</v>
      </c>
      <c r="X5">
        <v>57.19</v>
      </c>
      <c r="Y5" s="18">
        <v>79.22</v>
      </c>
      <c r="Z5">
        <v>171.66</v>
      </c>
      <c r="AA5">
        <v>53.5</v>
      </c>
      <c r="AB5">
        <v>30</v>
      </c>
      <c r="AC5">
        <v>61.71</v>
      </c>
      <c r="AD5">
        <v>68.430000000000007</v>
      </c>
      <c r="AE5">
        <v>21.97</v>
      </c>
      <c r="AF5">
        <v>43.03</v>
      </c>
      <c r="AG5">
        <v>38.5</v>
      </c>
      <c r="AH5">
        <v>318.75</v>
      </c>
      <c r="AI5">
        <v>42.44</v>
      </c>
      <c r="AJ5">
        <v>188.62</v>
      </c>
      <c r="AK5">
        <v>37.659999999999997</v>
      </c>
      <c r="AL5" s="18" t="s">
        <v>175</v>
      </c>
      <c r="AM5">
        <v>36.590000000000003</v>
      </c>
      <c r="AN5" s="18" t="s">
        <v>175</v>
      </c>
      <c r="AO5" s="18" t="s">
        <v>175</v>
      </c>
      <c r="AP5">
        <v>61.09</v>
      </c>
      <c r="AQ5">
        <v>60.57</v>
      </c>
      <c r="AR5">
        <v>40.94</v>
      </c>
      <c r="AS5">
        <v>45.78</v>
      </c>
      <c r="AT5">
        <v>279.58999999999997</v>
      </c>
      <c r="AU5">
        <v>83.66</v>
      </c>
      <c r="AV5">
        <v>54.5</v>
      </c>
      <c r="AW5">
        <v>22</v>
      </c>
      <c r="AX5">
        <v>64.599999999999994</v>
      </c>
      <c r="AY5">
        <v>142.47</v>
      </c>
      <c r="AZ5">
        <v>126.72</v>
      </c>
      <c r="BA5">
        <v>140.46</v>
      </c>
      <c r="BB5">
        <v>36.31</v>
      </c>
      <c r="BC5">
        <v>95.12</v>
      </c>
      <c r="BD5">
        <v>45.93</v>
      </c>
      <c r="BE5">
        <v>85.09</v>
      </c>
      <c r="BG5" s="60" t="s">
        <v>175</v>
      </c>
      <c r="BH5">
        <v>79.25</v>
      </c>
      <c r="BI5">
        <v>341.5</v>
      </c>
      <c r="BJ5" s="42">
        <v>38.1</v>
      </c>
      <c r="BK5" s="42">
        <v>36.04</v>
      </c>
      <c r="BL5" s="60" t="s">
        <v>175</v>
      </c>
      <c r="BM5" s="60" t="s">
        <v>175</v>
      </c>
      <c r="BN5" s="60" t="s">
        <v>175</v>
      </c>
      <c r="BO5">
        <v>71.97</v>
      </c>
      <c r="BP5" s="16">
        <f>60*2+17.19</f>
        <v>137.19</v>
      </c>
      <c r="BQ5">
        <v>48.66</v>
      </c>
      <c r="BR5" s="16">
        <v>28.97</v>
      </c>
      <c r="BS5" s="16">
        <v>26.9</v>
      </c>
      <c r="BT5" s="16">
        <v>37.03</v>
      </c>
      <c r="BU5" s="42">
        <v>55.53</v>
      </c>
      <c r="BV5">
        <v>42.59</v>
      </c>
      <c r="BW5">
        <v>118.25</v>
      </c>
    </row>
    <row r="6" spans="1:75" x14ac:dyDescent="0.35">
      <c r="A6">
        <v>94.72</v>
      </c>
      <c r="B6">
        <v>266.87</v>
      </c>
      <c r="C6">
        <v>128.37</v>
      </c>
      <c r="D6">
        <v>75.53</v>
      </c>
      <c r="E6" s="18">
        <v>92.63</v>
      </c>
      <c r="F6" s="11">
        <v>52.28</v>
      </c>
      <c r="G6" s="18">
        <v>26.28</v>
      </c>
      <c r="H6">
        <v>43.38</v>
      </c>
      <c r="I6">
        <v>65.78</v>
      </c>
      <c r="J6">
        <v>62.53</v>
      </c>
      <c r="K6" s="18">
        <v>171.5</v>
      </c>
      <c r="L6">
        <v>64.25</v>
      </c>
      <c r="M6">
        <v>123.44</v>
      </c>
      <c r="N6" s="18">
        <v>263.32</v>
      </c>
      <c r="O6">
        <v>55.56</v>
      </c>
      <c r="P6">
        <v>50.81</v>
      </c>
      <c r="Q6">
        <v>78.44</v>
      </c>
      <c r="R6">
        <v>67.400000000000006</v>
      </c>
      <c r="S6">
        <v>48.22</v>
      </c>
      <c r="T6">
        <v>105.94</v>
      </c>
      <c r="U6">
        <v>68.94</v>
      </c>
      <c r="V6">
        <v>91.22</v>
      </c>
      <c r="W6">
        <v>75.349999999999994</v>
      </c>
      <c r="X6">
        <v>74.5</v>
      </c>
      <c r="Y6" s="18">
        <v>338.41</v>
      </c>
      <c r="AA6">
        <v>79.12</v>
      </c>
      <c r="AB6">
        <v>42</v>
      </c>
      <c r="AC6">
        <v>140.75</v>
      </c>
      <c r="AD6">
        <v>60.37</v>
      </c>
      <c r="AE6">
        <v>14.66</v>
      </c>
      <c r="AF6">
        <v>62.85</v>
      </c>
      <c r="AG6">
        <v>64.69</v>
      </c>
      <c r="AI6">
        <v>41.32</v>
      </c>
      <c r="AJ6">
        <v>52.88</v>
      </c>
      <c r="AK6">
        <v>39.03</v>
      </c>
      <c r="AL6">
        <v>142</v>
      </c>
      <c r="AM6">
        <v>72.47</v>
      </c>
      <c r="AN6">
        <v>117.31</v>
      </c>
      <c r="AO6" s="18" t="s">
        <v>175</v>
      </c>
      <c r="AP6">
        <v>68.81</v>
      </c>
      <c r="AQ6">
        <v>207.75</v>
      </c>
      <c r="AR6">
        <v>51.31</v>
      </c>
      <c r="AS6">
        <v>42.37</v>
      </c>
      <c r="AT6">
        <v>116.79</v>
      </c>
      <c r="AU6">
        <v>170.31</v>
      </c>
      <c r="AV6">
        <v>74.72</v>
      </c>
      <c r="AW6">
        <v>27.18</v>
      </c>
      <c r="AX6">
        <v>92.57</v>
      </c>
      <c r="AY6">
        <v>202</v>
      </c>
      <c r="AZ6">
        <v>149.82</v>
      </c>
      <c r="BA6">
        <v>333.4</v>
      </c>
      <c r="BB6">
        <v>43.84</v>
      </c>
      <c r="BC6">
        <v>187.5</v>
      </c>
      <c r="BD6">
        <v>86</v>
      </c>
      <c r="BE6">
        <v>313.43</v>
      </c>
      <c r="BH6">
        <v>93.69</v>
      </c>
      <c r="BI6">
        <v>52.69</v>
      </c>
      <c r="BJ6" s="42">
        <v>40.159999999999997</v>
      </c>
      <c r="BK6" s="42">
        <v>63.28</v>
      </c>
      <c r="BM6" s="60" t="s">
        <v>175</v>
      </c>
      <c r="BN6" s="60" t="s">
        <v>175</v>
      </c>
      <c r="BO6">
        <v>207.68</v>
      </c>
      <c r="BP6" s="16">
        <f>60+51.25</f>
        <v>111.25</v>
      </c>
      <c r="BQ6">
        <v>76.56</v>
      </c>
      <c r="BR6" s="16">
        <v>21.65</v>
      </c>
      <c r="BS6" s="16">
        <v>33.28</v>
      </c>
      <c r="BT6" s="16">
        <v>42.53</v>
      </c>
      <c r="BU6" s="42">
        <v>73.62</v>
      </c>
      <c r="BV6">
        <v>53.81</v>
      </c>
      <c r="BW6">
        <v>107.78</v>
      </c>
    </row>
    <row r="7" spans="1:75" x14ac:dyDescent="0.35">
      <c r="A7">
        <v>192.68</v>
      </c>
      <c r="B7">
        <v>32.47</v>
      </c>
      <c r="C7">
        <v>66.94</v>
      </c>
      <c r="D7">
        <v>125.35</v>
      </c>
      <c r="E7" s="18">
        <v>177.53</v>
      </c>
      <c r="F7" s="11">
        <v>18.72</v>
      </c>
      <c r="G7" s="11">
        <v>43.68</v>
      </c>
      <c r="H7">
        <v>67.56</v>
      </c>
      <c r="I7">
        <v>112.07</v>
      </c>
      <c r="J7">
        <v>215.59</v>
      </c>
      <c r="K7" s="11">
        <v>461.04</v>
      </c>
      <c r="L7">
        <v>194.75</v>
      </c>
      <c r="M7">
        <v>321.33999999999997</v>
      </c>
      <c r="N7" s="11">
        <v>118.47</v>
      </c>
      <c r="O7">
        <v>95.5</v>
      </c>
      <c r="P7">
        <v>67.819999999999993</v>
      </c>
      <c r="Q7">
        <v>139.44</v>
      </c>
      <c r="R7">
        <v>129.94</v>
      </c>
      <c r="S7">
        <v>89.44</v>
      </c>
      <c r="T7">
        <v>146.09</v>
      </c>
      <c r="U7">
        <v>92</v>
      </c>
      <c r="V7">
        <v>105.34</v>
      </c>
      <c r="W7">
        <v>176.63</v>
      </c>
      <c r="X7">
        <v>118.37</v>
      </c>
      <c r="AA7" s="18" t="s">
        <v>175</v>
      </c>
      <c r="AB7">
        <v>57</v>
      </c>
      <c r="AC7">
        <v>573.1</v>
      </c>
      <c r="AD7">
        <v>98.56</v>
      </c>
      <c r="AE7">
        <v>21.75</v>
      </c>
      <c r="AF7">
        <v>119.91</v>
      </c>
      <c r="AG7">
        <v>64.78</v>
      </c>
      <c r="AI7">
        <v>55.06</v>
      </c>
      <c r="AJ7">
        <v>51.94</v>
      </c>
      <c r="AK7">
        <v>59.47</v>
      </c>
      <c r="AM7">
        <v>66.91</v>
      </c>
      <c r="AN7">
        <v>91.16</v>
      </c>
      <c r="AP7">
        <v>90.25</v>
      </c>
      <c r="AQ7">
        <v>42.31</v>
      </c>
      <c r="AR7">
        <v>57.94</v>
      </c>
      <c r="AT7">
        <v>103.56</v>
      </c>
      <c r="AU7">
        <v>50.12</v>
      </c>
      <c r="AV7">
        <v>114.53</v>
      </c>
      <c r="AW7">
        <v>51.5</v>
      </c>
      <c r="AX7" t="s">
        <v>175</v>
      </c>
      <c r="AY7">
        <v>430.87</v>
      </c>
      <c r="AZ7">
        <v>211.31</v>
      </c>
      <c r="BA7">
        <v>221.78</v>
      </c>
      <c r="BB7">
        <v>57.85</v>
      </c>
      <c r="BC7">
        <v>280.08999999999997</v>
      </c>
      <c r="BD7">
        <v>33.75</v>
      </c>
      <c r="BE7">
        <v>24.97</v>
      </c>
      <c r="BH7">
        <v>154.88</v>
      </c>
      <c r="BI7">
        <v>37.78</v>
      </c>
      <c r="BJ7" s="42">
        <v>51.31</v>
      </c>
      <c r="BK7" s="42">
        <v>90.97</v>
      </c>
      <c r="BN7" s="60" t="s">
        <v>175</v>
      </c>
      <c r="BO7">
        <v>108.28999999999999</v>
      </c>
      <c r="BQ7">
        <v>112.69</v>
      </c>
      <c r="BR7" s="42">
        <v>54.19</v>
      </c>
      <c r="BS7" s="42">
        <v>42.94</v>
      </c>
      <c r="BT7" s="42">
        <v>58.62</v>
      </c>
      <c r="BU7" s="42">
        <f>60*2+13.78</f>
        <v>133.78</v>
      </c>
      <c r="BV7">
        <v>119.16</v>
      </c>
    </row>
    <row r="8" spans="1:75" x14ac:dyDescent="0.35">
      <c r="A8">
        <v>408.78</v>
      </c>
      <c r="B8">
        <v>153.9</v>
      </c>
      <c r="C8">
        <v>160.38</v>
      </c>
      <c r="D8">
        <v>188.32</v>
      </c>
      <c r="E8" s="18" t="s">
        <v>175</v>
      </c>
      <c r="F8" s="11">
        <v>98.94</v>
      </c>
      <c r="G8" s="11">
        <v>84.66</v>
      </c>
      <c r="H8">
        <v>104.13</v>
      </c>
      <c r="I8" s="18" t="s">
        <v>175</v>
      </c>
      <c r="J8">
        <v>331.53</v>
      </c>
      <c r="K8" s="11">
        <v>338.46</v>
      </c>
      <c r="L8">
        <v>331.53</v>
      </c>
      <c r="M8">
        <v>89.88</v>
      </c>
      <c r="N8" s="11">
        <v>73.78</v>
      </c>
      <c r="O8">
        <v>123.4</v>
      </c>
      <c r="P8">
        <v>131.5</v>
      </c>
      <c r="Q8">
        <v>238.28</v>
      </c>
      <c r="R8">
        <v>133.69</v>
      </c>
      <c r="S8">
        <v>109.06</v>
      </c>
      <c r="T8">
        <v>345.75</v>
      </c>
      <c r="U8">
        <v>224.5</v>
      </c>
      <c r="V8">
        <v>133.31</v>
      </c>
      <c r="W8">
        <v>171.53</v>
      </c>
      <c r="X8">
        <v>322.56</v>
      </c>
      <c r="AA8">
        <v>104.13</v>
      </c>
      <c r="AB8">
        <v>65.91</v>
      </c>
      <c r="AC8">
        <v>281.75</v>
      </c>
      <c r="AD8">
        <v>125.87</v>
      </c>
      <c r="AE8">
        <v>22.32</v>
      </c>
      <c r="AF8">
        <v>231.49</v>
      </c>
      <c r="AG8">
        <v>91.66</v>
      </c>
      <c r="AI8">
        <v>72.22</v>
      </c>
      <c r="AJ8">
        <v>129.88</v>
      </c>
      <c r="AK8">
        <v>80.78</v>
      </c>
      <c r="AM8">
        <v>150.63</v>
      </c>
      <c r="AN8">
        <v>115.29</v>
      </c>
      <c r="AP8">
        <v>119.68</v>
      </c>
      <c r="AQ8">
        <v>42.78</v>
      </c>
      <c r="AR8">
        <v>78.38</v>
      </c>
      <c r="AT8">
        <v>66.12</v>
      </c>
      <c r="AU8">
        <v>38.69</v>
      </c>
      <c r="AV8">
        <v>238.59</v>
      </c>
      <c r="AW8">
        <v>216</v>
      </c>
      <c r="AX8" t="s">
        <v>175</v>
      </c>
      <c r="AY8">
        <v>83.06</v>
      </c>
      <c r="AZ8">
        <v>285.04000000000002</v>
      </c>
      <c r="BA8">
        <v>62.78</v>
      </c>
      <c r="BB8">
        <v>137.43</v>
      </c>
      <c r="BC8">
        <v>54.65</v>
      </c>
      <c r="BD8">
        <v>40.81</v>
      </c>
      <c r="BE8">
        <v>27.98</v>
      </c>
      <c r="BH8">
        <v>248.72</v>
      </c>
      <c r="BI8">
        <v>32.06</v>
      </c>
      <c r="BJ8" s="42">
        <v>61.38</v>
      </c>
      <c r="BK8" s="42">
        <f>(60*4+59.22-60)</f>
        <v>239.22000000000003</v>
      </c>
      <c r="BO8">
        <v>170.97</v>
      </c>
      <c r="BQ8" s="60" t="s">
        <v>175</v>
      </c>
      <c r="BR8" s="42">
        <v>57.28</v>
      </c>
      <c r="BS8" s="42">
        <v>55.81</v>
      </c>
      <c r="BT8" s="42">
        <v>64.900000000000006</v>
      </c>
      <c r="BU8" s="42">
        <f>60*4+50.06</f>
        <v>290.06</v>
      </c>
      <c r="BV8">
        <v>306.27999999999997</v>
      </c>
    </row>
    <row r="9" spans="1:75" x14ac:dyDescent="0.35">
      <c r="A9">
        <v>146.18</v>
      </c>
      <c r="B9">
        <v>146.18</v>
      </c>
      <c r="C9">
        <v>27.22</v>
      </c>
      <c r="D9">
        <v>32.35</v>
      </c>
      <c r="E9" s="18" t="s">
        <v>175</v>
      </c>
      <c r="F9" s="18">
        <v>46.91</v>
      </c>
      <c r="G9" s="18">
        <v>26.69</v>
      </c>
      <c r="H9">
        <v>101.75</v>
      </c>
      <c r="I9">
        <v>256.77999999999997</v>
      </c>
      <c r="J9">
        <v>99.22</v>
      </c>
      <c r="K9" s="11">
        <v>91.78</v>
      </c>
      <c r="L9">
        <v>101.85</v>
      </c>
      <c r="M9">
        <v>56.19</v>
      </c>
      <c r="N9" s="11">
        <v>50.69</v>
      </c>
      <c r="O9">
        <v>115.81</v>
      </c>
      <c r="P9">
        <v>131.65</v>
      </c>
      <c r="Q9">
        <v>368.38</v>
      </c>
      <c r="R9">
        <v>198.09</v>
      </c>
      <c r="S9">
        <v>161.34</v>
      </c>
      <c r="T9">
        <v>215.25</v>
      </c>
      <c r="U9">
        <v>525.29</v>
      </c>
      <c r="V9">
        <v>276.41000000000003</v>
      </c>
      <c r="W9">
        <v>237.25</v>
      </c>
      <c r="X9">
        <v>592.72</v>
      </c>
      <c r="AA9" s="18" t="s">
        <v>175</v>
      </c>
      <c r="AB9">
        <v>111.85</v>
      </c>
      <c r="AC9">
        <v>65.47</v>
      </c>
      <c r="AD9">
        <v>208.31</v>
      </c>
      <c r="AE9">
        <v>35.97</v>
      </c>
      <c r="AF9">
        <v>326.75</v>
      </c>
      <c r="AG9">
        <v>239.19</v>
      </c>
      <c r="AI9">
        <v>99.97</v>
      </c>
      <c r="AJ9">
        <v>178.69</v>
      </c>
      <c r="AK9">
        <v>144.15</v>
      </c>
      <c r="AM9">
        <v>174.78</v>
      </c>
      <c r="AN9">
        <v>82.59</v>
      </c>
      <c r="AP9">
        <v>419.59</v>
      </c>
      <c r="AQ9">
        <v>446.15</v>
      </c>
      <c r="AR9">
        <v>76.03</v>
      </c>
      <c r="AT9">
        <v>50.44</v>
      </c>
      <c r="AU9">
        <v>36.090000000000003</v>
      </c>
      <c r="AV9">
        <v>160.4</v>
      </c>
      <c r="AW9">
        <v>85.78</v>
      </c>
      <c r="AX9">
        <v>148.31</v>
      </c>
      <c r="AY9">
        <v>67.22</v>
      </c>
      <c r="AZ9">
        <v>54.06</v>
      </c>
      <c r="BA9">
        <v>60.38</v>
      </c>
      <c r="BB9">
        <v>202.39</v>
      </c>
      <c r="BC9">
        <v>46.37</v>
      </c>
      <c r="BD9">
        <v>52.37</v>
      </c>
      <c r="BE9">
        <v>40.81</v>
      </c>
      <c r="BH9">
        <v>520.34</v>
      </c>
      <c r="BI9">
        <v>28.78</v>
      </c>
      <c r="BJ9" s="42">
        <f>(60*3+13.35-60)</f>
        <v>133.35</v>
      </c>
      <c r="BK9" s="42">
        <f>(60*5+55.44-60)</f>
        <v>295.44</v>
      </c>
      <c r="BO9">
        <v>388.56</v>
      </c>
      <c r="BQ9">
        <v>298.59000000000003</v>
      </c>
      <c r="BR9" s="42">
        <v>98.59</v>
      </c>
      <c r="BS9" s="42">
        <v>102.88</v>
      </c>
      <c r="BT9" s="42">
        <v>140.81</v>
      </c>
      <c r="BU9" s="42">
        <v>36.28</v>
      </c>
      <c r="BV9">
        <v>34.82</v>
      </c>
    </row>
    <row r="10" spans="1:75" x14ac:dyDescent="0.35">
      <c r="A10">
        <v>37.06</v>
      </c>
      <c r="C10">
        <v>215.06</v>
      </c>
      <c r="D10">
        <v>30.4</v>
      </c>
      <c r="E10" s="18">
        <v>49.47</v>
      </c>
      <c r="F10" s="18" t="s">
        <v>175</v>
      </c>
      <c r="G10" s="18" t="s">
        <v>175</v>
      </c>
      <c r="H10">
        <v>93.72</v>
      </c>
      <c r="J10">
        <v>55.25</v>
      </c>
      <c r="K10" s="11">
        <v>38.909999999999997</v>
      </c>
      <c r="L10">
        <v>42.81</v>
      </c>
      <c r="M10">
        <v>34.56</v>
      </c>
      <c r="N10" s="11">
        <v>38.909999999999997</v>
      </c>
      <c r="O10">
        <v>141.28</v>
      </c>
      <c r="P10">
        <v>227.63</v>
      </c>
      <c r="Q10">
        <v>46.09</v>
      </c>
      <c r="R10">
        <v>267.18</v>
      </c>
      <c r="S10">
        <v>185.56</v>
      </c>
      <c r="T10">
        <v>76.78</v>
      </c>
      <c r="U10">
        <v>125.43</v>
      </c>
      <c r="V10">
        <v>193.82</v>
      </c>
      <c r="W10">
        <v>377.12</v>
      </c>
      <c r="X10">
        <v>173.09</v>
      </c>
      <c r="AA10">
        <v>59.75</v>
      </c>
      <c r="AB10">
        <v>141.43</v>
      </c>
      <c r="AC10">
        <v>52.88</v>
      </c>
      <c r="AD10" s="18" t="s">
        <v>175</v>
      </c>
      <c r="AE10">
        <v>50.75</v>
      </c>
      <c r="AF10">
        <v>453.32</v>
      </c>
      <c r="AG10">
        <v>281.72000000000003</v>
      </c>
      <c r="AI10">
        <v>370.88</v>
      </c>
      <c r="AJ10">
        <v>476.53</v>
      </c>
      <c r="AK10">
        <v>250</v>
      </c>
      <c r="AM10" s="18" t="s">
        <v>175</v>
      </c>
      <c r="AN10">
        <v>82</v>
      </c>
      <c r="AP10">
        <v>163.44</v>
      </c>
      <c r="AR10">
        <v>104.53</v>
      </c>
      <c r="AT10">
        <v>33.909999999999997</v>
      </c>
      <c r="AU10">
        <v>28.37</v>
      </c>
      <c r="AV10">
        <v>35.56</v>
      </c>
      <c r="AW10">
        <v>29.75</v>
      </c>
      <c r="AX10">
        <v>43.66</v>
      </c>
      <c r="AY10">
        <v>58.35</v>
      </c>
      <c r="AZ10">
        <v>51.5</v>
      </c>
      <c r="BA10">
        <v>53.87</v>
      </c>
      <c r="BB10">
        <v>463</v>
      </c>
      <c r="BD10">
        <v>110.78</v>
      </c>
      <c r="BE10">
        <v>49.56</v>
      </c>
      <c r="BH10">
        <v>52.04</v>
      </c>
      <c r="BI10">
        <v>25.63</v>
      </c>
      <c r="BJ10" s="42">
        <f>(60*4+19.69-60)</f>
        <v>199.69</v>
      </c>
      <c r="BK10" s="42">
        <v>33</v>
      </c>
      <c r="BO10">
        <v>59.47</v>
      </c>
      <c r="BQ10">
        <v>38.880000000000003</v>
      </c>
      <c r="BR10" s="42">
        <v>95.84</v>
      </c>
      <c r="BS10" s="42">
        <v>211.65</v>
      </c>
      <c r="BT10" s="42">
        <v>135.44</v>
      </c>
      <c r="BU10" s="42">
        <v>29.22</v>
      </c>
      <c r="BV10">
        <v>30.72</v>
      </c>
    </row>
    <row r="11" spans="1:75" x14ac:dyDescent="0.35">
      <c r="A11">
        <v>37.32</v>
      </c>
      <c r="C11">
        <v>32.85</v>
      </c>
      <c r="D11">
        <v>40.03</v>
      </c>
      <c r="E11" s="18">
        <v>42.37</v>
      </c>
      <c r="G11" s="18">
        <v>103.04</v>
      </c>
      <c r="H11">
        <v>125.2</v>
      </c>
      <c r="K11" s="11">
        <v>23.28</v>
      </c>
      <c r="L11">
        <v>31.44</v>
      </c>
      <c r="M11">
        <v>45.97</v>
      </c>
      <c r="O11">
        <v>195.81</v>
      </c>
      <c r="P11">
        <v>277.25</v>
      </c>
      <c r="Q11">
        <v>58.12</v>
      </c>
      <c r="R11">
        <v>35.56</v>
      </c>
      <c r="S11">
        <v>35.97</v>
      </c>
      <c r="T11">
        <v>57.88</v>
      </c>
      <c r="U11">
        <v>35.659999999999997</v>
      </c>
      <c r="V11">
        <v>48.81</v>
      </c>
      <c r="W11">
        <v>37.06</v>
      </c>
      <c r="X11">
        <v>47.12</v>
      </c>
      <c r="AA11">
        <v>41.72</v>
      </c>
      <c r="AB11">
        <v>95.86</v>
      </c>
      <c r="AE11">
        <v>97.12</v>
      </c>
      <c r="AF11">
        <v>34.56</v>
      </c>
      <c r="AG11">
        <v>31.63</v>
      </c>
      <c r="AI11">
        <v>234.81</v>
      </c>
      <c r="AK11">
        <v>283.22000000000003</v>
      </c>
      <c r="AM11" s="43" t="s">
        <v>175</v>
      </c>
      <c r="AN11">
        <v>58.4</v>
      </c>
      <c r="AR11">
        <v>195.6</v>
      </c>
      <c r="AT11">
        <v>56.28</v>
      </c>
      <c r="AV11">
        <v>37.78</v>
      </c>
      <c r="AW11">
        <v>29.1</v>
      </c>
      <c r="AX11">
        <v>39</v>
      </c>
      <c r="AY11">
        <v>60</v>
      </c>
      <c r="AZ11">
        <v>44.41</v>
      </c>
      <c r="BA11">
        <v>33.53</v>
      </c>
      <c r="BB11">
        <v>29.31</v>
      </c>
      <c r="BD11">
        <v>229.44</v>
      </c>
      <c r="BE11">
        <v>160.75</v>
      </c>
      <c r="BH11">
        <v>58.43</v>
      </c>
      <c r="BJ11" s="42">
        <f>(60*5+1.81-60)</f>
        <v>241.81</v>
      </c>
      <c r="BK11" s="42">
        <v>31.72</v>
      </c>
      <c r="BO11">
        <v>38.44</v>
      </c>
      <c r="BQ11">
        <v>26.38</v>
      </c>
      <c r="BR11" s="42">
        <v>195.03</v>
      </c>
      <c r="BS11" s="42">
        <v>213.6</v>
      </c>
      <c r="BT11" s="42">
        <v>285.81</v>
      </c>
    </row>
    <row r="12" spans="1:75" x14ac:dyDescent="0.35">
      <c r="A12">
        <v>44.31</v>
      </c>
      <c r="D12">
        <v>58.4</v>
      </c>
      <c r="H12">
        <v>372.75</v>
      </c>
      <c r="K12" s="11">
        <v>22.75</v>
      </c>
      <c r="M12">
        <v>55.56</v>
      </c>
      <c r="O12">
        <v>302.27999999999997</v>
      </c>
      <c r="P12">
        <v>46.84</v>
      </c>
      <c r="Q12">
        <v>47.69</v>
      </c>
      <c r="R12">
        <v>62.28</v>
      </c>
      <c r="S12">
        <v>50.47</v>
      </c>
      <c r="T12">
        <v>39.090000000000003</v>
      </c>
      <c r="U12">
        <v>26.72</v>
      </c>
      <c r="V12">
        <v>62.88</v>
      </c>
      <c r="W12">
        <v>31.12</v>
      </c>
      <c r="X12">
        <v>37.31</v>
      </c>
      <c r="AA12">
        <v>55.91</v>
      </c>
      <c r="AB12">
        <v>231.41</v>
      </c>
      <c r="AE12" s="18" t="s">
        <v>175</v>
      </c>
      <c r="AF12">
        <v>31.87</v>
      </c>
      <c r="AG12">
        <v>22.22</v>
      </c>
      <c r="AI12">
        <v>56.19</v>
      </c>
      <c r="AK12">
        <v>26.78</v>
      </c>
      <c r="AM12">
        <v>26.19</v>
      </c>
      <c r="AN12">
        <v>53.29</v>
      </c>
      <c r="AR12">
        <v>21.78</v>
      </c>
      <c r="AW12">
        <v>33.409999999999997</v>
      </c>
      <c r="AX12">
        <v>32.71</v>
      </c>
      <c r="AY12">
        <v>47.63</v>
      </c>
      <c r="AZ12">
        <v>53</v>
      </c>
      <c r="BA12">
        <v>46.09</v>
      </c>
      <c r="BB12">
        <v>24.63</v>
      </c>
      <c r="BD12">
        <v>317.85000000000002</v>
      </c>
      <c r="BJ12" s="60" t="s">
        <v>175</v>
      </c>
      <c r="BQ12">
        <v>22.66</v>
      </c>
      <c r="BR12" s="42">
        <v>226.65</v>
      </c>
      <c r="BS12" s="60" t="s">
        <v>175</v>
      </c>
      <c r="BT12" s="60" t="s">
        <v>175</v>
      </c>
    </row>
    <row r="13" spans="1:75" x14ac:dyDescent="0.35">
      <c r="H13">
        <v>34.119999999999997</v>
      </c>
      <c r="O13">
        <v>38.590000000000003</v>
      </c>
      <c r="P13">
        <v>41.97</v>
      </c>
      <c r="U13">
        <v>296.63</v>
      </c>
      <c r="AB13" s="18" t="s">
        <v>175</v>
      </c>
      <c r="AE13">
        <v>109.62</v>
      </c>
      <c r="AK13">
        <v>20.27</v>
      </c>
      <c r="AM13">
        <v>16.649999999999999</v>
      </c>
      <c r="AN13">
        <v>50.34</v>
      </c>
      <c r="AR13">
        <v>16.72</v>
      </c>
      <c r="AW13">
        <v>22.53</v>
      </c>
      <c r="AX13">
        <v>31.41</v>
      </c>
      <c r="AZ13">
        <v>45.13</v>
      </c>
      <c r="BB13">
        <v>30.81</v>
      </c>
      <c r="BD13">
        <v>32.75</v>
      </c>
      <c r="BR13" s="60" t="s">
        <v>175</v>
      </c>
      <c r="BS13" s="42">
        <v>21.34</v>
      </c>
      <c r="BT13" s="42">
        <v>19.43</v>
      </c>
    </row>
    <row r="14" spans="1:75" x14ac:dyDescent="0.35">
      <c r="H14">
        <v>192.09</v>
      </c>
      <c r="O14">
        <v>47.72</v>
      </c>
      <c r="P14">
        <v>49.72</v>
      </c>
      <c r="AB14">
        <v>25.91</v>
      </c>
      <c r="AE14">
        <v>347.72</v>
      </c>
      <c r="AM14">
        <v>15.22</v>
      </c>
      <c r="AN14">
        <v>44.38</v>
      </c>
      <c r="AW14">
        <v>17.34</v>
      </c>
      <c r="AX14">
        <v>23.46</v>
      </c>
      <c r="BD14">
        <v>27.06</v>
      </c>
      <c r="BR14" s="42">
        <v>20.350000000000001</v>
      </c>
      <c r="BS14" s="42">
        <v>18.38</v>
      </c>
      <c r="BT14" s="42">
        <v>17.93</v>
      </c>
    </row>
    <row r="15" spans="1:75" x14ac:dyDescent="0.35">
      <c r="H15">
        <v>481.25</v>
      </c>
      <c r="AB15">
        <v>22.06</v>
      </c>
      <c r="AE15">
        <v>33.47</v>
      </c>
      <c r="AM15">
        <v>16.059999999999999</v>
      </c>
      <c r="AN15">
        <v>43.91</v>
      </c>
      <c r="AW15">
        <v>13.34</v>
      </c>
      <c r="AX15">
        <v>20.37</v>
      </c>
      <c r="BR15" s="42">
        <v>17.03</v>
      </c>
    </row>
    <row r="16" spans="1:75" x14ac:dyDescent="0.35">
      <c r="H16" s="18" t="s">
        <v>175</v>
      </c>
      <c r="AM16">
        <v>22.5</v>
      </c>
      <c r="AN16">
        <v>38.29</v>
      </c>
      <c r="AW16">
        <v>13.34</v>
      </c>
    </row>
    <row r="17" spans="1:75" x14ac:dyDescent="0.35">
      <c r="AM17">
        <v>26.19</v>
      </c>
      <c r="AN17">
        <v>41.3</v>
      </c>
    </row>
    <row r="18" spans="1:75" x14ac:dyDescent="0.35">
      <c r="AM18">
        <v>20.5</v>
      </c>
      <c r="AN18">
        <v>46.13</v>
      </c>
    </row>
    <row r="21" spans="1:75" s="15" customFormat="1" x14ac:dyDescent="0.35">
      <c r="A21" s="66"/>
      <c r="F21" s="66"/>
    </row>
    <row r="22" spans="1:75" x14ac:dyDescent="0.35">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0e15a99-2787-4658-9a49-e1375a37af8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E74FF56111874F8528354EA601358C" ma:contentTypeVersion="13" ma:contentTypeDescription="Create a new document." ma:contentTypeScope="" ma:versionID="aefc237cfc274cb2582df163616733b8">
  <xsd:schema xmlns:xsd="http://www.w3.org/2001/XMLSchema" xmlns:xs="http://www.w3.org/2001/XMLSchema" xmlns:p="http://schemas.microsoft.com/office/2006/metadata/properties" xmlns:ns3="f29e537e-536d-4c3d-a73c-f40e94626c0e" xmlns:ns4="30e15a99-2787-4658-9a49-e1375a37af84" targetNamespace="http://schemas.microsoft.com/office/2006/metadata/properties" ma:root="true" ma:fieldsID="724057e7b71c9842b2ca1270930e7f06" ns3:_="" ns4:_="">
    <xsd:import namespace="f29e537e-536d-4c3d-a73c-f40e94626c0e"/>
    <xsd:import namespace="30e15a99-2787-4658-9a49-e1375a37af8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9e537e-536d-4c3d-a73c-f40e94626c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e15a99-2787-4658-9a49-e1375a37af8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FECEBC-BE18-46DA-BEC1-6AB4E9CAE9FF}">
  <ds:schemaRefs>
    <ds:schemaRef ds:uri="http://purl.org/dc/dcmitype/"/>
    <ds:schemaRef ds:uri="http://purl.org/dc/elements/1.1/"/>
    <ds:schemaRef ds:uri="30e15a99-2787-4658-9a49-e1375a37af84"/>
    <ds:schemaRef ds:uri="http://schemas.microsoft.com/office/2006/metadata/properties"/>
    <ds:schemaRef ds:uri="http://purl.org/dc/terms/"/>
    <ds:schemaRef ds:uri="f29e537e-536d-4c3d-a73c-f40e94626c0e"/>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D75F8F5C-D5B5-45FA-B1DB-5655CA1E6EAB}">
  <ds:schemaRefs>
    <ds:schemaRef ds:uri="http://schemas.microsoft.com/sharepoint/v3/contenttype/forms"/>
  </ds:schemaRefs>
</ds:datastoreItem>
</file>

<file path=customXml/itemProps3.xml><?xml version="1.0" encoding="utf-8"?>
<ds:datastoreItem xmlns:ds="http://schemas.openxmlformats.org/officeDocument/2006/customXml" ds:itemID="{7B31EC6E-9331-4485-B6BD-9B556783D7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9e537e-536d-4c3d-a73c-f40e94626c0e"/>
    <ds:schemaRef ds:uri="30e15a99-2787-4658-9a49-e1375a37af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Individual Surfactant Key</vt:lpstr>
      <vt:lpstr>Indiv. Surfactant Key</vt:lpstr>
      <vt:lpstr>SMILES Individual</vt:lpstr>
      <vt:lpstr>Formulation Names Mix CMC Data</vt:lpstr>
      <vt:lpstr>Formulation Name Data</vt:lpstr>
      <vt:lpstr>Measurement Information</vt:lpstr>
      <vt:lpstr>CMC Concentrations</vt:lpstr>
      <vt:lpstr>CMC Surface Tension </vt:lpstr>
      <vt:lpstr>Calculated CMC</vt:lpstr>
      <vt:lpstr>Formulation Surface Tension</vt:lpstr>
      <vt:lpstr>Formulation Interfacial Tension</vt:lpstr>
      <vt:lpstr>Formulation Transport Time</vt:lpstr>
      <vt:lpstr>Formulation Flux </vt:lpstr>
      <vt:lpstr>Formulation Transport Deg Time</vt:lpstr>
      <vt:lpstr>Formulatio Transport Deg Height</vt:lpstr>
      <vt:lpstr>Flux Time EDC</vt:lpstr>
      <vt:lpstr>Flux Value EDC</vt:lpstr>
      <vt:lpstr>EDC Values </vt:lpstr>
      <vt:lpstr>Foam Deg Time Hept 60C</vt:lpstr>
      <vt:lpstr>Foam Deg Height Hept 60C</vt:lpstr>
      <vt:lpstr>Foam Deg Time Gas 35C</vt:lpstr>
      <vt:lpstr>Foam Deg Height Gas 35C</vt:lpstr>
      <vt:lpstr>Hept Fire Ext 19cm Flow</vt:lpstr>
      <vt:lpstr>Hept Fire Ext 19cm ER</vt:lpstr>
      <vt:lpstr>Hept Fire Ext 19cm Spread</vt:lpstr>
      <vt:lpstr>Hept Fire Ext 19cm ExtTime</vt:lpstr>
      <vt:lpstr>Gas Fire Ext 19cm Flow</vt:lpstr>
      <vt:lpstr>Gas Fire Extinction 19cm ER</vt:lpstr>
      <vt:lpstr>Gas Fire Extinction 19cm Spread</vt:lpstr>
      <vt:lpstr>Gas Fire Extinction 19cm Ext</vt:lpstr>
    </vt:vector>
  </TitlesOfParts>
  <Company>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M. Hinnant, Code 6185</dc:creator>
  <cp:lastModifiedBy>Hinnant, Katherine M. CIV USN NRL (6185) Washington DC</cp:lastModifiedBy>
  <dcterms:created xsi:type="dcterms:W3CDTF">2021-12-22T18:50:00Z</dcterms:created>
  <dcterms:modified xsi:type="dcterms:W3CDTF">2025-01-17T15:58:48Z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0x0101002CE74FF56111874F8528354EA601358C</vt:lpwstr>
  </property>
</Properties>
</file>